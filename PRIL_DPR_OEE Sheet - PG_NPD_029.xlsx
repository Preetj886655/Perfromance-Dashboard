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PR_OEE" sheetId="1" r:id="rId5"/>
  </sheets>
  <definedNames/>
  <calcPr/>
</workbook>
</file>

<file path=xl/sharedStrings.xml><?xml version="1.0" encoding="utf-8"?>
<sst xmlns="http://schemas.openxmlformats.org/spreadsheetml/2006/main" count="64" uniqueCount="57">
  <si>
    <t>PATIL RAIL INFRASTRUCTURE PVT. LTD.</t>
  </si>
  <si>
    <t>DAILY PRODUCTION REPORT WITH OEE</t>
  </si>
  <si>
    <t>S.No.</t>
  </si>
  <si>
    <t>Date</t>
  </si>
  <si>
    <t>Shift</t>
  </si>
  <si>
    <t>Machine Name/No.</t>
  </si>
  <si>
    <t>Start Time</t>
  </si>
  <si>
    <t>Stop Time</t>
  </si>
  <si>
    <t>Shift Time (Minutes)</t>
  </si>
  <si>
    <t>Operator Name</t>
  </si>
  <si>
    <t xml:space="preserve">Part Name </t>
  </si>
  <si>
    <t>Part No.</t>
  </si>
  <si>
    <t>Cavity</t>
  </si>
  <si>
    <t>Cycle Time (Sec.)</t>
  </si>
  <si>
    <t>Target Qty./Hr. (Pcs.)</t>
  </si>
  <si>
    <t>Prod. Qty. (Pcs.)</t>
  </si>
  <si>
    <t>Planned Down Time (Tea/Lunch)</t>
  </si>
  <si>
    <t>Available Time</t>
  </si>
  <si>
    <t>Reason of Idle Time (Unplanned BD Time in Minutes)</t>
  </si>
  <si>
    <t>Total Idle Time (Minutes)</t>
  </si>
  <si>
    <t>Total Run Time (Minutes)</t>
  </si>
  <si>
    <t>Availability Ratio (A)</t>
  </si>
  <si>
    <t>Actual Qty./ Hr.</t>
  </si>
  <si>
    <t>Operator Efficiency (Performance Ratio) - (P)</t>
  </si>
  <si>
    <t>Machine Efficiency (Machine Utilisation)</t>
  </si>
  <si>
    <t>Reason of  Rejection (Qty. in Pcs.)</t>
  </si>
  <si>
    <t>Total Rejection (Pcs Qty.)</t>
  </si>
  <si>
    <t>Rejection PPM</t>
  </si>
  <si>
    <t>Quantity Ratio (Q)</t>
  </si>
  <si>
    <t>OEE (A*P*Q)</t>
  </si>
  <si>
    <t>Any Other Remarks</t>
  </si>
  <si>
    <t>1.Manpower Shortage</t>
  </si>
  <si>
    <t>2. Mould Trial</t>
  </si>
  <si>
    <t>3. Bin Shortage</t>
  </si>
  <si>
    <t>4. Material Shortage</t>
  </si>
  <si>
    <t>5. M/c Under BD</t>
  </si>
  <si>
    <t>6. Nozzle Block</t>
  </si>
  <si>
    <t>7. Mould Problem</t>
  </si>
  <si>
    <t>8. Crystal/ Insert Shortage</t>
  </si>
  <si>
    <t>9. Power Failure</t>
  </si>
  <si>
    <t xml:space="preserve">10. Process Setting </t>
  </si>
  <si>
    <t>11. Others</t>
  </si>
  <si>
    <t>A. Short Moulding</t>
  </si>
  <si>
    <t>B. Shrinkage Mark</t>
  </si>
  <si>
    <t>C. Silver Streak</t>
  </si>
  <si>
    <t>D. Flow Mark</t>
  </si>
  <si>
    <t>E. Weld Line</t>
  </si>
  <si>
    <t>F. Dent Mark</t>
  </si>
  <si>
    <t>G. Power Cut</t>
  </si>
  <si>
    <t>H. Black Marks</t>
  </si>
  <si>
    <t>I. Crack Marks</t>
  </si>
  <si>
    <t>J. Others</t>
  </si>
  <si>
    <t>A</t>
  </si>
  <si>
    <t>M001</t>
  </si>
  <si>
    <t>ABC</t>
  </si>
  <si>
    <t>RGP</t>
  </si>
  <si>
    <t>PD001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</si>
</sst>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hh:mm"/>
    <numFmt numFmtId="166" formatCode="0.0%"/>
  </numFmts>
  <fonts count="6">
    <font>
      <sz val="10.0"/>
      <color rgb="FF000000"/>
      <name val="Arial"/>
      <scheme val="minor"/>
    </font>
    <font>
      <b/>
      <sz val="18.0"/>
      <color theme="1"/>
      <name val="Arial"/>
    </font>
    <font/>
    <font>
      <b/>
      <color theme="1"/>
      <name val="Arial"/>
    </font>
    <font>
      <color theme="1"/>
      <name val="Arial"/>
    </font>
    <font>
      <color theme="1"/>
      <name val="Arial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2CC"/>
        <bgColor rgb="FFFFF2CC"/>
      </patternFill>
    </fill>
  </fills>
  <borders count="23">
    <border/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2" fontId="1" numFmtId="0" xfId="0" applyAlignment="1" applyBorder="1" applyFont="1">
      <alignment horizontal="center" readingOrder="0" shrinkToFit="0" vertical="center" wrapText="1"/>
    </xf>
    <xf borderId="5" fillId="0" fontId="2" numFmtId="0" xfId="0" applyBorder="1" applyFont="1"/>
    <xf borderId="6" fillId="3" fontId="1" numFmtId="0" xfId="0" applyAlignment="1" applyBorder="1" applyFill="1" applyFont="1">
      <alignment horizontal="center" shrinkToFit="0" vertical="center" wrapText="1"/>
    </xf>
    <xf borderId="7" fillId="0" fontId="2" numFmtId="0" xfId="0" applyBorder="1" applyFont="1"/>
    <xf borderId="8" fillId="0" fontId="2" numFmtId="0" xfId="0" applyBorder="1" applyFont="1"/>
    <xf borderId="9" fillId="3" fontId="1" numFmtId="0" xfId="0" applyAlignment="1" applyBorder="1" applyFont="1">
      <alignment horizontal="center" readingOrder="0" shrinkToFit="0" vertical="center" wrapText="1"/>
    </xf>
    <xf borderId="10" fillId="0" fontId="2" numFmtId="0" xfId="0" applyBorder="1" applyFont="1"/>
    <xf borderId="11" fillId="4" fontId="3" numFmtId="0" xfId="0" applyAlignment="1" applyBorder="1" applyFill="1" applyFont="1">
      <alignment horizontal="center" shrinkToFit="0" vertical="center" wrapText="1"/>
    </xf>
    <xf borderId="12" fillId="4" fontId="3" numFmtId="0" xfId="0" applyAlignment="1" applyBorder="1" applyFont="1">
      <alignment horizontal="center" shrinkToFit="0" vertical="center" wrapText="1"/>
    </xf>
    <xf borderId="12" fillId="4" fontId="3" numFmtId="0" xfId="0" applyAlignment="1" applyBorder="1" applyFont="1">
      <alignment horizontal="center" shrinkToFit="0" textRotation="90" vertical="center" wrapText="1"/>
    </xf>
    <xf borderId="9" fillId="5" fontId="3" numFmtId="0" xfId="0" applyAlignment="1" applyBorder="1" applyFill="1" applyFont="1">
      <alignment horizontal="center" shrinkToFit="0" vertical="center" wrapText="1"/>
    </xf>
    <xf borderId="12" fillId="6" fontId="3" numFmtId="0" xfId="0" applyAlignment="1" applyBorder="1" applyFill="1" applyFont="1">
      <alignment horizontal="center" shrinkToFit="0" vertical="center" wrapText="1"/>
    </xf>
    <xf borderId="12" fillId="7" fontId="3" numFmtId="0" xfId="0" applyAlignment="1" applyBorder="1" applyFill="1" applyFont="1">
      <alignment horizontal="center" shrinkToFit="0" vertical="center" wrapText="1"/>
    </xf>
    <xf borderId="12" fillId="8" fontId="3" numFmtId="0" xfId="0" applyAlignment="1" applyBorder="1" applyFill="1" applyFont="1">
      <alignment horizontal="center" shrinkToFit="0" vertical="center" wrapText="1"/>
    </xf>
    <xf borderId="12" fillId="9" fontId="3" numFmtId="0" xfId="0" applyAlignment="1" applyBorder="1" applyFill="1" applyFont="1">
      <alignment horizontal="center" shrinkToFit="0" vertical="center" wrapText="1"/>
    </xf>
    <xf borderId="12" fillId="10" fontId="3" numFmtId="0" xfId="0" applyAlignment="1" applyBorder="1" applyFill="1" applyFont="1">
      <alignment horizontal="center" shrinkToFit="0" vertical="center" wrapText="1"/>
    </xf>
    <xf borderId="13" fillId="4" fontId="3" numFmtId="0" xfId="0" applyAlignment="1" applyBorder="1" applyFont="1">
      <alignment horizontal="center" shrinkToFit="0" vertical="center" wrapText="1"/>
    </xf>
    <xf borderId="14" fillId="0" fontId="2" numFmtId="0" xfId="0" applyBorder="1" applyFont="1"/>
    <xf borderId="15" fillId="0" fontId="2" numFmtId="0" xfId="0" applyBorder="1" applyFont="1"/>
    <xf borderId="16" fillId="11" fontId="3" numFmtId="0" xfId="0" applyAlignment="1" applyBorder="1" applyFill="1" applyFont="1">
      <alignment horizontal="center" shrinkToFit="0" textRotation="90" vertical="center" wrapText="1"/>
    </xf>
    <xf borderId="17" fillId="0" fontId="2" numFmtId="0" xfId="0" applyBorder="1" applyFont="1"/>
    <xf borderId="18" fillId="0" fontId="4" numFmtId="0" xfId="0" applyAlignment="1" applyBorder="1" applyFont="1">
      <alignment horizontal="center" shrinkToFit="0" vertical="center" wrapText="1"/>
    </xf>
    <xf borderId="16" fillId="0" fontId="4" numFmtId="164" xfId="0" applyAlignment="1" applyBorder="1" applyFont="1" applyNumberFormat="1">
      <alignment horizontal="center" shrinkToFit="0" vertical="center" wrapText="1"/>
    </xf>
    <xf borderId="16" fillId="0" fontId="4" numFmtId="0" xfId="0" applyAlignment="1" applyBorder="1" applyFont="1">
      <alignment horizontal="center" shrinkToFit="0" vertical="center" wrapText="1"/>
    </xf>
    <xf borderId="16" fillId="0" fontId="4" numFmtId="165" xfId="0" applyAlignment="1" applyBorder="1" applyFont="1" applyNumberFormat="1">
      <alignment horizontal="center" shrinkToFit="0" vertical="center" wrapText="1"/>
    </xf>
    <xf borderId="16" fillId="6" fontId="4" numFmtId="10" xfId="0" applyAlignment="1" applyBorder="1" applyFont="1" applyNumberFormat="1">
      <alignment horizontal="center" shrinkToFit="0" vertical="center" wrapText="1"/>
    </xf>
    <xf borderId="16" fillId="0" fontId="4" numFmtId="1" xfId="0" applyAlignment="1" applyBorder="1" applyFont="1" applyNumberFormat="1">
      <alignment horizontal="center" shrinkToFit="0" vertical="center" wrapText="1"/>
    </xf>
    <xf borderId="16" fillId="7" fontId="4" numFmtId="10" xfId="0" applyAlignment="1" applyBorder="1" applyFont="1" applyNumberFormat="1">
      <alignment horizontal="center" shrinkToFit="0" vertical="center" wrapText="1"/>
    </xf>
    <xf borderId="16" fillId="0" fontId="4" numFmtId="10" xfId="0" applyAlignment="1" applyBorder="1" applyFont="1" applyNumberFormat="1">
      <alignment horizontal="center" shrinkToFit="0" vertical="center" wrapText="1"/>
    </xf>
    <xf borderId="16" fillId="8" fontId="4" numFmtId="1" xfId="0" applyAlignment="1" applyBorder="1" applyFont="1" applyNumberFormat="1">
      <alignment horizontal="center" shrinkToFit="0" vertical="center" wrapText="1"/>
    </xf>
    <xf borderId="16" fillId="9" fontId="4" numFmtId="166" xfId="0" applyAlignment="1" applyBorder="1" applyFont="1" applyNumberFormat="1">
      <alignment horizontal="center" shrinkToFit="0" vertical="center" wrapText="1"/>
    </xf>
    <xf borderId="16" fillId="10" fontId="4" numFmtId="166" xfId="0" applyAlignment="1" applyBorder="1" applyFont="1" applyNumberFormat="1">
      <alignment horizontal="center" shrinkToFit="0" vertical="center" wrapText="1"/>
    </xf>
    <xf borderId="19" fillId="0" fontId="4" numFmtId="0" xfId="0" applyAlignment="1" applyBorder="1" applyFont="1">
      <alignment horizontal="center" shrinkToFit="0" vertical="center" wrapText="1"/>
    </xf>
    <xf borderId="20" fillId="0" fontId="4" numFmtId="0" xfId="0" applyAlignment="1" applyBorder="1" applyFont="1">
      <alignment horizontal="center" shrinkToFit="0" vertical="center" wrapText="1"/>
    </xf>
    <xf borderId="21" fillId="0" fontId="4" numFmtId="0" xfId="0" applyAlignment="1" applyBorder="1" applyFont="1">
      <alignment horizontal="center" shrinkToFit="0" vertical="center" wrapText="1"/>
    </xf>
    <xf borderId="21" fillId="6" fontId="4" numFmtId="10" xfId="0" applyAlignment="1" applyBorder="1" applyFont="1" applyNumberFormat="1">
      <alignment horizontal="center" shrinkToFit="0" vertical="center" wrapText="1"/>
    </xf>
    <xf borderId="21" fillId="7" fontId="4" numFmtId="10" xfId="0" applyAlignment="1" applyBorder="1" applyFont="1" applyNumberFormat="1">
      <alignment horizontal="center" shrinkToFit="0" vertical="center" wrapText="1"/>
    </xf>
    <xf borderId="21" fillId="0" fontId="4" numFmtId="10" xfId="0" applyAlignment="1" applyBorder="1" applyFont="1" applyNumberFormat="1">
      <alignment horizontal="center" shrinkToFit="0" vertical="center" wrapText="1"/>
    </xf>
    <xf borderId="21" fillId="8" fontId="4" numFmtId="1" xfId="0" applyAlignment="1" applyBorder="1" applyFont="1" applyNumberFormat="1">
      <alignment horizontal="center" shrinkToFit="0" vertical="center" wrapText="1"/>
    </xf>
    <xf borderId="21" fillId="9" fontId="4" numFmtId="166" xfId="0" applyAlignment="1" applyBorder="1" applyFont="1" applyNumberFormat="1">
      <alignment horizontal="center" shrinkToFit="0" vertical="center" wrapText="1"/>
    </xf>
    <xf borderId="21" fillId="10" fontId="4" numFmtId="166" xfId="0" applyAlignment="1" applyBorder="1" applyFont="1" applyNumberFormat="1">
      <alignment horizontal="center" shrinkToFit="0" vertical="center" wrapText="1"/>
    </xf>
    <xf borderId="22" fillId="0" fontId="4" numFmtId="0" xfId="0" applyAlignment="1" applyBorder="1" applyFont="1">
      <alignment horizontal="center" shrinkToFit="0" vertical="center" wrapText="1"/>
    </xf>
    <xf borderId="0" fillId="6" fontId="5" numFmtId="0" xfId="0" applyFont="1"/>
    <xf borderId="0" fillId="7" fontId="5" numFmtId="0" xfId="0" applyFont="1"/>
    <xf borderId="0" fillId="8" fontId="5" numFmtId="0" xfId="0" applyFont="1"/>
    <xf borderId="0" fillId="9" fontId="5" numFmtId="0" xfId="0" applyFont="1"/>
    <xf borderId="0" fillId="1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4.0" topLeftCell="O1" activePane="topRight" state="frozen"/>
      <selection activeCell="P2" sqref="P2" pane="topRight"/>
    </sheetView>
  </sheetViews>
  <sheetFormatPr customHeight="1" defaultColWidth="12.63" defaultRowHeight="15.75"/>
  <cols>
    <col customWidth="1" min="1" max="1" width="7.13"/>
    <col customWidth="1" min="2" max="2" width="9.13"/>
    <col customWidth="1" min="3" max="3" width="4.75"/>
    <col customWidth="1" min="4" max="4" width="9.38"/>
    <col customWidth="1" min="5" max="6" width="6.63"/>
    <col customWidth="1" min="7" max="7" width="8.5"/>
    <col customWidth="1" min="8" max="8" width="8.25"/>
    <col customWidth="1" min="9" max="10" width="7.63"/>
    <col customWidth="1" min="11" max="11" width="5.88"/>
    <col customWidth="1" min="12" max="14" width="7.0"/>
    <col customWidth="1" min="15" max="16" width="6.13"/>
    <col customWidth="1" min="17" max="27" width="5.63"/>
    <col customWidth="1" min="28" max="31" width="8.38"/>
    <col customWidth="1" min="32" max="32" width="9.5"/>
    <col customWidth="1" min="33" max="33" width="9.88"/>
    <col customWidth="1" min="34" max="43" width="4.63"/>
    <col customWidth="1" min="44" max="44" width="7.88"/>
    <col customWidth="1" min="45" max="45" width="8.63"/>
    <col customWidth="1" min="46" max="48" width="7.88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4" t="s">
        <v>0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5"/>
    </row>
    <row r="2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8"/>
      <c r="O2" s="9" t="s">
        <v>1</v>
      </c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10"/>
    </row>
    <row r="3">
      <c r="A3" s="11" t="s">
        <v>2</v>
      </c>
      <c r="B3" s="12" t="s">
        <v>3</v>
      </c>
      <c r="C3" s="12" t="s">
        <v>4</v>
      </c>
      <c r="D3" s="12" t="s">
        <v>5</v>
      </c>
      <c r="E3" s="12" t="s">
        <v>6</v>
      </c>
      <c r="F3" s="12" t="s">
        <v>7</v>
      </c>
      <c r="G3" s="12" t="s">
        <v>8</v>
      </c>
      <c r="H3" s="12" t="s">
        <v>9</v>
      </c>
      <c r="I3" s="12" t="s">
        <v>10</v>
      </c>
      <c r="J3" s="12" t="s">
        <v>11</v>
      </c>
      <c r="K3" s="12" t="s">
        <v>12</v>
      </c>
      <c r="L3" s="12" t="s">
        <v>13</v>
      </c>
      <c r="M3" s="12" t="s">
        <v>14</v>
      </c>
      <c r="N3" s="12" t="s">
        <v>15</v>
      </c>
      <c r="O3" s="13" t="s">
        <v>16</v>
      </c>
      <c r="P3" s="13" t="s">
        <v>17</v>
      </c>
      <c r="Q3" s="14" t="s">
        <v>18</v>
      </c>
      <c r="R3" s="7"/>
      <c r="S3" s="7"/>
      <c r="T3" s="7"/>
      <c r="U3" s="7"/>
      <c r="V3" s="7"/>
      <c r="W3" s="7"/>
      <c r="X3" s="7"/>
      <c r="Y3" s="7"/>
      <c r="Z3" s="7"/>
      <c r="AA3" s="8"/>
      <c r="AB3" s="12" t="s">
        <v>19</v>
      </c>
      <c r="AC3" s="12" t="s">
        <v>20</v>
      </c>
      <c r="AD3" s="15" t="s">
        <v>21</v>
      </c>
      <c r="AE3" s="12" t="s">
        <v>22</v>
      </c>
      <c r="AF3" s="16" t="s">
        <v>23</v>
      </c>
      <c r="AG3" s="12" t="s">
        <v>24</v>
      </c>
      <c r="AH3" s="14" t="s">
        <v>25</v>
      </c>
      <c r="AI3" s="7"/>
      <c r="AJ3" s="7"/>
      <c r="AK3" s="7"/>
      <c r="AL3" s="7"/>
      <c r="AM3" s="7"/>
      <c r="AN3" s="7"/>
      <c r="AO3" s="7"/>
      <c r="AP3" s="7"/>
      <c r="AQ3" s="8"/>
      <c r="AR3" s="12" t="s">
        <v>26</v>
      </c>
      <c r="AS3" s="17" t="s">
        <v>27</v>
      </c>
      <c r="AT3" s="18" t="s">
        <v>28</v>
      </c>
      <c r="AU3" s="19" t="s">
        <v>29</v>
      </c>
      <c r="AV3" s="20" t="s">
        <v>30</v>
      </c>
    </row>
    <row r="4" ht="87.0" customHeight="1">
      <c r="A4" s="21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3" t="s">
        <v>31</v>
      </c>
      <c r="R4" s="23" t="s">
        <v>32</v>
      </c>
      <c r="S4" s="23" t="s">
        <v>33</v>
      </c>
      <c r="T4" s="23" t="s">
        <v>34</v>
      </c>
      <c r="U4" s="23" t="s">
        <v>35</v>
      </c>
      <c r="V4" s="23" t="s">
        <v>36</v>
      </c>
      <c r="W4" s="23" t="s">
        <v>37</v>
      </c>
      <c r="X4" s="23" t="s">
        <v>38</v>
      </c>
      <c r="Y4" s="23" t="s">
        <v>39</v>
      </c>
      <c r="Z4" s="23" t="s">
        <v>40</v>
      </c>
      <c r="AA4" s="23" t="s">
        <v>41</v>
      </c>
      <c r="AB4" s="22"/>
      <c r="AC4" s="22"/>
      <c r="AD4" s="22"/>
      <c r="AE4" s="22"/>
      <c r="AF4" s="22"/>
      <c r="AG4" s="22"/>
      <c r="AH4" s="23" t="s">
        <v>42</v>
      </c>
      <c r="AI4" s="23" t="s">
        <v>43</v>
      </c>
      <c r="AJ4" s="23" t="s">
        <v>44</v>
      </c>
      <c r="AK4" s="23" t="s">
        <v>45</v>
      </c>
      <c r="AL4" s="23" t="s">
        <v>46</v>
      </c>
      <c r="AM4" s="23" t="s">
        <v>47</v>
      </c>
      <c r="AN4" s="23" t="s">
        <v>48</v>
      </c>
      <c r="AO4" s="23" t="s">
        <v>49</v>
      </c>
      <c r="AP4" s="23" t="s">
        <v>50</v>
      </c>
      <c r="AQ4" s="23" t="s">
        <v>51</v>
      </c>
      <c r="AR4" s="22"/>
      <c r="AS4" s="22"/>
      <c r="AT4" s="22"/>
      <c r="AU4" s="22"/>
      <c r="AV4" s="24"/>
    </row>
    <row r="5">
      <c r="A5" s="25">
        <f t="shared" ref="A5:A30" si="1">ROW(A5)-3</f>
        <v>2</v>
      </c>
      <c r="B5" s="26">
        <v>46242.0</v>
      </c>
      <c r="C5" s="27" t="s">
        <v>52</v>
      </c>
      <c r="D5" s="27" t="s">
        <v>53</v>
      </c>
      <c r="E5" s="28">
        <v>0.3541666666666667</v>
      </c>
      <c r="F5" s="28">
        <v>0.8541666666666666</v>
      </c>
      <c r="G5" s="27">
        <f t="shared" ref="G5:G30" si="2">IFERROR((F5-E5)*24*60,"")</f>
        <v>720</v>
      </c>
      <c r="H5" s="27" t="s">
        <v>54</v>
      </c>
      <c r="I5" s="27" t="s">
        <v>55</v>
      </c>
      <c r="J5" s="27" t="s">
        <v>56</v>
      </c>
      <c r="K5" s="27">
        <v>2.0</v>
      </c>
      <c r="L5" s="27">
        <v>60.0</v>
      </c>
      <c r="M5" s="27">
        <f t="shared" ref="M5:M30" si="3">IFERROR(3600/(L5/K5),"")</f>
        <v>120</v>
      </c>
      <c r="N5" s="27">
        <v>1200.0</v>
      </c>
      <c r="O5" s="27">
        <v>60.0</v>
      </c>
      <c r="P5" s="27">
        <f t="shared" ref="P5:P30" si="4">IFERROR(G5-O5,"")</f>
        <v>660</v>
      </c>
      <c r="Q5" s="27"/>
      <c r="R5" s="27"/>
      <c r="S5" s="27"/>
      <c r="T5" s="27"/>
      <c r="U5" s="27">
        <v>20.0</v>
      </c>
      <c r="V5" s="27"/>
      <c r="W5" s="27"/>
      <c r="X5" s="27"/>
      <c r="Y5" s="27"/>
      <c r="Z5" s="27"/>
      <c r="AA5" s="27"/>
      <c r="AB5" s="27">
        <f t="shared" ref="AB5:AB30" si="5">SUM(Q5:AA5)</f>
        <v>20</v>
      </c>
      <c r="AC5" s="27">
        <f t="shared" ref="AC5:AC30" si="6">P5-AB5</f>
        <v>640</v>
      </c>
      <c r="AD5" s="29">
        <f t="shared" ref="AD5:AD30" si="7">IFERROR(AC5/P5,"")</f>
        <v>0.9696969697</v>
      </c>
      <c r="AE5" s="30">
        <f t="shared" ref="AE5:AE30" si="8">IFERROR(N5/AC5*60,"")</f>
        <v>112.5</v>
      </c>
      <c r="AF5" s="31">
        <f t="shared" ref="AF5:AF30" si="9">IFERROR(AE5/M5,"")</f>
        <v>0.9375</v>
      </c>
      <c r="AG5" s="32">
        <f t="shared" ref="AG5:AG30" si="10">IFERROR(N5/(P5/60*M5),"")</f>
        <v>0.9090909091</v>
      </c>
      <c r="AH5" s="27">
        <v>1.0</v>
      </c>
      <c r="AI5" s="27">
        <v>2.0</v>
      </c>
      <c r="AJ5" s="27">
        <v>3.0</v>
      </c>
      <c r="AK5" s="27">
        <v>5.0</v>
      </c>
      <c r="AL5" s="27">
        <v>4.0</v>
      </c>
      <c r="AM5" s="27"/>
      <c r="AN5" s="27"/>
      <c r="AO5" s="27"/>
      <c r="AP5" s="27"/>
      <c r="AQ5" s="27"/>
      <c r="AR5" s="27">
        <f t="shared" ref="AR5:AR30" si="11">SUM(AH5:AQ5)</f>
        <v>15</v>
      </c>
      <c r="AS5" s="33">
        <f t="shared" ref="AS5:AS30" si="12">IFERROR(AR5/N5*1000000,"")</f>
        <v>12500</v>
      </c>
      <c r="AT5" s="34">
        <f t="shared" ref="AT5:AT30" si="13">IFERROR((N5-AR5)/N5,"")</f>
        <v>0.9875</v>
      </c>
      <c r="AU5" s="35">
        <f t="shared" ref="AU5:AU30" si="14">IFERROR(AD5*AF5*AT5,"")</f>
        <v>0.8977272727</v>
      </c>
      <c r="AV5" s="36"/>
    </row>
    <row r="6">
      <c r="A6" s="25">
        <f t="shared" si="1"/>
        <v>3</v>
      </c>
      <c r="B6" s="26">
        <v>46242.0</v>
      </c>
      <c r="C6" s="27" t="s">
        <v>52</v>
      </c>
      <c r="D6" s="27" t="s">
        <v>53</v>
      </c>
      <c r="E6" s="28">
        <v>0.3541666666666667</v>
      </c>
      <c r="F6" s="28">
        <v>0.8541666666666666</v>
      </c>
      <c r="G6" s="27">
        <f t="shared" si="2"/>
        <v>720</v>
      </c>
      <c r="H6" s="27" t="s">
        <v>54</v>
      </c>
      <c r="I6" s="27" t="s">
        <v>55</v>
      </c>
      <c r="J6" s="27" t="s">
        <v>56</v>
      </c>
      <c r="K6" s="27">
        <v>2.0</v>
      </c>
      <c r="L6" s="27">
        <v>60.0</v>
      </c>
      <c r="M6" s="27">
        <f t="shared" si="3"/>
        <v>120</v>
      </c>
      <c r="N6" s="27">
        <v>1100.0</v>
      </c>
      <c r="O6" s="27">
        <v>30.0</v>
      </c>
      <c r="P6" s="27">
        <f t="shared" si="4"/>
        <v>690</v>
      </c>
      <c r="Q6" s="27"/>
      <c r="R6" s="27"/>
      <c r="S6" s="27">
        <v>20.0</v>
      </c>
      <c r="T6" s="27"/>
      <c r="U6" s="27"/>
      <c r="V6" s="27"/>
      <c r="W6" s="27"/>
      <c r="X6" s="27"/>
      <c r="Y6" s="27"/>
      <c r="Z6" s="27"/>
      <c r="AA6" s="27"/>
      <c r="AB6" s="27">
        <f t="shared" si="5"/>
        <v>20</v>
      </c>
      <c r="AC6" s="27">
        <f t="shared" si="6"/>
        <v>670</v>
      </c>
      <c r="AD6" s="29">
        <f t="shared" si="7"/>
        <v>0.9710144928</v>
      </c>
      <c r="AE6" s="30">
        <f t="shared" si="8"/>
        <v>98.50746269</v>
      </c>
      <c r="AF6" s="31">
        <f t="shared" si="9"/>
        <v>0.8208955224</v>
      </c>
      <c r="AG6" s="32">
        <f t="shared" si="10"/>
        <v>0.7971014493</v>
      </c>
      <c r="AH6" s="27"/>
      <c r="AI6" s="27"/>
      <c r="AJ6" s="27"/>
      <c r="AK6" s="27"/>
      <c r="AL6" s="27"/>
      <c r="AM6" s="27">
        <v>4.0</v>
      </c>
      <c r="AN6" s="27"/>
      <c r="AO6" s="27"/>
      <c r="AP6" s="27"/>
      <c r="AQ6" s="27"/>
      <c r="AR6" s="27">
        <f t="shared" si="11"/>
        <v>4</v>
      </c>
      <c r="AS6" s="33">
        <f t="shared" si="12"/>
        <v>3636.363636</v>
      </c>
      <c r="AT6" s="34">
        <f t="shared" si="13"/>
        <v>0.9963636364</v>
      </c>
      <c r="AU6" s="35">
        <f t="shared" si="14"/>
        <v>0.7942028986</v>
      </c>
      <c r="AV6" s="36"/>
    </row>
    <row r="7">
      <c r="A7" s="25">
        <f t="shared" si="1"/>
        <v>4</v>
      </c>
      <c r="B7" s="27"/>
      <c r="C7" s="27"/>
      <c r="D7" s="27"/>
      <c r="E7" s="27"/>
      <c r="F7" s="27"/>
      <c r="G7" s="27">
        <f t="shared" si="2"/>
        <v>0</v>
      </c>
      <c r="H7" s="27"/>
      <c r="I7" s="27"/>
      <c r="J7" s="27"/>
      <c r="K7" s="27"/>
      <c r="L7" s="27"/>
      <c r="M7" s="27" t="str">
        <f t="shared" si="3"/>
        <v/>
      </c>
      <c r="N7" s="27"/>
      <c r="O7" s="27"/>
      <c r="P7" s="27">
        <f t="shared" si="4"/>
        <v>0</v>
      </c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>
        <f t="shared" si="5"/>
        <v>0</v>
      </c>
      <c r="AC7" s="27">
        <f t="shared" si="6"/>
        <v>0</v>
      </c>
      <c r="AD7" s="29" t="str">
        <f t="shared" si="7"/>
        <v/>
      </c>
      <c r="AE7" s="27" t="str">
        <f t="shared" si="8"/>
        <v/>
      </c>
      <c r="AF7" s="31" t="str">
        <f t="shared" si="9"/>
        <v/>
      </c>
      <c r="AG7" s="32" t="str">
        <f t="shared" si="10"/>
        <v/>
      </c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>
        <f t="shared" si="11"/>
        <v>0</v>
      </c>
      <c r="AS7" s="33" t="str">
        <f t="shared" si="12"/>
        <v/>
      </c>
      <c r="AT7" s="34" t="str">
        <f t="shared" si="13"/>
        <v/>
      </c>
      <c r="AU7" s="35">
        <f t="shared" si="14"/>
        <v>0</v>
      </c>
      <c r="AV7" s="36"/>
    </row>
    <row r="8">
      <c r="A8" s="25">
        <f t="shared" si="1"/>
        <v>5</v>
      </c>
      <c r="B8" s="27"/>
      <c r="C8" s="27"/>
      <c r="D8" s="27"/>
      <c r="E8" s="27"/>
      <c r="F8" s="27"/>
      <c r="G8" s="27">
        <f t="shared" si="2"/>
        <v>0</v>
      </c>
      <c r="H8" s="27"/>
      <c r="I8" s="27"/>
      <c r="J8" s="27"/>
      <c r="K8" s="27"/>
      <c r="L8" s="27"/>
      <c r="M8" s="27" t="str">
        <f t="shared" si="3"/>
        <v/>
      </c>
      <c r="N8" s="27"/>
      <c r="O8" s="27"/>
      <c r="P8" s="27">
        <f t="shared" si="4"/>
        <v>0</v>
      </c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>
        <f t="shared" si="5"/>
        <v>0</v>
      </c>
      <c r="AC8" s="27">
        <f t="shared" si="6"/>
        <v>0</v>
      </c>
      <c r="AD8" s="29" t="str">
        <f t="shared" si="7"/>
        <v/>
      </c>
      <c r="AE8" s="27" t="str">
        <f t="shared" si="8"/>
        <v/>
      </c>
      <c r="AF8" s="31" t="str">
        <f t="shared" si="9"/>
        <v/>
      </c>
      <c r="AG8" s="32" t="str">
        <f t="shared" si="10"/>
        <v/>
      </c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>
        <f t="shared" si="11"/>
        <v>0</v>
      </c>
      <c r="AS8" s="33" t="str">
        <f t="shared" si="12"/>
        <v/>
      </c>
      <c r="AT8" s="34" t="str">
        <f t="shared" si="13"/>
        <v/>
      </c>
      <c r="AU8" s="35">
        <f t="shared" si="14"/>
        <v>0</v>
      </c>
      <c r="AV8" s="36"/>
    </row>
    <row r="9">
      <c r="A9" s="25">
        <f t="shared" si="1"/>
        <v>6</v>
      </c>
      <c r="B9" s="27"/>
      <c r="C9" s="27"/>
      <c r="D9" s="27"/>
      <c r="E9" s="27"/>
      <c r="F9" s="27"/>
      <c r="G9" s="27">
        <f t="shared" si="2"/>
        <v>0</v>
      </c>
      <c r="H9" s="27"/>
      <c r="I9" s="27"/>
      <c r="J9" s="27"/>
      <c r="K9" s="27"/>
      <c r="L9" s="27"/>
      <c r="M9" s="27" t="str">
        <f t="shared" si="3"/>
        <v/>
      </c>
      <c r="N9" s="27"/>
      <c r="O9" s="27"/>
      <c r="P9" s="27">
        <f t="shared" si="4"/>
        <v>0</v>
      </c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>
        <f t="shared" si="5"/>
        <v>0</v>
      </c>
      <c r="AC9" s="27">
        <f t="shared" si="6"/>
        <v>0</v>
      </c>
      <c r="AD9" s="29" t="str">
        <f t="shared" si="7"/>
        <v/>
      </c>
      <c r="AE9" s="27" t="str">
        <f t="shared" si="8"/>
        <v/>
      </c>
      <c r="AF9" s="31" t="str">
        <f t="shared" si="9"/>
        <v/>
      </c>
      <c r="AG9" s="32" t="str">
        <f t="shared" si="10"/>
        <v/>
      </c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>
        <f t="shared" si="11"/>
        <v>0</v>
      </c>
      <c r="AS9" s="33" t="str">
        <f t="shared" si="12"/>
        <v/>
      </c>
      <c r="AT9" s="34" t="str">
        <f t="shared" si="13"/>
        <v/>
      </c>
      <c r="AU9" s="35">
        <f t="shared" si="14"/>
        <v>0</v>
      </c>
      <c r="AV9" s="36"/>
    </row>
    <row r="10">
      <c r="A10" s="25">
        <f t="shared" si="1"/>
        <v>7</v>
      </c>
      <c r="B10" s="27"/>
      <c r="C10" s="27"/>
      <c r="D10" s="27"/>
      <c r="E10" s="27"/>
      <c r="F10" s="27"/>
      <c r="G10" s="27">
        <f t="shared" si="2"/>
        <v>0</v>
      </c>
      <c r="H10" s="27"/>
      <c r="I10" s="27"/>
      <c r="J10" s="27"/>
      <c r="K10" s="27"/>
      <c r="L10" s="27"/>
      <c r="M10" s="27" t="str">
        <f t="shared" si="3"/>
        <v/>
      </c>
      <c r="N10" s="27"/>
      <c r="O10" s="27"/>
      <c r="P10" s="27">
        <f t="shared" si="4"/>
        <v>0</v>
      </c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>
        <f t="shared" si="5"/>
        <v>0</v>
      </c>
      <c r="AC10" s="27">
        <f t="shared" si="6"/>
        <v>0</v>
      </c>
      <c r="AD10" s="29" t="str">
        <f t="shared" si="7"/>
        <v/>
      </c>
      <c r="AE10" s="27" t="str">
        <f t="shared" si="8"/>
        <v/>
      </c>
      <c r="AF10" s="31" t="str">
        <f t="shared" si="9"/>
        <v/>
      </c>
      <c r="AG10" s="32" t="str">
        <f t="shared" si="10"/>
        <v/>
      </c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>
        <f t="shared" si="11"/>
        <v>0</v>
      </c>
      <c r="AS10" s="33" t="str">
        <f t="shared" si="12"/>
        <v/>
      </c>
      <c r="AT10" s="34" t="str">
        <f t="shared" si="13"/>
        <v/>
      </c>
      <c r="AU10" s="35">
        <f t="shared" si="14"/>
        <v>0</v>
      </c>
      <c r="AV10" s="36"/>
    </row>
    <row r="11">
      <c r="A11" s="25">
        <f t="shared" si="1"/>
        <v>8</v>
      </c>
      <c r="B11" s="27"/>
      <c r="C11" s="27"/>
      <c r="D11" s="27"/>
      <c r="E11" s="27"/>
      <c r="F11" s="27"/>
      <c r="G11" s="27">
        <f t="shared" si="2"/>
        <v>0</v>
      </c>
      <c r="H11" s="27"/>
      <c r="I11" s="27"/>
      <c r="J11" s="27"/>
      <c r="K11" s="27"/>
      <c r="L11" s="27"/>
      <c r="M11" s="27" t="str">
        <f t="shared" si="3"/>
        <v/>
      </c>
      <c r="N11" s="27"/>
      <c r="O11" s="27"/>
      <c r="P11" s="27">
        <f t="shared" si="4"/>
        <v>0</v>
      </c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>
        <f t="shared" si="5"/>
        <v>0</v>
      </c>
      <c r="AC11" s="27">
        <f t="shared" si="6"/>
        <v>0</v>
      </c>
      <c r="AD11" s="29" t="str">
        <f t="shared" si="7"/>
        <v/>
      </c>
      <c r="AE11" s="27" t="str">
        <f t="shared" si="8"/>
        <v/>
      </c>
      <c r="AF11" s="31" t="str">
        <f t="shared" si="9"/>
        <v/>
      </c>
      <c r="AG11" s="32" t="str">
        <f t="shared" si="10"/>
        <v/>
      </c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>
        <f t="shared" si="11"/>
        <v>0</v>
      </c>
      <c r="AS11" s="33" t="str">
        <f t="shared" si="12"/>
        <v/>
      </c>
      <c r="AT11" s="34" t="str">
        <f t="shared" si="13"/>
        <v/>
      </c>
      <c r="AU11" s="35">
        <f t="shared" si="14"/>
        <v>0</v>
      </c>
      <c r="AV11" s="36"/>
    </row>
    <row r="12">
      <c r="A12" s="25">
        <f t="shared" si="1"/>
        <v>9</v>
      </c>
      <c r="B12" s="27"/>
      <c r="C12" s="27"/>
      <c r="D12" s="27"/>
      <c r="E12" s="27"/>
      <c r="F12" s="27"/>
      <c r="G12" s="27">
        <f t="shared" si="2"/>
        <v>0</v>
      </c>
      <c r="H12" s="27"/>
      <c r="I12" s="27"/>
      <c r="J12" s="27"/>
      <c r="K12" s="27"/>
      <c r="L12" s="27"/>
      <c r="M12" s="27" t="str">
        <f t="shared" si="3"/>
        <v/>
      </c>
      <c r="N12" s="27"/>
      <c r="O12" s="27"/>
      <c r="P12" s="27">
        <f t="shared" si="4"/>
        <v>0</v>
      </c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>
        <f t="shared" si="5"/>
        <v>0</v>
      </c>
      <c r="AC12" s="27">
        <f t="shared" si="6"/>
        <v>0</v>
      </c>
      <c r="AD12" s="29" t="str">
        <f t="shared" si="7"/>
        <v/>
      </c>
      <c r="AE12" s="27" t="str">
        <f t="shared" si="8"/>
        <v/>
      </c>
      <c r="AF12" s="31" t="str">
        <f t="shared" si="9"/>
        <v/>
      </c>
      <c r="AG12" s="32" t="str">
        <f t="shared" si="10"/>
        <v/>
      </c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>
        <f t="shared" si="11"/>
        <v>0</v>
      </c>
      <c r="AS12" s="33" t="str">
        <f t="shared" si="12"/>
        <v/>
      </c>
      <c r="AT12" s="34" t="str">
        <f t="shared" si="13"/>
        <v/>
      </c>
      <c r="AU12" s="35">
        <f t="shared" si="14"/>
        <v>0</v>
      </c>
      <c r="AV12" s="36"/>
    </row>
    <row r="13">
      <c r="A13" s="25">
        <f t="shared" si="1"/>
        <v>10</v>
      </c>
      <c r="B13" s="27"/>
      <c r="C13" s="27"/>
      <c r="D13" s="27"/>
      <c r="E13" s="27"/>
      <c r="F13" s="27"/>
      <c r="G13" s="27">
        <f t="shared" si="2"/>
        <v>0</v>
      </c>
      <c r="H13" s="27"/>
      <c r="I13" s="27"/>
      <c r="J13" s="27"/>
      <c r="K13" s="27"/>
      <c r="L13" s="27"/>
      <c r="M13" s="27" t="str">
        <f t="shared" si="3"/>
        <v/>
      </c>
      <c r="N13" s="27"/>
      <c r="O13" s="27"/>
      <c r="P13" s="27">
        <f t="shared" si="4"/>
        <v>0</v>
      </c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>
        <f t="shared" si="5"/>
        <v>0</v>
      </c>
      <c r="AC13" s="27">
        <f t="shared" si="6"/>
        <v>0</v>
      </c>
      <c r="AD13" s="29" t="str">
        <f t="shared" si="7"/>
        <v/>
      </c>
      <c r="AE13" s="27" t="str">
        <f t="shared" si="8"/>
        <v/>
      </c>
      <c r="AF13" s="31" t="str">
        <f t="shared" si="9"/>
        <v/>
      </c>
      <c r="AG13" s="32" t="str">
        <f t="shared" si="10"/>
        <v/>
      </c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>
        <f t="shared" si="11"/>
        <v>0</v>
      </c>
      <c r="AS13" s="33" t="str">
        <f t="shared" si="12"/>
        <v/>
      </c>
      <c r="AT13" s="34" t="str">
        <f t="shared" si="13"/>
        <v/>
      </c>
      <c r="AU13" s="35">
        <f t="shared" si="14"/>
        <v>0</v>
      </c>
      <c r="AV13" s="36"/>
    </row>
    <row r="14">
      <c r="A14" s="25">
        <f t="shared" si="1"/>
        <v>11</v>
      </c>
      <c r="B14" s="27"/>
      <c r="C14" s="27"/>
      <c r="D14" s="27"/>
      <c r="E14" s="27"/>
      <c r="F14" s="27"/>
      <c r="G14" s="27">
        <f t="shared" si="2"/>
        <v>0</v>
      </c>
      <c r="H14" s="27"/>
      <c r="I14" s="27"/>
      <c r="J14" s="27"/>
      <c r="K14" s="27"/>
      <c r="L14" s="27"/>
      <c r="M14" s="27" t="str">
        <f t="shared" si="3"/>
        <v/>
      </c>
      <c r="N14" s="27"/>
      <c r="O14" s="27"/>
      <c r="P14" s="27">
        <f t="shared" si="4"/>
        <v>0</v>
      </c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>
        <f t="shared" si="5"/>
        <v>0</v>
      </c>
      <c r="AC14" s="27">
        <f t="shared" si="6"/>
        <v>0</v>
      </c>
      <c r="AD14" s="29" t="str">
        <f t="shared" si="7"/>
        <v/>
      </c>
      <c r="AE14" s="27" t="str">
        <f t="shared" si="8"/>
        <v/>
      </c>
      <c r="AF14" s="31" t="str">
        <f t="shared" si="9"/>
        <v/>
      </c>
      <c r="AG14" s="32" t="str">
        <f t="shared" si="10"/>
        <v/>
      </c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>
        <f t="shared" si="11"/>
        <v>0</v>
      </c>
      <c r="AS14" s="33" t="str">
        <f t="shared" si="12"/>
        <v/>
      </c>
      <c r="AT14" s="34" t="str">
        <f t="shared" si="13"/>
        <v/>
      </c>
      <c r="AU14" s="35">
        <f t="shared" si="14"/>
        <v>0</v>
      </c>
      <c r="AV14" s="36"/>
    </row>
    <row r="15">
      <c r="A15" s="25">
        <f t="shared" si="1"/>
        <v>12</v>
      </c>
      <c r="B15" s="27"/>
      <c r="C15" s="27"/>
      <c r="D15" s="27"/>
      <c r="E15" s="27"/>
      <c r="F15" s="27"/>
      <c r="G15" s="27">
        <f t="shared" si="2"/>
        <v>0</v>
      </c>
      <c r="H15" s="27"/>
      <c r="I15" s="27"/>
      <c r="J15" s="27"/>
      <c r="K15" s="27"/>
      <c r="L15" s="27"/>
      <c r="M15" s="27" t="str">
        <f t="shared" si="3"/>
        <v/>
      </c>
      <c r="N15" s="27"/>
      <c r="O15" s="27"/>
      <c r="P15" s="27">
        <f t="shared" si="4"/>
        <v>0</v>
      </c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>
        <f t="shared" si="5"/>
        <v>0</v>
      </c>
      <c r="AC15" s="27">
        <f t="shared" si="6"/>
        <v>0</v>
      </c>
      <c r="AD15" s="29" t="str">
        <f t="shared" si="7"/>
        <v/>
      </c>
      <c r="AE15" s="27" t="str">
        <f t="shared" si="8"/>
        <v/>
      </c>
      <c r="AF15" s="31" t="str">
        <f t="shared" si="9"/>
        <v/>
      </c>
      <c r="AG15" s="32" t="str">
        <f t="shared" si="10"/>
        <v/>
      </c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>
        <f t="shared" si="11"/>
        <v>0</v>
      </c>
      <c r="AS15" s="33" t="str">
        <f t="shared" si="12"/>
        <v/>
      </c>
      <c r="AT15" s="34" t="str">
        <f t="shared" si="13"/>
        <v/>
      </c>
      <c r="AU15" s="35">
        <f t="shared" si="14"/>
        <v>0</v>
      </c>
      <c r="AV15" s="36"/>
    </row>
    <row r="16">
      <c r="A16" s="25">
        <f t="shared" si="1"/>
        <v>13</v>
      </c>
      <c r="B16" s="27"/>
      <c r="C16" s="27"/>
      <c r="D16" s="27"/>
      <c r="E16" s="27"/>
      <c r="F16" s="27"/>
      <c r="G16" s="27">
        <f t="shared" si="2"/>
        <v>0</v>
      </c>
      <c r="H16" s="27"/>
      <c r="I16" s="27"/>
      <c r="J16" s="27"/>
      <c r="K16" s="27"/>
      <c r="L16" s="27"/>
      <c r="M16" s="27" t="str">
        <f t="shared" si="3"/>
        <v/>
      </c>
      <c r="N16" s="27"/>
      <c r="O16" s="27"/>
      <c r="P16" s="27">
        <f t="shared" si="4"/>
        <v>0</v>
      </c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>
        <f t="shared" si="5"/>
        <v>0</v>
      </c>
      <c r="AC16" s="27">
        <f t="shared" si="6"/>
        <v>0</v>
      </c>
      <c r="AD16" s="29" t="str">
        <f t="shared" si="7"/>
        <v/>
      </c>
      <c r="AE16" s="27" t="str">
        <f t="shared" si="8"/>
        <v/>
      </c>
      <c r="AF16" s="31" t="str">
        <f t="shared" si="9"/>
        <v/>
      </c>
      <c r="AG16" s="32" t="str">
        <f t="shared" si="10"/>
        <v/>
      </c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>
        <f t="shared" si="11"/>
        <v>0</v>
      </c>
      <c r="AS16" s="33" t="str">
        <f t="shared" si="12"/>
        <v/>
      </c>
      <c r="AT16" s="34" t="str">
        <f t="shared" si="13"/>
        <v/>
      </c>
      <c r="AU16" s="35">
        <f t="shared" si="14"/>
        <v>0</v>
      </c>
      <c r="AV16" s="36"/>
    </row>
    <row r="17">
      <c r="A17" s="25">
        <f t="shared" si="1"/>
        <v>14</v>
      </c>
      <c r="B17" s="27"/>
      <c r="C17" s="27"/>
      <c r="D17" s="27"/>
      <c r="E17" s="27"/>
      <c r="F17" s="27"/>
      <c r="G17" s="27">
        <f t="shared" si="2"/>
        <v>0</v>
      </c>
      <c r="H17" s="27"/>
      <c r="I17" s="27"/>
      <c r="J17" s="27"/>
      <c r="K17" s="27"/>
      <c r="L17" s="27"/>
      <c r="M17" s="27" t="str">
        <f t="shared" si="3"/>
        <v/>
      </c>
      <c r="N17" s="27"/>
      <c r="O17" s="27"/>
      <c r="P17" s="27">
        <f t="shared" si="4"/>
        <v>0</v>
      </c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>
        <f t="shared" si="5"/>
        <v>0</v>
      </c>
      <c r="AC17" s="27">
        <f t="shared" si="6"/>
        <v>0</v>
      </c>
      <c r="AD17" s="29" t="str">
        <f t="shared" si="7"/>
        <v/>
      </c>
      <c r="AE17" s="27" t="str">
        <f t="shared" si="8"/>
        <v/>
      </c>
      <c r="AF17" s="31" t="str">
        <f t="shared" si="9"/>
        <v/>
      </c>
      <c r="AG17" s="32" t="str">
        <f t="shared" si="10"/>
        <v/>
      </c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>
        <f t="shared" si="11"/>
        <v>0</v>
      </c>
      <c r="AS17" s="33" t="str">
        <f t="shared" si="12"/>
        <v/>
      </c>
      <c r="AT17" s="34" t="str">
        <f t="shared" si="13"/>
        <v/>
      </c>
      <c r="AU17" s="35">
        <f t="shared" si="14"/>
        <v>0</v>
      </c>
      <c r="AV17" s="36"/>
    </row>
    <row r="18">
      <c r="A18" s="25">
        <f t="shared" si="1"/>
        <v>15</v>
      </c>
      <c r="B18" s="27"/>
      <c r="C18" s="27"/>
      <c r="D18" s="27"/>
      <c r="E18" s="27"/>
      <c r="F18" s="27"/>
      <c r="G18" s="27">
        <f t="shared" si="2"/>
        <v>0</v>
      </c>
      <c r="H18" s="27"/>
      <c r="I18" s="27"/>
      <c r="J18" s="27"/>
      <c r="K18" s="27"/>
      <c r="L18" s="27"/>
      <c r="M18" s="27" t="str">
        <f t="shared" si="3"/>
        <v/>
      </c>
      <c r="N18" s="27"/>
      <c r="O18" s="27"/>
      <c r="P18" s="27">
        <f t="shared" si="4"/>
        <v>0</v>
      </c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>
        <f t="shared" si="5"/>
        <v>0</v>
      </c>
      <c r="AC18" s="27">
        <f t="shared" si="6"/>
        <v>0</v>
      </c>
      <c r="AD18" s="29" t="str">
        <f t="shared" si="7"/>
        <v/>
      </c>
      <c r="AE18" s="27" t="str">
        <f t="shared" si="8"/>
        <v/>
      </c>
      <c r="AF18" s="31" t="str">
        <f t="shared" si="9"/>
        <v/>
      </c>
      <c r="AG18" s="32" t="str">
        <f t="shared" si="10"/>
        <v/>
      </c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>
        <f t="shared" si="11"/>
        <v>0</v>
      </c>
      <c r="AS18" s="33" t="str">
        <f t="shared" si="12"/>
        <v/>
      </c>
      <c r="AT18" s="34" t="str">
        <f t="shared" si="13"/>
        <v/>
      </c>
      <c r="AU18" s="35">
        <f t="shared" si="14"/>
        <v>0</v>
      </c>
      <c r="AV18" s="36"/>
    </row>
    <row r="19">
      <c r="A19" s="25">
        <f t="shared" si="1"/>
        <v>16</v>
      </c>
      <c r="B19" s="27"/>
      <c r="C19" s="27"/>
      <c r="D19" s="27"/>
      <c r="E19" s="27"/>
      <c r="F19" s="27"/>
      <c r="G19" s="27">
        <f t="shared" si="2"/>
        <v>0</v>
      </c>
      <c r="H19" s="27"/>
      <c r="I19" s="27"/>
      <c r="J19" s="27"/>
      <c r="K19" s="27"/>
      <c r="L19" s="27"/>
      <c r="M19" s="27" t="str">
        <f t="shared" si="3"/>
        <v/>
      </c>
      <c r="N19" s="27"/>
      <c r="O19" s="27"/>
      <c r="P19" s="27">
        <f t="shared" si="4"/>
        <v>0</v>
      </c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>
        <f t="shared" si="5"/>
        <v>0</v>
      </c>
      <c r="AC19" s="27">
        <f t="shared" si="6"/>
        <v>0</v>
      </c>
      <c r="AD19" s="29" t="str">
        <f t="shared" si="7"/>
        <v/>
      </c>
      <c r="AE19" s="27" t="str">
        <f t="shared" si="8"/>
        <v/>
      </c>
      <c r="AF19" s="31" t="str">
        <f t="shared" si="9"/>
        <v/>
      </c>
      <c r="AG19" s="32" t="str">
        <f t="shared" si="10"/>
        <v/>
      </c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>
        <f t="shared" si="11"/>
        <v>0</v>
      </c>
      <c r="AS19" s="33" t="str">
        <f t="shared" si="12"/>
        <v/>
      </c>
      <c r="AT19" s="34" t="str">
        <f t="shared" si="13"/>
        <v/>
      </c>
      <c r="AU19" s="35">
        <f t="shared" si="14"/>
        <v>0</v>
      </c>
      <c r="AV19" s="36"/>
    </row>
    <row r="20">
      <c r="A20" s="25">
        <f t="shared" si="1"/>
        <v>17</v>
      </c>
      <c r="B20" s="27"/>
      <c r="C20" s="27"/>
      <c r="D20" s="27"/>
      <c r="E20" s="27"/>
      <c r="F20" s="27"/>
      <c r="G20" s="27">
        <f t="shared" si="2"/>
        <v>0</v>
      </c>
      <c r="H20" s="27"/>
      <c r="I20" s="27"/>
      <c r="J20" s="27"/>
      <c r="K20" s="27"/>
      <c r="L20" s="27"/>
      <c r="M20" s="27" t="str">
        <f t="shared" si="3"/>
        <v/>
      </c>
      <c r="N20" s="27"/>
      <c r="O20" s="27"/>
      <c r="P20" s="27">
        <f t="shared" si="4"/>
        <v>0</v>
      </c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>
        <f t="shared" si="5"/>
        <v>0</v>
      </c>
      <c r="AC20" s="27">
        <f t="shared" si="6"/>
        <v>0</v>
      </c>
      <c r="AD20" s="29" t="str">
        <f t="shared" si="7"/>
        <v/>
      </c>
      <c r="AE20" s="27" t="str">
        <f t="shared" si="8"/>
        <v/>
      </c>
      <c r="AF20" s="31" t="str">
        <f t="shared" si="9"/>
        <v/>
      </c>
      <c r="AG20" s="32" t="str">
        <f t="shared" si="10"/>
        <v/>
      </c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>
        <f t="shared" si="11"/>
        <v>0</v>
      </c>
      <c r="AS20" s="33" t="str">
        <f t="shared" si="12"/>
        <v/>
      </c>
      <c r="AT20" s="34" t="str">
        <f t="shared" si="13"/>
        <v/>
      </c>
      <c r="AU20" s="35">
        <f t="shared" si="14"/>
        <v>0</v>
      </c>
      <c r="AV20" s="36"/>
    </row>
    <row r="21">
      <c r="A21" s="25">
        <f t="shared" si="1"/>
        <v>18</v>
      </c>
      <c r="B21" s="27"/>
      <c r="C21" s="27"/>
      <c r="D21" s="27"/>
      <c r="E21" s="27"/>
      <c r="F21" s="27"/>
      <c r="G21" s="27">
        <f t="shared" si="2"/>
        <v>0</v>
      </c>
      <c r="H21" s="27"/>
      <c r="I21" s="27"/>
      <c r="J21" s="27"/>
      <c r="K21" s="27"/>
      <c r="L21" s="27"/>
      <c r="M21" s="27" t="str">
        <f t="shared" si="3"/>
        <v/>
      </c>
      <c r="N21" s="27"/>
      <c r="O21" s="27"/>
      <c r="P21" s="27">
        <f t="shared" si="4"/>
        <v>0</v>
      </c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>
        <f t="shared" si="5"/>
        <v>0</v>
      </c>
      <c r="AC21" s="27">
        <f t="shared" si="6"/>
        <v>0</v>
      </c>
      <c r="AD21" s="29" t="str">
        <f t="shared" si="7"/>
        <v/>
      </c>
      <c r="AE21" s="27" t="str">
        <f t="shared" si="8"/>
        <v/>
      </c>
      <c r="AF21" s="31" t="str">
        <f t="shared" si="9"/>
        <v/>
      </c>
      <c r="AG21" s="32" t="str">
        <f t="shared" si="10"/>
        <v/>
      </c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>
        <f t="shared" si="11"/>
        <v>0</v>
      </c>
      <c r="AS21" s="33" t="str">
        <f t="shared" si="12"/>
        <v/>
      </c>
      <c r="AT21" s="34" t="str">
        <f t="shared" si="13"/>
        <v/>
      </c>
      <c r="AU21" s="35">
        <f t="shared" si="14"/>
        <v>0</v>
      </c>
      <c r="AV21" s="36"/>
    </row>
    <row r="22">
      <c r="A22" s="25">
        <f t="shared" si="1"/>
        <v>19</v>
      </c>
      <c r="B22" s="27"/>
      <c r="C22" s="27"/>
      <c r="D22" s="27"/>
      <c r="E22" s="27"/>
      <c r="F22" s="27"/>
      <c r="G22" s="27">
        <f t="shared" si="2"/>
        <v>0</v>
      </c>
      <c r="H22" s="27"/>
      <c r="I22" s="27"/>
      <c r="J22" s="27"/>
      <c r="K22" s="27"/>
      <c r="L22" s="27"/>
      <c r="M22" s="27" t="str">
        <f t="shared" si="3"/>
        <v/>
      </c>
      <c r="N22" s="27"/>
      <c r="O22" s="27"/>
      <c r="P22" s="27">
        <f t="shared" si="4"/>
        <v>0</v>
      </c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>
        <f t="shared" si="5"/>
        <v>0</v>
      </c>
      <c r="AC22" s="27">
        <f t="shared" si="6"/>
        <v>0</v>
      </c>
      <c r="AD22" s="29" t="str">
        <f t="shared" si="7"/>
        <v/>
      </c>
      <c r="AE22" s="27" t="str">
        <f t="shared" si="8"/>
        <v/>
      </c>
      <c r="AF22" s="31" t="str">
        <f t="shared" si="9"/>
        <v/>
      </c>
      <c r="AG22" s="32" t="str">
        <f t="shared" si="10"/>
        <v/>
      </c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>
        <f t="shared" si="11"/>
        <v>0</v>
      </c>
      <c r="AS22" s="33" t="str">
        <f t="shared" si="12"/>
        <v/>
      </c>
      <c r="AT22" s="34" t="str">
        <f t="shared" si="13"/>
        <v/>
      </c>
      <c r="AU22" s="35">
        <f t="shared" si="14"/>
        <v>0</v>
      </c>
      <c r="AV22" s="36"/>
    </row>
    <row r="23">
      <c r="A23" s="25">
        <f t="shared" si="1"/>
        <v>20</v>
      </c>
      <c r="B23" s="27"/>
      <c r="C23" s="27"/>
      <c r="D23" s="27"/>
      <c r="E23" s="27"/>
      <c r="F23" s="27"/>
      <c r="G23" s="27">
        <f t="shared" si="2"/>
        <v>0</v>
      </c>
      <c r="H23" s="27"/>
      <c r="I23" s="27"/>
      <c r="J23" s="27"/>
      <c r="K23" s="27"/>
      <c r="L23" s="27"/>
      <c r="M23" s="27" t="str">
        <f t="shared" si="3"/>
        <v/>
      </c>
      <c r="N23" s="27"/>
      <c r="O23" s="27"/>
      <c r="P23" s="27">
        <f t="shared" si="4"/>
        <v>0</v>
      </c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>
        <f t="shared" si="5"/>
        <v>0</v>
      </c>
      <c r="AC23" s="27">
        <f t="shared" si="6"/>
        <v>0</v>
      </c>
      <c r="AD23" s="29" t="str">
        <f t="shared" si="7"/>
        <v/>
      </c>
      <c r="AE23" s="27" t="str">
        <f t="shared" si="8"/>
        <v/>
      </c>
      <c r="AF23" s="31" t="str">
        <f t="shared" si="9"/>
        <v/>
      </c>
      <c r="AG23" s="32" t="str">
        <f t="shared" si="10"/>
        <v/>
      </c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>
        <f t="shared" si="11"/>
        <v>0</v>
      </c>
      <c r="AS23" s="33" t="str">
        <f t="shared" si="12"/>
        <v/>
      </c>
      <c r="AT23" s="34" t="str">
        <f t="shared" si="13"/>
        <v/>
      </c>
      <c r="AU23" s="35">
        <f t="shared" si="14"/>
        <v>0</v>
      </c>
      <c r="AV23" s="36"/>
    </row>
    <row r="24">
      <c r="A24" s="25">
        <f t="shared" si="1"/>
        <v>21</v>
      </c>
      <c r="B24" s="27"/>
      <c r="C24" s="27"/>
      <c r="D24" s="27"/>
      <c r="E24" s="27"/>
      <c r="F24" s="27"/>
      <c r="G24" s="27">
        <f t="shared" si="2"/>
        <v>0</v>
      </c>
      <c r="H24" s="27"/>
      <c r="I24" s="27"/>
      <c r="J24" s="27"/>
      <c r="K24" s="27"/>
      <c r="L24" s="27"/>
      <c r="M24" s="27" t="str">
        <f t="shared" si="3"/>
        <v/>
      </c>
      <c r="N24" s="27"/>
      <c r="O24" s="27"/>
      <c r="P24" s="27">
        <f t="shared" si="4"/>
        <v>0</v>
      </c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>
        <f t="shared" si="5"/>
        <v>0</v>
      </c>
      <c r="AC24" s="27">
        <f t="shared" si="6"/>
        <v>0</v>
      </c>
      <c r="AD24" s="29" t="str">
        <f t="shared" si="7"/>
        <v/>
      </c>
      <c r="AE24" s="27" t="str">
        <f t="shared" si="8"/>
        <v/>
      </c>
      <c r="AF24" s="31" t="str">
        <f t="shared" si="9"/>
        <v/>
      </c>
      <c r="AG24" s="32" t="str">
        <f t="shared" si="10"/>
        <v/>
      </c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>
        <f t="shared" si="11"/>
        <v>0</v>
      </c>
      <c r="AS24" s="33" t="str">
        <f t="shared" si="12"/>
        <v/>
      </c>
      <c r="AT24" s="34" t="str">
        <f t="shared" si="13"/>
        <v/>
      </c>
      <c r="AU24" s="35">
        <f t="shared" si="14"/>
        <v>0</v>
      </c>
      <c r="AV24" s="36"/>
    </row>
    <row r="25">
      <c r="A25" s="25">
        <f t="shared" si="1"/>
        <v>22</v>
      </c>
      <c r="B25" s="27"/>
      <c r="C25" s="27"/>
      <c r="D25" s="27"/>
      <c r="E25" s="27"/>
      <c r="F25" s="27"/>
      <c r="G25" s="27">
        <f t="shared" si="2"/>
        <v>0</v>
      </c>
      <c r="H25" s="27"/>
      <c r="I25" s="27"/>
      <c r="J25" s="27"/>
      <c r="K25" s="27"/>
      <c r="L25" s="27"/>
      <c r="M25" s="27" t="str">
        <f t="shared" si="3"/>
        <v/>
      </c>
      <c r="N25" s="27"/>
      <c r="O25" s="27"/>
      <c r="P25" s="27">
        <f t="shared" si="4"/>
        <v>0</v>
      </c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>
        <f t="shared" si="5"/>
        <v>0</v>
      </c>
      <c r="AC25" s="27">
        <f t="shared" si="6"/>
        <v>0</v>
      </c>
      <c r="AD25" s="29" t="str">
        <f t="shared" si="7"/>
        <v/>
      </c>
      <c r="AE25" s="27" t="str">
        <f t="shared" si="8"/>
        <v/>
      </c>
      <c r="AF25" s="31" t="str">
        <f t="shared" si="9"/>
        <v/>
      </c>
      <c r="AG25" s="32" t="str">
        <f t="shared" si="10"/>
        <v/>
      </c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>
        <f t="shared" si="11"/>
        <v>0</v>
      </c>
      <c r="AS25" s="33" t="str">
        <f t="shared" si="12"/>
        <v/>
      </c>
      <c r="AT25" s="34" t="str">
        <f t="shared" si="13"/>
        <v/>
      </c>
      <c r="AU25" s="35">
        <f t="shared" si="14"/>
        <v>0</v>
      </c>
      <c r="AV25" s="36"/>
    </row>
    <row r="26">
      <c r="A26" s="25">
        <f t="shared" si="1"/>
        <v>23</v>
      </c>
      <c r="B26" s="27"/>
      <c r="C26" s="27"/>
      <c r="D26" s="27"/>
      <c r="E26" s="27"/>
      <c r="F26" s="27"/>
      <c r="G26" s="27">
        <f t="shared" si="2"/>
        <v>0</v>
      </c>
      <c r="H26" s="27"/>
      <c r="I26" s="27"/>
      <c r="J26" s="27"/>
      <c r="K26" s="27"/>
      <c r="L26" s="27"/>
      <c r="M26" s="27" t="str">
        <f t="shared" si="3"/>
        <v/>
      </c>
      <c r="N26" s="27"/>
      <c r="O26" s="27"/>
      <c r="P26" s="27">
        <f t="shared" si="4"/>
        <v>0</v>
      </c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>
        <f t="shared" si="5"/>
        <v>0</v>
      </c>
      <c r="AC26" s="27">
        <f t="shared" si="6"/>
        <v>0</v>
      </c>
      <c r="AD26" s="29" t="str">
        <f t="shared" si="7"/>
        <v/>
      </c>
      <c r="AE26" s="27" t="str">
        <f t="shared" si="8"/>
        <v/>
      </c>
      <c r="AF26" s="31" t="str">
        <f t="shared" si="9"/>
        <v/>
      </c>
      <c r="AG26" s="32" t="str">
        <f t="shared" si="10"/>
        <v/>
      </c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>
        <f t="shared" si="11"/>
        <v>0</v>
      </c>
      <c r="AS26" s="33" t="str">
        <f t="shared" si="12"/>
        <v/>
      </c>
      <c r="AT26" s="34" t="str">
        <f t="shared" si="13"/>
        <v/>
      </c>
      <c r="AU26" s="35">
        <f t="shared" si="14"/>
        <v>0</v>
      </c>
      <c r="AV26" s="36"/>
    </row>
    <row r="27">
      <c r="A27" s="25">
        <f t="shared" si="1"/>
        <v>24</v>
      </c>
      <c r="B27" s="27"/>
      <c r="C27" s="27"/>
      <c r="D27" s="27"/>
      <c r="E27" s="27"/>
      <c r="F27" s="27"/>
      <c r="G27" s="27">
        <f t="shared" si="2"/>
        <v>0</v>
      </c>
      <c r="H27" s="27"/>
      <c r="I27" s="27"/>
      <c r="J27" s="27"/>
      <c r="K27" s="27"/>
      <c r="L27" s="27"/>
      <c r="M27" s="27" t="str">
        <f t="shared" si="3"/>
        <v/>
      </c>
      <c r="N27" s="27"/>
      <c r="O27" s="27"/>
      <c r="P27" s="27">
        <f t="shared" si="4"/>
        <v>0</v>
      </c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>
        <f t="shared" si="5"/>
        <v>0</v>
      </c>
      <c r="AC27" s="27">
        <f t="shared" si="6"/>
        <v>0</v>
      </c>
      <c r="AD27" s="29" t="str">
        <f t="shared" si="7"/>
        <v/>
      </c>
      <c r="AE27" s="27" t="str">
        <f t="shared" si="8"/>
        <v/>
      </c>
      <c r="AF27" s="31" t="str">
        <f t="shared" si="9"/>
        <v/>
      </c>
      <c r="AG27" s="32" t="str">
        <f t="shared" si="10"/>
        <v/>
      </c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>
        <f t="shared" si="11"/>
        <v>0</v>
      </c>
      <c r="AS27" s="33" t="str">
        <f t="shared" si="12"/>
        <v/>
      </c>
      <c r="AT27" s="34" t="str">
        <f t="shared" si="13"/>
        <v/>
      </c>
      <c r="AU27" s="35">
        <f t="shared" si="14"/>
        <v>0</v>
      </c>
      <c r="AV27" s="36"/>
    </row>
    <row r="28">
      <c r="A28" s="25">
        <f t="shared" si="1"/>
        <v>25</v>
      </c>
      <c r="B28" s="27"/>
      <c r="C28" s="27"/>
      <c r="D28" s="27"/>
      <c r="E28" s="27"/>
      <c r="F28" s="27"/>
      <c r="G28" s="27">
        <f t="shared" si="2"/>
        <v>0</v>
      </c>
      <c r="H28" s="27"/>
      <c r="I28" s="27"/>
      <c r="J28" s="27"/>
      <c r="K28" s="27"/>
      <c r="L28" s="27"/>
      <c r="M28" s="27" t="str">
        <f t="shared" si="3"/>
        <v/>
      </c>
      <c r="N28" s="27"/>
      <c r="O28" s="27"/>
      <c r="P28" s="27">
        <f t="shared" si="4"/>
        <v>0</v>
      </c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>
        <f t="shared" si="5"/>
        <v>0</v>
      </c>
      <c r="AC28" s="27">
        <f t="shared" si="6"/>
        <v>0</v>
      </c>
      <c r="AD28" s="29" t="str">
        <f t="shared" si="7"/>
        <v/>
      </c>
      <c r="AE28" s="27" t="str">
        <f t="shared" si="8"/>
        <v/>
      </c>
      <c r="AF28" s="31" t="str">
        <f t="shared" si="9"/>
        <v/>
      </c>
      <c r="AG28" s="32" t="str">
        <f t="shared" si="10"/>
        <v/>
      </c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>
        <f t="shared" si="11"/>
        <v>0</v>
      </c>
      <c r="AS28" s="33" t="str">
        <f t="shared" si="12"/>
        <v/>
      </c>
      <c r="AT28" s="34" t="str">
        <f t="shared" si="13"/>
        <v/>
      </c>
      <c r="AU28" s="35">
        <f t="shared" si="14"/>
        <v>0</v>
      </c>
      <c r="AV28" s="36"/>
    </row>
    <row r="29">
      <c r="A29" s="25">
        <f t="shared" si="1"/>
        <v>26</v>
      </c>
      <c r="B29" s="27"/>
      <c r="C29" s="27"/>
      <c r="D29" s="27"/>
      <c r="E29" s="27"/>
      <c r="F29" s="27"/>
      <c r="G29" s="27">
        <f t="shared" si="2"/>
        <v>0</v>
      </c>
      <c r="H29" s="27"/>
      <c r="I29" s="27"/>
      <c r="J29" s="27"/>
      <c r="K29" s="27"/>
      <c r="L29" s="27"/>
      <c r="M29" s="27" t="str">
        <f t="shared" si="3"/>
        <v/>
      </c>
      <c r="N29" s="27"/>
      <c r="O29" s="27"/>
      <c r="P29" s="27">
        <f t="shared" si="4"/>
        <v>0</v>
      </c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>
        <f t="shared" si="5"/>
        <v>0</v>
      </c>
      <c r="AC29" s="27">
        <f t="shared" si="6"/>
        <v>0</v>
      </c>
      <c r="AD29" s="29" t="str">
        <f t="shared" si="7"/>
        <v/>
      </c>
      <c r="AE29" s="27" t="str">
        <f t="shared" si="8"/>
        <v/>
      </c>
      <c r="AF29" s="31" t="str">
        <f t="shared" si="9"/>
        <v/>
      </c>
      <c r="AG29" s="32" t="str">
        <f t="shared" si="10"/>
        <v/>
      </c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>
        <f t="shared" si="11"/>
        <v>0</v>
      </c>
      <c r="AS29" s="33" t="str">
        <f t="shared" si="12"/>
        <v/>
      </c>
      <c r="AT29" s="34" t="str">
        <f t="shared" si="13"/>
        <v/>
      </c>
      <c r="AU29" s="35">
        <f t="shared" si="14"/>
        <v>0</v>
      </c>
      <c r="AV29" s="36"/>
    </row>
    <row r="30">
      <c r="A30" s="37">
        <f t="shared" si="1"/>
        <v>27</v>
      </c>
      <c r="B30" s="38"/>
      <c r="C30" s="38"/>
      <c r="D30" s="38"/>
      <c r="E30" s="38"/>
      <c r="F30" s="38"/>
      <c r="G30" s="38">
        <f t="shared" si="2"/>
        <v>0</v>
      </c>
      <c r="H30" s="38"/>
      <c r="I30" s="38"/>
      <c r="J30" s="38"/>
      <c r="K30" s="38"/>
      <c r="L30" s="38"/>
      <c r="M30" s="38" t="str">
        <f t="shared" si="3"/>
        <v/>
      </c>
      <c r="N30" s="38"/>
      <c r="O30" s="38"/>
      <c r="P30" s="38">
        <f t="shared" si="4"/>
        <v>0</v>
      </c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>
        <f t="shared" si="5"/>
        <v>0</v>
      </c>
      <c r="AC30" s="38">
        <f t="shared" si="6"/>
        <v>0</v>
      </c>
      <c r="AD30" s="39" t="str">
        <f t="shared" si="7"/>
        <v/>
      </c>
      <c r="AE30" s="38" t="str">
        <f t="shared" si="8"/>
        <v/>
      </c>
      <c r="AF30" s="40" t="str">
        <f t="shared" si="9"/>
        <v/>
      </c>
      <c r="AG30" s="41" t="str">
        <f t="shared" si="10"/>
        <v/>
      </c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>
        <f t="shared" si="11"/>
        <v>0</v>
      </c>
      <c r="AS30" s="42" t="str">
        <f t="shared" si="12"/>
        <v/>
      </c>
      <c r="AT30" s="43" t="str">
        <f t="shared" si="13"/>
        <v/>
      </c>
      <c r="AU30" s="44">
        <f t="shared" si="14"/>
        <v>0</v>
      </c>
      <c r="AV30" s="45"/>
    </row>
    <row r="31">
      <c r="AD31" s="46"/>
      <c r="AF31" s="47"/>
      <c r="AS31" s="48"/>
      <c r="AT31" s="49"/>
      <c r="AU31" s="50"/>
    </row>
    <row r="32">
      <c r="AD32" s="46"/>
      <c r="AF32" s="47"/>
      <c r="AS32" s="48"/>
      <c r="AT32" s="49"/>
      <c r="AU32" s="50"/>
    </row>
    <row r="33">
      <c r="AD33" s="46"/>
      <c r="AF33" s="47"/>
      <c r="AS33" s="48"/>
      <c r="AT33" s="49"/>
      <c r="AU33" s="50"/>
    </row>
    <row r="34">
      <c r="AD34" s="46"/>
      <c r="AF34" s="47"/>
      <c r="AS34" s="48"/>
      <c r="AT34" s="49"/>
      <c r="AU34" s="50"/>
    </row>
    <row r="35">
      <c r="AD35" s="46"/>
      <c r="AF35" s="47"/>
      <c r="AS35" s="48"/>
      <c r="AT35" s="49"/>
      <c r="AU35" s="50"/>
    </row>
    <row r="36">
      <c r="AD36" s="46"/>
      <c r="AF36" s="47"/>
      <c r="AS36" s="48"/>
      <c r="AT36" s="49"/>
      <c r="AU36" s="50"/>
    </row>
    <row r="37">
      <c r="AD37" s="46"/>
      <c r="AF37" s="47"/>
      <c r="AS37" s="48"/>
      <c r="AT37" s="49"/>
      <c r="AU37" s="50"/>
    </row>
    <row r="38">
      <c r="AD38" s="46"/>
      <c r="AF38" s="47"/>
      <c r="AS38" s="48"/>
      <c r="AT38" s="49"/>
      <c r="AU38" s="50"/>
    </row>
    <row r="39">
      <c r="AD39" s="46"/>
      <c r="AF39" s="47"/>
      <c r="AS39" s="48"/>
      <c r="AT39" s="49"/>
      <c r="AU39" s="50"/>
    </row>
    <row r="40">
      <c r="AD40" s="46"/>
      <c r="AF40" s="47"/>
      <c r="AS40" s="48"/>
      <c r="AT40" s="49"/>
      <c r="AU40" s="50"/>
    </row>
    <row r="41">
      <c r="AD41" s="46"/>
      <c r="AF41" s="47"/>
      <c r="AS41" s="48"/>
      <c r="AT41" s="49"/>
      <c r="AU41" s="50"/>
    </row>
    <row r="42">
      <c r="AD42" s="46"/>
      <c r="AF42" s="47"/>
      <c r="AS42" s="48"/>
      <c r="AT42" s="49"/>
      <c r="AU42" s="50"/>
    </row>
    <row r="43">
      <c r="AD43" s="46"/>
      <c r="AF43" s="47"/>
      <c r="AS43" s="48"/>
      <c r="AT43" s="49"/>
      <c r="AU43" s="50"/>
    </row>
    <row r="44">
      <c r="AD44" s="46"/>
      <c r="AF44" s="47"/>
      <c r="AS44" s="48"/>
      <c r="AT44" s="49"/>
      <c r="AU44" s="50"/>
    </row>
    <row r="45">
      <c r="AD45" s="46"/>
      <c r="AF45" s="47"/>
      <c r="AS45" s="48"/>
      <c r="AT45" s="49"/>
      <c r="AU45" s="50"/>
    </row>
    <row r="46">
      <c r="AD46" s="46"/>
      <c r="AF46" s="47"/>
      <c r="AS46" s="48"/>
      <c r="AT46" s="49"/>
      <c r="AU46" s="50"/>
    </row>
    <row r="47">
      <c r="AD47" s="46"/>
      <c r="AF47" s="47"/>
      <c r="AS47" s="48"/>
      <c r="AT47" s="49"/>
      <c r="AU47" s="50"/>
    </row>
    <row r="48">
      <c r="AD48" s="46"/>
      <c r="AF48" s="47"/>
      <c r="AS48" s="48"/>
      <c r="AT48" s="49"/>
      <c r="AU48" s="50"/>
    </row>
    <row r="49">
      <c r="AD49" s="46"/>
      <c r="AF49" s="47"/>
      <c r="AS49" s="48"/>
      <c r="AT49" s="49"/>
      <c r="AU49" s="50"/>
    </row>
    <row r="50">
      <c r="AD50" s="46"/>
      <c r="AF50" s="47"/>
      <c r="AS50" s="48"/>
      <c r="AT50" s="49"/>
      <c r="AU50" s="50"/>
    </row>
    <row r="51">
      <c r="AD51" s="46"/>
      <c r="AF51" s="47"/>
      <c r="AS51" s="48"/>
      <c r="AT51" s="49"/>
      <c r="AU51" s="50"/>
    </row>
    <row r="52">
      <c r="AD52" s="46"/>
      <c r="AF52" s="47"/>
      <c r="AS52" s="48"/>
      <c r="AT52" s="49"/>
      <c r="AU52" s="50"/>
    </row>
    <row r="53">
      <c r="AD53" s="46"/>
      <c r="AF53" s="47"/>
      <c r="AS53" s="48"/>
      <c r="AT53" s="49"/>
      <c r="AU53" s="50"/>
    </row>
    <row r="54">
      <c r="AD54" s="46"/>
      <c r="AF54" s="47"/>
      <c r="AS54" s="48"/>
      <c r="AT54" s="49"/>
      <c r="AU54" s="50"/>
    </row>
    <row r="55">
      <c r="AD55" s="46"/>
      <c r="AF55" s="47"/>
      <c r="AS55" s="48"/>
      <c r="AT55" s="49"/>
      <c r="AU55" s="50"/>
    </row>
    <row r="56">
      <c r="AD56" s="46"/>
      <c r="AF56" s="47"/>
      <c r="AS56" s="48"/>
      <c r="AT56" s="49"/>
      <c r="AU56" s="50"/>
    </row>
    <row r="57">
      <c r="AD57" s="46"/>
      <c r="AF57" s="47"/>
      <c r="AS57" s="48"/>
      <c r="AT57" s="49"/>
      <c r="AU57" s="50"/>
    </row>
    <row r="58">
      <c r="AD58" s="46"/>
      <c r="AF58" s="47"/>
      <c r="AS58" s="48"/>
      <c r="AT58" s="49"/>
      <c r="AU58" s="50"/>
    </row>
    <row r="59">
      <c r="AD59" s="46"/>
      <c r="AF59" s="47"/>
      <c r="AS59" s="48"/>
      <c r="AT59" s="49"/>
      <c r="AU59" s="50"/>
    </row>
    <row r="60">
      <c r="AD60" s="46"/>
      <c r="AF60" s="47"/>
      <c r="AS60" s="48"/>
      <c r="AT60" s="49"/>
      <c r="AU60" s="50"/>
    </row>
    <row r="61">
      <c r="AD61" s="46"/>
      <c r="AF61" s="47"/>
      <c r="AS61" s="48"/>
      <c r="AT61" s="49"/>
      <c r="AU61" s="50"/>
    </row>
    <row r="62">
      <c r="AD62" s="46"/>
      <c r="AF62" s="47"/>
      <c r="AS62" s="48"/>
      <c r="AT62" s="49"/>
      <c r="AU62" s="50"/>
    </row>
    <row r="63">
      <c r="AD63" s="46"/>
      <c r="AF63" s="47"/>
      <c r="AS63" s="48"/>
      <c r="AT63" s="49"/>
      <c r="AU63" s="50"/>
    </row>
    <row r="64">
      <c r="AD64" s="46"/>
      <c r="AF64" s="47"/>
      <c r="AS64" s="48"/>
      <c r="AT64" s="49"/>
      <c r="AU64" s="50"/>
    </row>
    <row r="65">
      <c r="AD65" s="46"/>
      <c r="AF65" s="47"/>
      <c r="AS65" s="48"/>
      <c r="AT65" s="49"/>
      <c r="AU65" s="50"/>
    </row>
    <row r="66">
      <c r="AD66" s="46"/>
      <c r="AF66" s="47"/>
      <c r="AS66" s="48"/>
      <c r="AT66" s="49"/>
      <c r="AU66" s="50"/>
    </row>
    <row r="67">
      <c r="AD67" s="46"/>
      <c r="AF67" s="47"/>
      <c r="AS67" s="48"/>
      <c r="AT67" s="49"/>
      <c r="AU67" s="50"/>
    </row>
    <row r="68">
      <c r="AD68" s="46"/>
      <c r="AF68" s="47"/>
      <c r="AS68" s="48"/>
      <c r="AT68" s="49"/>
      <c r="AU68" s="50"/>
    </row>
    <row r="69">
      <c r="AD69" s="46"/>
      <c r="AF69" s="47"/>
      <c r="AS69" s="48"/>
      <c r="AT69" s="49"/>
      <c r="AU69" s="50"/>
    </row>
    <row r="70">
      <c r="AD70" s="46"/>
      <c r="AF70" s="47"/>
      <c r="AS70" s="48"/>
      <c r="AT70" s="49"/>
      <c r="AU70" s="50"/>
    </row>
    <row r="71">
      <c r="AD71" s="46"/>
      <c r="AF71" s="47"/>
      <c r="AS71" s="48"/>
      <c r="AT71" s="49"/>
      <c r="AU71" s="50"/>
    </row>
    <row r="72">
      <c r="AD72" s="46"/>
      <c r="AF72" s="47"/>
      <c r="AS72" s="48"/>
      <c r="AT72" s="49"/>
      <c r="AU72" s="50"/>
    </row>
    <row r="73">
      <c r="AD73" s="46"/>
      <c r="AF73" s="47"/>
      <c r="AS73" s="48"/>
      <c r="AT73" s="49"/>
      <c r="AU73" s="50"/>
    </row>
    <row r="74">
      <c r="AD74" s="46"/>
      <c r="AF74" s="47"/>
      <c r="AS74" s="48"/>
      <c r="AT74" s="49"/>
      <c r="AU74" s="50"/>
    </row>
    <row r="75">
      <c r="AD75" s="46"/>
      <c r="AF75" s="47"/>
      <c r="AS75" s="48"/>
      <c r="AT75" s="49"/>
      <c r="AU75" s="50"/>
    </row>
    <row r="76">
      <c r="AD76" s="46"/>
      <c r="AF76" s="47"/>
      <c r="AS76" s="48"/>
      <c r="AT76" s="49"/>
      <c r="AU76" s="50"/>
    </row>
    <row r="77">
      <c r="AD77" s="46"/>
      <c r="AF77" s="47"/>
      <c r="AS77" s="48"/>
      <c r="AT77" s="49"/>
      <c r="AU77" s="50"/>
    </row>
    <row r="78">
      <c r="AD78" s="46"/>
      <c r="AF78" s="47"/>
      <c r="AS78" s="48"/>
      <c r="AT78" s="49"/>
      <c r="AU78" s="50"/>
    </row>
    <row r="79">
      <c r="AD79" s="46"/>
      <c r="AF79" s="47"/>
      <c r="AS79" s="48"/>
      <c r="AT79" s="49"/>
      <c r="AU79" s="50"/>
    </row>
    <row r="80">
      <c r="AD80" s="46"/>
      <c r="AF80" s="47"/>
      <c r="AS80" s="48"/>
      <c r="AT80" s="49"/>
      <c r="AU80" s="50"/>
    </row>
    <row r="81">
      <c r="AD81" s="46"/>
      <c r="AF81" s="47"/>
      <c r="AS81" s="48"/>
      <c r="AT81" s="49"/>
      <c r="AU81" s="50"/>
    </row>
    <row r="82">
      <c r="AD82" s="46"/>
      <c r="AF82" s="47"/>
      <c r="AS82" s="48"/>
      <c r="AT82" s="49"/>
      <c r="AU82" s="50"/>
    </row>
    <row r="83">
      <c r="AD83" s="46"/>
      <c r="AF83" s="47"/>
      <c r="AS83" s="48"/>
      <c r="AT83" s="49"/>
      <c r="AU83" s="50"/>
    </row>
    <row r="84">
      <c r="AD84" s="46"/>
      <c r="AF84" s="47"/>
      <c r="AS84" s="48"/>
      <c r="AT84" s="49"/>
      <c r="AU84" s="50"/>
    </row>
    <row r="85">
      <c r="AD85" s="46"/>
      <c r="AF85" s="47"/>
      <c r="AS85" s="48"/>
      <c r="AT85" s="49"/>
      <c r="AU85" s="50"/>
    </row>
    <row r="86">
      <c r="AD86" s="46"/>
      <c r="AF86" s="47"/>
      <c r="AS86" s="48"/>
      <c r="AT86" s="49"/>
      <c r="AU86" s="50"/>
    </row>
    <row r="87">
      <c r="AD87" s="46"/>
      <c r="AF87" s="47"/>
      <c r="AS87" s="48"/>
      <c r="AT87" s="49"/>
      <c r="AU87" s="50"/>
    </row>
    <row r="88">
      <c r="AD88" s="46"/>
      <c r="AF88" s="47"/>
      <c r="AS88" s="48"/>
      <c r="AT88" s="49"/>
      <c r="AU88" s="50"/>
    </row>
    <row r="89">
      <c r="AD89" s="46"/>
      <c r="AF89" s="47"/>
      <c r="AS89" s="48"/>
      <c r="AT89" s="49"/>
      <c r="AU89" s="50"/>
    </row>
    <row r="90">
      <c r="AD90" s="46"/>
      <c r="AF90" s="47"/>
      <c r="AS90" s="48"/>
      <c r="AT90" s="49"/>
      <c r="AU90" s="50"/>
    </row>
    <row r="91">
      <c r="AD91" s="46"/>
      <c r="AF91" s="47"/>
      <c r="AS91" s="48"/>
      <c r="AT91" s="49"/>
      <c r="AU91" s="50"/>
    </row>
    <row r="92">
      <c r="AD92" s="46"/>
      <c r="AF92" s="47"/>
      <c r="AS92" s="48"/>
      <c r="AT92" s="49"/>
      <c r="AU92" s="50"/>
    </row>
    <row r="93">
      <c r="AD93" s="46"/>
      <c r="AF93" s="47"/>
      <c r="AS93" s="48"/>
      <c r="AT93" s="49"/>
      <c r="AU93" s="50"/>
    </row>
    <row r="94">
      <c r="AD94" s="46"/>
      <c r="AF94" s="47"/>
      <c r="AS94" s="48"/>
      <c r="AT94" s="49"/>
      <c r="AU94" s="50"/>
    </row>
    <row r="95">
      <c r="AD95" s="46"/>
      <c r="AF95" s="47"/>
      <c r="AS95" s="48"/>
      <c r="AT95" s="49"/>
      <c r="AU95" s="50"/>
    </row>
    <row r="96">
      <c r="AD96" s="46"/>
      <c r="AF96" s="47"/>
      <c r="AS96" s="48"/>
      <c r="AT96" s="49"/>
      <c r="AU96" s="50"/>
    </row>
    <row r="97">
      <c r="AD97" s="46"/>
      <c r="AF97" s="47"/>
      <c r="AS97" s="48"/>
      <c r="AT97" s="49"/>
      <c r="AU97" s="50"/>
    </row>
    <row r="98">
      <c r="AD98" s="46"/>
      <c r="AF98" s="47"/>
      <c r="AS98" s="48"/>
      <c r="AT98" s="49"/>
      <c r="AU98" s="50"/>
    </row>
    <row r="99">
      <c r="AD99" s="46"/>
      <c r="AF99" s="47"/>
      <c r="AS99" s="48"/>
      <c r="AT99" s="49"/>
      <c r="AU99" s="50"/>
    </row>
    <row r="100">
      <c r="AD100" s="46"/>
      <c r="AF100" s="47"/>
      <c r="AS100" s="48"/>
      <c r="AT100" s="49"/>
      <c r="AU100" s="50"/>
    </row>
    <row r="101">
      <c r="AD101" s="46"/>
      <c r="AF101" s="47"/>
      <c r="AS101" s="48"/>
      <c r="AT101" s="49"/>
      <c r="AU101" s="50"/>
    </row>
    <row r="102">
      <c r="AD102" s="46"/>
      <c r="AF102" s="47"/>
      <c r="AS102" s="48"/>
      <c r="AT102" s="49"/>
      <c r="AU102" s="50"/>
    </row>
    <row r="103">
      <c r="AD103" s="46"/>
      <c r="AF103" s="47"/>
      <c r="AS103" s="48"/>
      <c r="AT103" s="49"/>
      <c r="AU103" s="50"/>
    </row>
    <row r="104">
      <c r="AD104" s="46"/>
      <c r="AF104" s="47"/>
      <c r="AS104" s="48"/>
      <c r="AT104" s="49"/>
      <c r="AU104" s="50"/>
    </row>
    <row r="105">
      <c r="AD105" s="46"/>
      <c r="AF105" s="47"/>
      <c r="AS105" s="48"/>
      <c r="AT105" s="49"/>
      <c r="AU105" s="50"/>
    </row>
    <row r="106">
      <c r="AD106" s="46"/>
      <c r="AF106" s="47"/>
      <c r="AS106" s="48"/>
      <c r="AT106" s="49"/>
      <c r="AU106" s="50"/>
    </row>
    <row r="107">
      <c r="AD107" s="46"/>
      <c r="AF107" s="47"/>
      <c r="AS107" s="48"/>
      <c r="AT107" s="49"/>
      <c r="AU107" s="50"/>
    </row>
    <row r="108">
      <c r="AD108" s="46"/>
      <c r="AF108" s="47"/>
      <c r="AS108" s="48"/>
      <c r="AT108" s="49"/>
      <c r="AU108" s="50"/>
    </row>
    <row r="109">
      <c r="AD109" s="46"/>
      <c r="AF109" s="47"/>
      <c r="AS109" s="48"/>
      <c r="AT109" s="49"/>
      <c r="AU109" s="50"/>
    </row>
    <row r="110">
      <c r="AD110" s="46"/>
      <c r="AF110" s="47"/>
      <c r="AS110" s="48"/>
      <c r="AT110" s="49"/>
      <c r="AU110" s="50"/>
    </row>
    <row r="111">
      <c r="AD111" s="46"/>
      <c r="AF111" s="47"/>
      <c r="AS111" s="48"/>
      <c r="AT111" s="49"/>
      <c r="AU111" s="50"/>
    </row>
    <row r="112">
      <c r="AD112" s="46"/>
      <c r="AF112" s="47"/>
      <c r="AS112" s="48"/>
      <c r="AT112" s="49"/>
      <c r="AU112" s="50"/>
    </row>
    <row r="113">
      <c r="AD113" s="46"/>
      <c r="AF113" s="47"/>
      <c r="AS113" s="48"/>
      <c r="AT113" s="49"/>
      <c r="AU113" s="50"/>
    </row>
    <row r="114">
      <c r="AD114" s="46"/>
      <c r="AF114" s="47"/>
      <c r="AS114" s="48"/>
      <c r="AT114" s="49"/>
      <c r="AU114" s="50"/>
    </row>
    <row r="115">
      <c r="AD115" s="46"/>
      <c r="AF115" s="47"/>
      <c r="AS115" s="48"/>
      <c r="AT115" s="49"/>
      <c r="AU115" s="50"/>
    </row>
    <row r="116">
      <c r="AD116" s="46"/>
      <c r="AF116" s="47"/>
      <c r="AS116" s="48"/>
      <c r="AT116" s="49"/>
      <c r="AU116" s="50"/>
    </row>
    <row r="117">
      <c r="AD117" s="46"/>
      <c r="AF117" s="47"/>
      <c r="AS117" s="48"/>
      <c r="AT117" s="49"/>
      <c r="AU117" s="50"/>
    </row>
    <row r="118">
      <c r="AD118" s="46"/>
      <c r="AF118" s="47"/>
      <c r="AS118" s="48"/>
      <c r="AT118" s="49"/>
      <c r="AU118" s="50"/>
    </row>
    <row r="119">
      <c r="AD119" s="46"/>
      <c r="AF119" s="47"/>
      <c r="AS119" s="48"/>
      <c r="AT119" s="49"/>
      <c r="AU119" s="50"/>
    </row>
    <row r="120">
      <c r="AD120" s="46"/>
      <c r="AF120" s="47"/>
      <c r="AS120" s="48"/>
      <c r="AT120" s="49"/>
      <c r="AU120" s="50"/>
    </row>
    <row r="121">
      <c r="AD121" s="46"/>
      <c r="AF121" s="47"/>
      <c r="AS121" s="48"/>
      <c r="AT121" s="49"/>
      <c r="AU121" s="50"/>
    </row>
    <row r="122">
      <c r="AD122" s="46"/>
      <c r="AF122" s="47"/>
      <c r="AS122" s="48"/>
      <c r="AT122" s="49"/>
      <c r="AU122" s="50"/>
    </row>
    <row r="123">
      <c r="AD123" s="46"/>
      <c r="AF123" s="47"/>
      <c r="AS123" s="48"/>
      <c r="AT123" s="49"/>
      <c r="AU123" s="50"/>
    </row>
    <row r="124">
      <c r="AD124" s="46"/>
      <c r="AF124" s="47"/>
      <c r="AS124" s="48"/>
      <c r="AT124" s="49"/>
      <c r="AU124" s="50"/>
    </row>
    <row r="125">
      <c r="AD125" s="46"/>
      <c r="AF125" s="47"/>
      <c r="AS125" s="48"/>
      <c r="AT125" s="49"/>
      <c r="AU125" s="50"/>
    </row>
    <row r="126">
      <c r="AD126" s="46"/>
      <c r="AF126" s="47"/>
      <c r="AS126" s="48"/>
      <c r="AT126" s="49"/>
      <c r="AU126" s="50"/>
    </row>
    <row r="127">
      <c r="AD127" s="46"/>
      <c r="AF127" s="47"/>
      <c r="AS127" s="48"/>
      <c r="AT127" s="49"/>
      <c r="AU127" s="50"/>
    </row>
    <row r="128">
      <c r="AD128" s="46"/>
      <c r="AF128" s="47"/>
      <c r="AS128" s="48"/>
      <c r="AT128" s="49"/>
      <c r="AU128" s="50"/>
    </row>
    <row r="129">
      <c r="AD129" s="46"/>
      <c r="AF129" s="47"/>
      <c r="AS129" s="48"/>
      <c r="AT129" s="49"/>
      <c r="AU129" s="50"/>
    </row>
    <row r="130">
      <c r="AD130" s="46"/>
      <c r="AF130" s="47"/>
      <c r="AS130" s="48"/>
      <c r="AT130" s="49"/>
      <c r="AU130" s="50"/>
    </row>
    <row r="131">
      <c r="AD131" s="46"/>
      <c r="AF131" s="47"/>
      <c r="AS131" s="48"/>
      <c r="AT131" s="49"/>
      <c r="AU131" s="50"/>
    </row>
    <row r="132">
      <c r="AD132" s="46"/>
      <c r="AF132" s="47"/>
      <c r="AS132" s="48"/>
      <c r="AT132" s="49"/>
      <c r="AU132" s="50"/>
    </row>
    <row r="133">
      <c r="AD133" s="46"/>
      <c r="AF133" s="47"/>
      <c r="AS133" s="48"/>
      <c r="AT133" s="49"/>
      <c r="AU133" s="50"/>
    </row>
    <row r="134">
      <c r="AD134" s="46"/>
      <c r="AF134" s="47"/>
      <c r="AS134" s="48"/>
      <c r="AT134" s="49"/>
      <c r="AU134" s="50"/>
    </row>
    <row r="135">
      <c r="AD135" s="46"/>
      <c r="AF135" s="47"/>
      <c r="AS135" s="48"/>
      <c r="AT135" s="49"/>
      <c r="AU135" s="50"/>
    </row>
    <row r="136">
      <c r="AD136" s="46"/>
      <c r="AF136" s="47"/>
      <c r="AS136" s="48"/>
      <c r="AT136" s="49"/>
      <c r="AU136" s="50"/>
    </row>
    <row r="137">
      <c r="AD137" s="46"/>
      <c r="AF137" s="47"/>
      <c r="AS137" s="48"/>
      <c r="AT137" s="49"/>
      <c r="AU137" s="50"/>
    </row>
    <row r="138">
      <c r="AD138" s="46"/>
      <c r="AF138" s="47"/>
      <c r="AS138" s="48"/>
      <c r="AT138" s="49"/>
      <c r="AU138" s="50"/>
    </row>
    <row r="139">
      <c r="AD139" s="46"/>
      <c r="AF139" s="47"/>
      <c r="AS139" s="48"/>
      <c r="AT139" s="49"/>
      <c r="AU139" s="50"/>
    </row>
    <row r="140">
      <c r="AD140" s="46"/>
      <c r="AF140" s="47"/>
      <c r="AS140" s="48"/>
      <c r="AT140" s="49"/>
      <c r="AU140" s="50"/>
    </row>
    <row r="141">
      <c r="AD141" s="46"/>
      <c r="AF141" s="47"/>
      <c r="AS141" s="48"/>
      <c r="AT141" s="49"/>
      <c r="AU141" s="50"/>
    </row>
    <row r="142">
      <c r="AD142" s="46"/>
      <c r="AF142" s="47"/>
      <c r="AS142" s="48"/>
      <c r="AT142" s="49"/>
      <c r="AU142" s="50"/>
    </row>
    <row r="143">
      <c r="AD143" s="46"/>
      <c r="AF143" s="47"/>
      <c r="AS143" s="48"/>
      <c r="AT143" s="49"/>
      <c r="AU143" s="50"/>
    </row>
    <row r="144">
      <c r="AD144" s="46"/>
      <c r="AF144" s="47"/>
      <c r="AS144" s="48"/>
      <c r="AT144" s="49"/>
      <c r="AU144" s="50"/>
    </row>
    <row r="145">
      <c r="AD145" s="46"/>
      <c r="AF145" s="47"/>
      <c r="AS145" s="48"/>
      <c r="AT145" s="49"/>
      <c r="AU145" s="50"/>
    </row>
    <row r="146">
      <c r="AD146" s="46"/>
      <c r="AF146" s="47"/>
      <c r="AS146" s="48"/>
      <c r="AT146" s="49"/>
      <c r="AU146" s="50"/>
    </row>
    <row r="147">
      <c r="AD147" s="46"/>
      <c r="AF147" s="47"/>
      <c r="AS147" s="48"/>
      <c r="AT147" s="49"/>
      <c r="AU147" s="50"/>
    </row>
    <row r="148">
      <c r="AD148" s="46"/>
      <c r="AF148" s="47"/>
      <c r="AS148" s="48"/>
      <c r="AT148" s="49"/>
      <c r="AU148" s="50"/>
    </row>
    <row r="149">
      <c r="AD149" s="46"/>
      <c r="AF149" s="47"/>
      <c r="AS149" s="48"/>
      <c r="AT149" s="49"/>
      <c r="AU149" s="50"/>
    </row>
    <row r="150">
      <c r="AD150" s="46"/>
      <c r="AF150" s="47"/>
      <c r="AS150" s="48"/>
      <c r="AT150" s="49"/>
      <c r="AU150" s="50"/>
    </row>
    <row r="151">
      <c r="AD151" s="46"/>
      <c r="AF151" s="47"/>
      <c r="AS151" s="48"/>
      <c r="AT151" s="49"/>
      <c r="AU151" s="50"/>
    </row>
    <row r="152">
      <c r="AD152" s="46"/>
      <c r="AF152" s="47"/>
      <c r="AS152" s="48"/>
      <c r="AT152" s="49"/>
      <c r="AU152" s="50"/>
    </row>
    <row r="153">
      <c r="AD153" s="46"/>
      <c r="AF153" s="47"/>
      <c r="AS153" s="48"/>
      <c r="AT153" s="49"/>
      <c r="AU153" s="50"/>
    </row>
    <row r="154">
      <c r="AD154" s="46"/>
      <c r="AF154" s="47"/>
      <c r="AS154" s="48"/>
      <c r="AT154" s="49"/>
      <c r="AU154" s="50"/>
    </row>
    <row r="155">
      <c r="AD155" s="46"/>
      <c r="AF155" s="47"/>
      <c r="AS155" s="48"/>
      <c r="AT155" s="49"/>
      <c r="AU155" s="50"/>
    </row>
    <row r="156">
      <c r="AD156" s="46"/>
      <c r="AF156" s="47"/>
      <c r="AS156" s="48"/>
      <c r="AT156" s="49"/>
      <c r="AU156" s="50"/>
    </row>
    <row r="157">
      <c r="AD157" s="46"/>
      <c r="AF157" s="47"/>
      <c r="AS157" s="48"/>
      <c r="AT157" s="49"/>
      <c r="AU157" s="50"/>
    </row>
    <row r="158">
      <c r="AD158" s="46"/>
      <c r="AF158" s="47"/>
      <c r="AS158" s="48"/>
      <c r="AT158" s="49"/>
      <c r="AU158" s="50"/>
    </row>
    <row r="159">
      <c r="AD159" s="46"/>
      <c r="AF159" s="47"/>
      <c r="AS159" s="48"/>
      <c r="AT159" s="49"/>
      <c r="AU159" s="50"/>
    </row>
    <row r="160">
      <c r="AD160" s="46"/>
      <c r="AF160" s="47"/>
      <c r="AS160" s="48"/>
      <c r="AT160" s="49"/>
      <c r="AU160" s="50"/>
    </row>
    <row r="161">
      <c r="AD161" s="46"/>
      <c r="AF161" s="47"/>
      <c r="AS161" s="48"/>
      <c r="AT161" s="49"/>
      <c r="AU161" s="50"/>
    </row>
    <row r="162">
      <c r="AD162" s="46"/>
      <c r="AF162" s="47"/>
      <c r="AS162" s="48"/>
      <c r="AT162" s="49"/>
      <c r="AU162" s="50"/>
    </row>
    <row r="163">
      <c r="AD163" s="46"/>
      <c r="AF163" s="47"/>
      <c r="AS163" s="48"/>
      <c r="AT163" s="49"/>
      <c r="AU163" s="50"/>
    </row>
    <row r="164">
      <c r="AD164" s="46"/>
      <c r="AF164" s="47"/>
      <c r="AS164" s="48"/>
      <c r="AT164" s="49"/>
      <c r="AU164" s="50"/>
    </row>
    <row r="165">
      <c r="AD165" s="46"/>
      <c r="AF165" s="47"/>
      <c r="AS165" s="48"/>
      <c r="AT165" s="49"/>
      <c r="AU165" s="50"/>
    </row>
    <row r="166">
      <c r="AD166" s="46"/>
      <c r="AF166" s="47"/>
      <c r="AS166" s="48"/>
      <c r="AT166" s="49"/>
      <c r="AU166" s="50"/>
    </row>
    <row r="167">
      <c r="AD167" s="46"/>
      <c r="AF167" s="47"/>
      <c r="AS167" s="48"/>
      <c r="AT167" s="49"/>
      <c r="AU167" s="50"/>
    </row>
    <row r="168">
      <c r="AD168" s="46"/>
      <c r="AF168" s="47"/>
      <c r="AS168" s="48"/>
      <c r="AT168" s="49"/>
      <c r="AU168" s="50"/>
    </row>
    <row r="169">
      <c r="AD169" s="46"/>
      <c r="AF169" s="47"/>
      <c r="AS169" s="48"/>
      <c r="AT169" s="49"/>
      <c r="AU169" s="50"/>
    </row>
    <row r="170">
      <c r="AD170" s="46"/>
      <c r="AF170" s="47"/>
      <c r="AS170" s="48"/>
      <c r="AT170" s="49"/>
      <c r="AU170" s="50"/>
    </row>
    <row r="171">
      <c r="AD171" s="46"/>
      <c r="AF171" s="47"/>
      <c r="AS171" s="48"/>
      <c r="AT171" s="49"/>
      <c r="AU171" s="50"/>
    </row>
    <row r="172">
      <c r="AD172" s="46"/>
      <c r="AF172" s="47"/>
      <c r="AS172" s="48"/>
      <c r="AT172" s="49"/>
      <c r="AU172" s="50"/>
    </row>
    <row r="173">
      <c r="AD173" s="46"/>
      <c r="AF173" s="47"/>
      <c r="AS173" s="48"/>
      <c r="AT173" s="49"/>
      <c r="AU173" s="50"/>
    </row>
    <row r="174">
      <c r="AD174" s="46"/>
      <c r="AF174" s="47"/>
      <c r="AS174" s="48"/>
      <c r="AT174" s="49"/>
      <c r="AU174" s="50"/>
    </row>
    <row r="175">
      <c r="AD175" s="46"/>
      <c r="AF175" s="47"/>
      <c r="AS175" s="48"/>
      <c r="AT175" s="49"/>
      <c r="AU175" s="50"/>
    </row>
    <row r="176">
      <c r="AD176" s="46"/>
      <c r="AF176" s="47"/>
      <c r="AS176" s="48"/>
      <c r="AT176" s="49"/>
      <c r="AU176" s="50"/>
    </row>
    <row r="177">
      <c r="AD177" s="46"/>
      <c r="AF177" s="47"/>
      <c r="AS177" s="48"/>
      <c r="AT177" s="49"/>
      <c r="AU177" s="50"/>
    </row>
    <row r="178">
      <c r="AD178" s="46"/>
      <c r="AF178" s="47"/>
      <c r="AS178" s="48"/>
      <c r="AT178" s="49"/>
      <c r="AU178" s="50"/>
    </row>
    <row r="179">
      <c r="AD179" s="46"/>
      <c r="AF179" s="47"/>
      <c r="AS179" s="48"/>
      <c r="AT179" s="49"/>
      <c r="AU179" s="50"/>
    </row>
    <row r="180">
      <c r="AD180" s="46"/>
      <c r="AF180" s="47"/>
      <c r="AS180" s="48"/>
      <c r="AT180" s="49"/>
      <c r="AU180" s="50"/>
    </row>
    <row r="181">
      <c r="AD181" s="46"/>
      <c r="AF181" s="47"/>
      <c r="AS181" s="48"/>
      <c r="AT181" s="49"/>
      <c r="AU181" s="50"/>
    </row>
    <row r="182">
      <c r="AD182" s="46"/>
      <c r="AF182" s="47"/>
      <c r="AS182" s="48"/>
      <c r="AT182" s="49"/>
      <c r="AU182" s="50"/>
    </row>
    <row r="183">
      <c r="AD183" s="46"/>
      <c r="AF183" s="47"/>
      <c r="AS183" s="48"/>
      <c r="AT183" s="49"/>
      <c r="AU183" s="50"/>
    </row>
    <row r="184">
      <c r="AD184" s="46"/>
      <c r="AF184" s="47"/>
      <c r="AS184" s="48"/>
      <c r="AT184" s="49"/>
      <c r="AU184" s="50"/>
    </row>
    <row r="185">
      <c r="AD185" s="46"/>
      <c r="AF185" s="47"/>
      <c r="AS185" s="48"/>
      <c r="AT185" s="49"/>
      <c r="AU185" s="50"/>
    </row>
    <row r="186">
      <c r="AD186" s="46"/>
      <c r="AF186" s="47"/>
      <c r="AS186" s="48"/>
      <c r="AT186" s="49"/>
      <c r="AU186" s="50"/>
    </row>
    <row r="187">
      <c r="AD187" s="46"/>
      <c r="AF187" s="47"/>
      <c r="AS187" s="48"/>
      <c r="AT187" s="49"/>
      <c r="AU187" s="50"/>
    </row>
    <row r="188">
      <c r="AD188" s="46"/>
      <c r="AF188" s="47"/>
      <c r="AS188" s="48"/>
      <c r="AT188" s="49"/>
      <c r="AU188" s="50"/>
    </row>
    <row r="189">
      <c r="AD189" s="46"/>
      <c r="AF189" s="47"/>
      <c r="AS189" s="48"/>
      <c r="AT189" s="49"/>
      <c r="AU189" s="50"/>
    </row>
    <row r="190">
      <c r="AD190" s="46"/>
      <c r="AF190" s="47"/>
      <c r="AS190" s="48"/>
      <c r="AT190" s="49"/>
      <c r="AU190" s="50"/>
    </row>
    <row r="191">
      <c r="AD191" s="46"/>
      <c r="AF191" s="47"/>
      <c r="AS191" s="48"/>
      <c r="AT191" s="49"/>
      <c r="AU191" s="50"/>
    </row>
    <row r="192">
      <c r="AD192" s="46"/>
      <c r="AF192" s="47"/>
      <c r="AS192" s="48"/>
      <c r="AT192" s="49"/>
      <c r="AU192" s="50"/>
    </row>
    <row r="193">
      <c r="AD193" s="46"/>
      <c r="AF193" s="47"/>
      <c r="AS193" s="48"/>
      <c r="AT193" s="49"/>
      <c r="AU193" s="50"/>
    </row>
    <row r="194">
      <c r="AD194" s="46"/>
      <c r="AF194" s="47"/>
      <c r="AS194" s="48"/>
      <c r="AT194" s="49"/>
      <c r="AU194" s="50"/>
    </row>
    <row r="195">
      <c r="AD195" s="46"/>
      <c r="AF195" s="47"/>
      <c r="AS195" s="48"/>
      <c r="AT195" s="49"/>
      <c r="AU195" s="50"/>
    </row>
    <row r="196">
      <c r="AD196" s="46"/>
      <c r="AF196" s="47"/>
      <c r="AS196" s="48"/>
      <c r="AT196" s="49"/>
      <c r="AU196" s="50"/>
    </row>
    <row r="197">
      <c r="AD197" s="46"/>
      <c r="AF197" s="47"/>
      <c r="AS197" s="48"/>
      <c r="AT197" s="49"/>
      <c r="AU197" s="50"/>
    </row>
    <row r="198">
      <c r="AD198" s="46"/>
      <c r="AF198" s="47"/>
      <c r="AS198" s="48"/>
      <c r="AT198" s="49"/>
      <c r="AU198" s="50"/>
    </row>
    <row r="199">
      <c r="AD199" s="46"/>
      <c r="AF199" s="47"/>
      <c r="AS199" s="48"/>
      <c r="AT199" s="49"/>
      <c r="AU199" s="50"/>
    </row>
    <row r="200">
      <c r="AD200" s="46"/>
      <c r="AF200" s="47"/>
      <c r="AS200" s="48"/>
      <c r="AT200" s="49"/>
      <c r="AU200" s="50"/>
    </row>
    <row r="201">
      <c r="AD201" s="46"/>
      <c r="AF201" s="47"/>
      <c r="AS201" s="48"/>
      <c r="AT201" s="49"/>
      <c r="AU201" s="50"/>
    </row>
    <row r="202">
      <c r="AD202" s="46"/>
      <c r="AF202" s="47"/>
      <c r="AS202" s="48"/>
      <c r="AT202" s="49"/>
      <c r="AU202" s="50"/>
    </row>
    <row r="203">
      <c r="AD203" s="46"/>
      <c r="AF203" s="47"/>
      <c r="AS203" s="48"/>
      <c r="AT203" s="49"/>
      <c r="AU203" s="50"/>
    </row>
    <row r="204">
      <c r="AD204" s="46"/>
      <c r="AF204" s="47"/>
      <c r="AS204" s="48"/>
      <c r="AT204" s="49"/>
      <c r="AU204" s="50"/>
    </row>
    <row r="205">
      <c r="AD205" s="46"/>
      <c r="AF205" s="47"/>
      <c r="AS205" s="48"/>
      <c r="AT205" s="49"/>
      <c r="AU205" s="50"/>
    </row>
    <row r="206">
      <c r="AD206" s="46"/>
      <c r="AF206" s="47"/>
      <c r="AS206" s="48"/>
      <c r="AT206" s="49"/>
      <c r="AU206" s="50"/>
    </row>
    <row r="207">
      <c r="AD207" s="46"/>
      <c r="AF207" s="47"/>
      <c r="AS207" s="48"/>
      <c r="AT207" s="49"/>
      <c r="AU207" s="50"/>
    </row>
    <row r="208">
      <c r="AD208" s="46"/>
      <c r="AF208" s="47"/>
      <c r="AS208" s="48"/>
      <c r="AT208" s="49"/>
      <c r="AU208" s="50"/>
    </row>
    <row r="209">
      <c r="AD209" s="46"/>
      <c r="AF209" s="47"/>
      <c r="AS209" s="48"/>
      <c r="AT209" s="49"/>
      <c r="AU209" s="50"/>
    </row>
    <row r="210">
      <c r="AD210" s="46"/>
      <c r="AF210" s="47"/>
      <c r="AS210" s="48"/>
      <c r="AT210" s="49"/>
      <c r="AU210" s="50"/>
    </row>
    <row r="211">
      <c r="AD211" s="46"/>
      <c r="AF211" s="47"/>
      <c r="AS211" s="48"/>
      <c r="AT211" s="49"/>
      <c r="AU211" s="50"/>
    </row>
    <row r="212">
      <c r="AD212" s="46"/>
      <c r="AF212" s="47"/>
      <c r="AS212" s="48"/>
      <c r="AT212" s="49"/>
      <c r="AU212" s="50"/>
    </row>
    <row r="213">
      <c r="AD213" s="46"/>
      <c r="AF213" s="47"/>
      <c r="AS213" s="48"/>
      <c r="AT213" s="49"/>
      <c r="AU213" s="50"/>
    </row>
    <row r="214">
      <c r="AD214" s="46"/>
      <c r="AF214" s="47"/>
      <c r="AS214" s="48"/>
      <c r="AT214" s="49"/>
      <c r="AU214" s="50"/>
    </row>
    <row r="215">
      <c r="AD215" s="46"/>
      <c r="AF215" s="47"/>
      <c r="AS215" s="48"/>
      <c r="AT215" s="49"/>
      <c r="AU215" s="50"/>
    </row>
    <row r="216">
      <c r="AD216" s="46"/>
      <c r="AF216" s="47"/>
      <c r="AS216" s="48"/>
      <c r="AT216" s="49"/>
      <c r="AU216" s="50"/>
    </row>
    <row r="217">
      <c r="AD217" s="46"/>
      <c r="AF217" s="47"/>
      <c r="AS217" s="48"/>
      <c r="AT217" s="49"/>
      <c r="AU217" s="50"/>
    </row>
    <row r="218">
      <c r="AD218" s="46"/>
      <c r="AF218" s="47"/>
      <c r="AS218" s="48"/>
      <c r="AT218" s="49"/>
      <c r="AU218" s="50"/>
    </row>
    <row r="219">
      <c r="AD219" s="46"/>
      <c r="AF219" s="47"/>
      <c r="AS219" s="48"/>
      <c r="AT219" s="49"/>
      <c r="AU219" s="50"/>
    </row>
    <row r="220">
      <c r="AD220" s="46"/>
      <c r="AF220" s="47"/>
      <c r="AS220" s="48"/>
      <c r="AT220" s="49"/>
      <c r="AU220" s="50"/>
    </row>
    <row r="221">
      <c r="AD221" s="46"/>
      <c r="AF221" s="47"/>
      <c r="AS221" s="48"/>
      <c r="AT221" s="49"/>
      <c r="AU221" s="50"/>
    </row>
    <row r="222">
      <c r="AD222" s="46"/>
      <c r="AF222" s="47"/>
      <c r="AS222" s="48"/>
      <c r="AT222" s="49"/>
      <c r="AU222" s="50"/>
    </row>
    <row r="223">
      <c r="AD223" s="46"/>
      <c r="AF223" s="47"/>
      <c r="AS223" s="48"/>
      <c r="AT223" s="49"/>
      <c r="AU223" s="50"/>
    </row>
    <row r="224">
      <c r="AD224" s="46"/>
      <c r="AF224" s="47"/>
      <c r="AS224" s="48"/>
      <c r="AT224" s="49"/>
      <c r="AU224" s="50"/>
    </row>
    <row r="225">
      <c r="AD225" s="46"/>
      <c r="AF225" s="47"/>
      <c r="AS225" s="48"/>
      <c r="AT225" s="49"/>
      <c r="AU225" s="50"/>
    </row>
    <row r="226">
      <c r="AD226" s="46"/>
      <c r="AF226" s="47"/>
      <c r="AS226" s="48"/>
      <c r="AT226" s="49"/>
      <c r="AU226" s="50"/>
    </row>
    <row r="227">
      <c r="AD227" s="46"/>
      <c r="AF227" s="47"/>
      <c r="AS227" s="48"/>
      <c r="AT227" s="49"/>
      <c r="AU227" s="50"/>
    </row>
    <row r="228">
      <c r="AD228" s="46"/>
      <c r="AF228" s="47"/>
      <c r="AS228" s="48"/>
      <c r="AT228" s="49"/>
      <c r="AU228" s="50"/>
    </row>
    <row r="229">
      <c r="AD229" s="46"/>
      <c r="AF229" s="47"/>
      <c r="AS229" s="48"/>
      <c r="AT229" s="49"/>
      <c r="AU229" s="50"/>
    </row>
    <row r="230">
      <c r="AD230" s="46"/>
      <c r="AF230" s="47"/>
      <c r="AS230" s="48"/>
      <c r="AT230" s="49"/>
      <c r="AU230" s="50"/>
    </row>
    <row r="231">
      <c r="AD231" s="46"/>
      <c r="AF231" s="47"/>
      <c r="AS231" s="48"/>
      <c r="AT231" s="49"/>
      <c r="AU231" s="50"/>
    </row>
    <row r="232">
      <c r="AD232" s="46"/>
      <c r="AF232" s="47"/>
      <c r="AS232" s="48"/>
      <c r="AT232" s="49"/>
      <c r="AU232" s="50"/>
    </row>
    <row r="233">
      <c r="AD233" s="46"/>
      <c r="AF233" s="47"/>
      <c r="AS233" s="48"/>
      <c r="AT233" s="49"/>
      <c r="AU233" s="50"/>
    </row>
    <row r="234">
      <c r="AD234" s="46"/>
      <c r="AF234" s="47"/>
      <c r="AS234" s="48"/>
      <c r="AT234" s="49"/>
      <c r="AU234" s="50"/>
    </row>
    <row r="235">
      <c r="AD235" s="46"/>
      <c r="AF235" s="47"/>
      <c r="AS235" s="48"/>
      <c r="AT235" s="49"/>
      <c r="AU235" s="50"/>
    </row>
    <row r="236">
      <c r="AD236" s="46"/>
      <c r="AF236" s="47"/>
      <c r="AS236" s="48"/>
      <c r="AT236" s="49"/>
      <c r="AU236" s="50"/>
    </row>
    <row r="237">
      <c r="AD237" s="46"/>
      <c r="AF237" s="47"/>
      <c r="AS237" s="48"/>
      <c r="AT237" s="49"/>
      <c r="AU237" s="50"/>
    </row>
    <row r="238">
      <c r="AD238" s="46"/>
      <c r="AF238" s="47"/>
      <c r="AS238" s="48"/>
      <c r="AT238" s="49"/>
      <c r="AU238" s="50"/>
    </row>
    <row r="239">
      <c r="AD239" s="46"/>
      <c r="AF239" s="47"/>
      <c r="AS239" s="48"/>
      <c r="AT239" s="49"/>
      <c r="AU239" s="50"/>
    </row>
    <row r="240">
      <c r="AD240" s="46"/>
      <c r="AF240" s="47"/>
      <c r="AS240" s="48"/>
      <c r="AT240" s="49"/>
      <c r="AU240" s="50"/>
    </row>
    <row r="241">
      <c r="AD241" s="46"/>
      <c r="AF241" s="47"/>
      <c r="AS241" s="48"/>
      <c r="AT241" s="49"/>
      <c r="AU241" s="50"/>
    </row>
    <row r="242">
      <c r="AD242" s="46"/>
      <c r="AF242" s="47"/>
      <c r="AS242" s="48"/>
      <c r="AT242" s="49"/>
      <c r="AU242" s="50"/>
    </row>
    <row r="243">
      <c r="AD243" s="46"/>
      <c r="AF243" s="47"/>
      <c r="AS243" s="48"/>
      <c r="AT243" s="49"/>
      <c r="AU243" s="50"/>
    </row>
    <row r="244">
      <c r="AD244" s="46"/>
      <c r="AF244" s="47"/>
      <c r="AS244" s="48"/>
      <c r="AT244" s="49"/>
      <c r="AU244" s="50"/>
    </row>
    <row r="245">
      <c r="AD245" s="46"/>
      <c r="AF245" s="47"/>
      <c r="AS245" s="48"/>
      <c r="AT245" s="49"/>
      <c r="AU245" s="50"/>
    </row>
    <row r="246">
      <c r="AD246" s="46"/>
      <c r="AF246" s="47"/>
      <c r="AS246" s="48"/>
      <c r="AT246" s="49"/>
      <c r="AU246" s="50"/>
    </row>
    <row r="247">
      <c r="AD247" s="46"/>
      <c r="AF247" s="47"/>
      <c r="AS247" s="48"/>
      <c r="AT247" s="49"/>
      <c r="AU247" s="50"/>
    </row>
    <row r="248">
      <c r="AD248" s="46"/>
      <c r="AF248" s="47"/>
      <c r="AS248" s="48"/>
      <c r="AT248" s="49"/>
      <c r="AU248" s="50"/>
    </row>
    <row r="249">
      <c r="AD249" s="46"/>
      <c r="AF249" s="47"/>
      <c r="AS249" s="48"/>
      <c r="AT249" s="49"/>
      <c r="AU249" s="50"/>
    </row>
    <row r="250">
      <c r="AD250" s="46"/>
      <c r="AF250" s="47"/>
      <c r="AS250" s="48"/>
      <c r="AT250" s="49"/>
      <c r="AU250" s="50"/>
    </row>
    <row r="251">
      <c r="AD251" s="46"/>
      <c r="AF251" s="47"/>
      <c r="AS251" s="48"/>
      <c r="AT251" s="49"/>
      <c r="AU251" s="50"/>
    </row>
    <row r="252">
      <c r="AD252" s="46"/>
      <c r="AF252" s="47"/>
      <c r="AS252" s="48"/>
      <c r="AT252" s="49"/>
      <c r="AU252" s="50"/>
    </row>
    <row r="253">
      <c r="AD253" s="46"/>
      <c r="AF253" s="47"/>
      <c r="AS253" s="48"/>
      <c r="AT253" s="49"/>
      <c r="AU253" s="50"/>
    </row>
    <row r="254">
      <c r="AD254" s="46"/>
      <c r="AF254" s="47"/>
      <c r="AS254" s="48"/>
      <c r="AT254" s="49"/>
      <c r="AU254" s="50"/>
    </row>
    <row r="255">
      <c r="AD255" s="46"/>
      <c r="AF255" s="47"/>
      <c r="AS255" s="48"/>
      <c r="AT255" s="49"/>
      <c r="AU255" s="50"/>
    </row>
    <row r="256">
      <c r="AD256" s="46"/>
      <c r="AF256" s="47"/>
      <c r="AS256" s="48"/>
      <c r="AT256" s="49"/>
      <c r="AU256" s="50"/>
    </row>
    <row r="257">
      <c r="AD257" s="46"/>
      <c r="AF257" s="47"/>
      <c r="AS257" s="48"/>
      <c r="AT257" s="49"/>
      <c r="AU257" s="50"/>
    </row>
    <row r="258">
      <c r="AD258" s="46"/>
      <c r="AF258" s="47"/>
      <c r="AS258" s="48"/>
      <c r="AT258" s="49"/>
      <c r="AU258" s="50"/>
    </row>
    <row r="259">
      <c r="AD259" s="46"/>
      <c r="AF259" s="47"/>
      <c r="AS259" s="48"/>
      <c r="AT259" s="49"/>
      <c r="AU259" s="50"/>
    </row>
    <row r="260">
      <c r="AD260" s="46"/>
      <c r="AF260" s="47"/>
      <c r="AS260" s="48"/>
      <c r="AT260" s="49"/>
      <c r="AU260" s="50"/>
    </row>
    <row r="261">
      <c r="AD261" s="46"/>
      <c r="AF261" s="47"/>
      <c r="AS261" s="48"/>
      <c r="AT261" s="49"/>
      <c r="AU261" s="50"/>
    </row>
    <row r="262">
      <c r="AD262" s="46"/>
      <c r="AF262" s="47"/>
      <c r="AS262" s="48"/>
      <c r="AT262" s="49"/>
      <c r="AU262" s="50"/>
    </row>
    <row r="263">
      <c r="AD263" s="46"/>
      <c r="AF263" s="47"/>
      <c r="AS263" s="48"/>
      <c r="AT263" s="49"/>
      <c r="AU263" s="50"/>
    </row>
    <row r="264">
      <c r="AD264" s="46"/>
      <c r="AF264" s="47"/>
      <c r="AS264" s="48"/>
      <c r="AT264" s="49"/>
      <c r="AU264" s="50"/>
    </row>
    <row r="265">
      <c r="AD265" s="46"/>
      <c r="AF265" s="47"/>
      <c r="AS265" s="48"/>
      <c r="AT265" s="49"/>
      <c r="AU265" s="50"/>
    </row>
    <row r="266">
      <c r="AD266" s="46"/>
      <c r="AF266" s="47"/>
      <c r="AS266" s="48"/>
      <c r="AT266" s="49"/>
      <c r="AU266" s="50"/>
    </row>
    <row r="267">
      <c r="AD267" s="46"/>
      <c r="AF267" s="47"/>
      <c r="AS267" s="48"/>
      <c r="AT267" s="49"/>
      <c r="AU267" s="50"/>
    </row>
    <row r="268">
      <c r="AD268" s="46"/>
      <c r="AF268" s="47"/>
      <c r="AS268" s="48"/>
      <c r="AT268" s="49"/>
      <c r="AU268" s="50"/>
    </row>
    <row r="269">
      <c r="AD269" s="46"/>
      <c r="AF269" s="47"/>
      <c r="AS269" s="48"/>
      <c r="AT269" s="49"/>
      <c r="AU269" s="50"/>
    </row>
    <row r="270">
      <c r="AD270" s="46"/>
      <c r="AF270" s="47"/>
      <c r="AS270" s="48"/>
      <c r="AT270" s="49"/>
      <c r="AU270" s="50"/>
    </row>
    <row r="271">
      <c r="AD271" s="46"/>
      <c r="AF271" s="47"/>
      <c r="AS271" s="48"/>
      <c r="AT271" s="49"/>
      <c r="AU271" s="50"/>
    </row>
    <row r="272">
      <c r="AD272" s="46"/>
      <c r="AF272" s="47"/>
      <c r="AS272" s="48"/>
      <c r="AT272" s="49"/>
      <c r="AU272" s="50"/>
    </row>
    <row r="273">
      <c r="AD273" s="46"/>
      <c r="AF273" s="47"/>
      <c r="AS273" s="48"/>
      <c r="AT273" s="49"/>
      <c r="AU273" s="50"/>
    </row>
    <row r="274">
      <c r="AD274" s="46"/>
      <c r="AF274" s="47"/>
      <c r="AS274" s="48"/>
      <c r="AT274" s="49"/>
      <c r="AU274" s="50"/>
    </row>
    <row r="275">
      <c r="AD275" s="46"/>
      <c r="AF275" s="47"/>
      <c r="AS275" s="48"/>
      <c r="AT275" s="49"/>
      <c r="AU275" s="50"/>
    </row>
    <row r="276">
      <c r="AD276" s="46"/>
      <c r="AF276" s="47"/>
      <c r="AS276" s="48"/>
      <c r="AT276" s="49"/>
      <c r="AU276" s="50"/>
    </row>
    <row r="277">
      <c r="AD277" s="46"/>
      <c r="AF277" s="47"/>
      <c r="AS277" s="48"/>
      <c r="AT277" s="49"/>
      <c r="AU277" s="50"/>
    </row>
    <row r="278">
      <c r="AD278" s="46"/>
      <c r="AF278" s="47"/>
      <c r="AS278" s="48"/>
      <c r="AT278" s="49"/>
      <c r="AU278" s="50"/>
    </row>
    <row r="279">
      <c r="AD279" s="46"/>
      <c r="AF279" s="47"/>
      <c r="AS279" s="48"/>
      <c r="AT279" s="49"/>
      <c r="AU279" s="50"/>
    </row>
    <row r="280">
      <c r="AD280" s="46"/>
      <c r="AF280" s="47"/>
      <c r="AS280" s="48"/>
      <c r="AT280" s="49"/>
      <c r="AU280" s="50"/>
    </row>
    <row r="281">
      <c r="AD281" s="46"/>
      <c r="AF281" s="47"/>
      <c r="AS281" s="48"/>
      <c r="AT281" s="49"/>
      <c r="AU281" s="50"/>
    </row>
    <row r="282">
      <c r="AD282" s="46"/>
      <c r="AF282" s="47"/>
      <c r="AS282" s="48"/>
      <c r="AT282" s="49"/>
      <c r="AU282" s="50"/>
    </row>
    <row r="283">
      <c r="AD283" s="46"/>
      <c r="AF283" s="47"/>
      <c r="AS283" s="48"/>
      <c r="AT283" s="49"/>
      <c r="AU283" s="50"/>
    </row>
    <row r="284">
      <c r="AD284" s="46"/>
      <c r="AF284" s="47"/>
      <c r="AS284" s="48"/>
      <c r="AT284" s="49"/>
      <c r="AU284" s="50"/>
    </row>
    <row r="285">
      <c r="AD285" s="46"/>
      <c r="AF285" s="47"/>
      <c r="AS285" s="48"/>
      <c r="AT285" s="49"/>
      <c r="AU285" s="50"/>
    </row>
    <row r="286">
      <c r="AD286" s="46"/>
      <c r="AF286" s="47"/>
      <c r="AS286" s="48"/>
      <c r="AT286" s="49"/>
      <c r="AU286" s="50"/>
    </row>
    <row r="287">
      <c r="AD287" s="46"/>
      <c r="AF287" s="47"/>
      <c r="AS287" s="48"/>
      <c r="AT287" s="49"/>
      <c r="AU287" s="50"/>
    </row>
    <row r="288">
      <c r="AD288" s="46"/>
      <c r="AF288" s="47"/>
      <c r="AS288" s="48"/>
      <c r="AT288" s="49"/>
      <c r="AU288" s="50"/>
    </row>
    <row r="289">
      <c r="AD289" s="46"/>
      <c r="AF289" s="47"/>
      <c r="AS289" s="48"/>
      <c r="AT289" s="49"/>
      <c r="AU289" s="50"/>
    </row>
    <row r="290">
      <c r="AD290" s="46"/>
      <c r="AF290" s="47"/>
      <c r="AS290" s="48"/>
      <c r="AT290" s="49"/>
      <c r="AU290" s="50"/>
    </row>
    <row r="291">
      <c r="AD291" s="46"/>
      <c r="AF291" s="47"/>
      <c r="AS291" s="48"/>
      <c r="AT291" s="49"/>
      <c r="AU291" s="50"/>
    </row>
    <row r="292">
      <c r="AD292" s="46"/>
      <c r="AF292" s="47"/>
      <c r="AS292" s="48"/>
      <c r="AT292" s="49"/>
      <c r="AU292" s="50"/>
    </row>
    <row r="293">
      <c r="AD293" s="46"/>
      <c r="AF293" s="47"/>
      <c r="AS293" s="48"/>
      <c r="AT293" s="49"/>
      <c r="AU293" s="50"/>
    </row>
    <row r="294">
      <c r="AD294" s="46"/>
      <c r="AF294" s="47"/>
      <c r="AS294" s="48"/>
      <c r="AT294" s="49"/>
      <c r="AU294" s="50"/>
    </row>
    <row r="295">
      <c r="AD295" s="46"/>
      <c r="AF295" s="47"/>
      <c r="AS295" s="48"/>
      <c r="AT295" s="49"/>
      <c r="AU295" s="50"/>
    </row>
    <row r="296">
      <c r="AD296" s="46"/>
      <c r="AF296" s="47"/>
      <c r="AS296" s="48"/>
      <c r="AT296" s="49"/>
      <c r="AU296" s="50"/>
    </row>
    <row r="297">
      <c r="AD297" s="46"/>
      <c r="AF297" s="47"/>
      <c r="AS297" s="48"/>
      <c r="AT297" s="49"/>
      <c r="AU297" s="50"/>
    </row>
    <row r="298">
      <c r="AD298" s="46"/>
      <c r="AF298" s="47"/>
      <c r="AS298" s="48"/>
      <c r="AT298" s="49"/>
      <c r="AU298" s="50"/>
    </row>
    <row r="299">
      <c r="AD299" s="46"/>
      <c r="AF299" s="47"/>
      <c r="AS299" s="48"/>
      <c r="AT299" s="49"/>
      <c r="AU299" s="50"/>
    </row>
    <row r="300">
      <c r="AD300" s="46"/>
      <c r="AF300" s="47"/>
      <c r="AS300" s="48"/>
      <c r="AT300" s="49"/>
      <c r="AU300" s="50"/>
    </row>
    <row r="301">
      <c r="AD301" s="46"/>
      <c r="AF301" s="47"/>
      <c r="AS301" s="48"/>
      <c r="AT301" s="49"/>
      <c r="AU301" s="50"/>
    </row>
    <row r="302">
      <c r="AD302" s="46"/>
      <c r="AF302" s="47"/>
      <c r="AS302" s="48"/>
      <c r="AT302" s="49"/>
      <c r="AU302" s="50"/>
    </row>
    <row r="303">
      <c r="AD303" s="46"/>
      <c r="AF303" s="47"/>
      <c r="AS303" s="48"/>
      <c r="AT303" s="49"/>
      <c r="AU303" s="50"/>
    </row>
    <row r="304">
      <c r="AD304" s="46"/>
      <c r="AF304" s="47"/>
      <c r="AS304" s="48"/>
      <c r="AT304" s="49"/>
      <c r="AU304" s="50"/>
    </row>
    <row r="305">
      <c r="AD305" s="46"/>
      <c r="AF305" s="47"/>
      <c r="AS305" s="48"/>
      <c r="AT305" s="49"/>
      <c r="AU305" s="50"/>
    </row>
    <row r="306">
      <c r="AD306" s="46"/>
      <c r="AF306" s="47"/>
      <c r="AS306" s="48"/>
      <c r="AT306" s="49"/>
      <c r="AU306" s="50"/>
    </row>
    <row r="307">
      <c r="AD307" s="46"/>
      <c r="AF307" s="47"/>
      <c r="AS307" s="48"/>
      <c r="AT307" s="49"/>
      <c r="AU307" s="50"/>
    </row>
    <row r="308">
      <c r="AD308" s="46"/>
      <c r="AF308" s="47"/>
      <c r="AS308" s="48"/>
      <c r="AT308" s="49"/>
      <c r="AU308" s="50"/>
    </row>
    <row r="309">
      <c r="AD309" s="46"/>
      <c r="AF309" s="47"/>
      <c r="AS309" s="48"/>
      <c r="AT309" s="49"/>
      <c r="AU309" s="50"/>
    </row>
    <row r="310">
      <c r="AD310" s="46"/>
      <c r="AF310" s="47"/>
      <c r="AS310" s="48"/>
      <c r="AT310" s="49"/>
      <c r="AU310" s="50"/>
    </row>
    <row r="311">
      <c r="AD311" s="46"/>
      <c r="AF311" s="47"/>
      <c r="AS311" s="48"/>
      <c r="AT311" s="49"/>
      <c r="AU311" s="50"/>
    </row>
    <row r="312">
      <c r="AD312" s="46"/>
      <c r="AF312" s="47"/>
      <c r="AS312" s="48"/>
      <c r="AT312" s="49"/>
      <c r="AU312" s="50"/>
    </row>
    <row r="313">
      <c r="AD313" s="46"/>
      <c r="AF313" s="47"/>
      <c r="AS313" s="48"/>
      <c r="AT313" s="49"/>
      <c r="AU313" s="50"/>
    </row>
    <row r="314">
      <c r="AD314" s="46"/>
      <c r="AF314" s="47"/>
      <c r="AS314" s="48"/>
      <c r="AT314" s="49"/>
      <c r="AU314" s="50"/>
    </row>
    <row r="315">
      <c r="AD315" s="46"/>
      <c r="AF315" s="47"/>
      <c r="AS315" s="48"/>
      <c r="AT315" s="49"/>
      <c r="AU315" s="50"/>
    </row>
    <row r="316">
      <c r="AD316" s="46"/>
      <c r="AF316" s="47"/>
      <c r="AS316" s="48"/>
      <c r="AT316" s="49"/>
      <c r="AU316" s="50"/>
    </row>
    <row r="317">
      <c r="AD317" s="46"/>
      <c r="AF317" s="47"/>
      <c r="AS317" s="48"/>
      <c r="AT317" s="49"/>
      <c r="AU317" s="50"/>
    </row>
    <row r="318">
      <c r="AD318" s="46"/>
      <c r="AF318" s="47"/>
      <c r="AS318" s="48"/>
      <c r="AT318" s="49"/>
      <c r="AU318" s="50"/>
    </row>
    <row r="319">
      <c r="AD319" s="46"/>
      <c r="AF319" s="47"/>
      <c r="AS319" s="48"/>
      <c r="AT319" s="49"/>
      <c r="AU319" s="50"/>
    </row>
    <row r="320">
      <c r="AD320" s="46"/>
      <c r="AF320" s="47"/>
      <c r="AS320" s="48"/>
      <c r="AT320" s="49"/>
      <c r="AU320" s="50"/>
    </row>
    <row r="321">
      <c r="AD321" s="46"/>
      <c r="AF321" s="47"/>
      <c r="AS321" s="48"/>
      <c r="AT321" s="49"/>
      <c r="AU321" s="50"/>
    </row>
    <row r="322">
      <c r="AD322" s="46"/>
      <c r="AF322" s="47"/>
      <c r="AS322" s="48"/>
      <c r="AT322" s="49"/>
      <c r="AU322" s="50"/>
    </row>
    <row r="323">
      <c r="AD323" s="46"/>
      <c r="AF323" s="47"/>
      <c r="AS323" s="48"/>
      <c r="AT323" s="49"/>
      <c r="AU323" s="50"/>
    </row>
    <row r="324">
      <c r="AD324" s="46"/>
      <c r="AF324" s="47"/>
      <c r="AS324" s="48"/>
      <c r="AT324" s="49"/>
      <c r="AU324" s="50"/>
    </row>
    <row r="325">
      <c r="AD325" s="46"/>
      <c r="AF325" s="47"/>
      <c r="AS325" s="48"/>
      <c r="AT325" s="49"/>
      <c r="AU325" s="50"/>
    </row>
    <row r="326">
      <c r="AD326" s="46"/>
      <c r="AF326" s="47"/>
      <c r="AS326" s="48"/>
      <c r="AT326" s="49"/>
      <c r="AU326" s="50"/>
    </row>
    <row r="327">
      <c r="AD327" s="46"/>
      <c r="AF327" s="47"/>
      <c r="AS327" s="48"/>
      <c r="AT327" s="49"/>
      <c r="AU327" s="50"/>
    </row>
    <row r="328">
      <c r="AD328" s="46"/>
      <c r="AF328" s="47"/>
      <c r="AS328" s="48"/>
      <c r="AT328" s="49"/>
      <c r="AU328" s="50"/>
    </row>
    <row r="329">
      <c r="AD329" s="46"/>
      <c r="AF329" s="47"/>
      <c r="AS329" s="48"/>
      <c r="AT329" s="49"/>
      <c r="AU329" s="50"/>
    </row>
    <row r="330">
      <c r="AD330" s="46"/>
      <c r="AF330" s="47"/>
      <c r="AS330" s="48"/>
      <c r="AT330" s="49"/>
      <c r="AU330" s="50"/>
    </row>
    <row r="331">
      <c r="AD331" s="46"/>
      <c r="AF331" s="47"/>
      <c r="AS331" s="48"/>
      <c r="AT331" s="49"/>
      <c r="AU331" s="50"/>
    </row>
    <row r="332">
      <c r="AD332" s="46"/>
      <c r="AF332" s="47"/>
      <c r="AS332" s="48"/>
      <c r="AT332" s="49"/>
      <c r="AU332" s="50"/>
    </row>
    <row r="333">
      <c r="AD333" s="46"/>
      <c r="AF333" s="47"/>
      <c r="AS333" s="48"/>
      <c r="AT333" s="49"/>
      <c r="AU333" s="50"/>
    </row>
    <row r="334">
      <c r="AD334" s="46"/>
      <c r="AF334" s="47"/>
      <c r="AS334" s="48"/>
      <c r="AT334" s="49"/>
      <c r="AU334" s="50"/>
    </row>
    <row r="335">
      <c r="AD335" s="46"/>
      <c r="AF335" s="47"/>
      <c r="AS335" s="48"/>
      <c r="AT335" s="49"/>
      <c r="AU335" s="50"/>
    </row>
    <row r="336">
      <c r="AD336" s="46"/>
      <c r="AF336" s="47"/>
      <c r="AS336" s="48"/>
      <c r="AT336" s="49"/>
      <c r="AU336" s="50"/>
    </row>
    <row r="337">
      <c r="AD337" s="46"/>
      <c r="AF337" s="47"/>
      <c r="AS337" s="48"/>
      <c r="AT337" s="49"/>
      <c r="AU337" s="50"/>
    </row>
    <row r="338">
      <c r="AD338" s="46"/>
      <c r="AF338" s="47"/>
      <c r="AS338" s="48"/>
      <c r="AT338" s="49"/>
      <c r="AU338" s="50"/>
    </row>
    <row r="339">
      <c r="AD339" s="46"/>
      <c r="AF339" s="47"/>
      <c r="AS339" s="48"/>
      <c r="AT339" s="49"/>
      <c r="AU339" s="50"/>
    </row>
    <row r="340">
      <c r="AD340" s="46"/>
      <c r="AF340" s="47"/>
      <c r="AS340" s="48"/>
      <c r="AT340" s="49"/>
      <c r="AU340" s="50"/>
    </row>
    <row r="341">
      <c r="AD341" s="46"/>
      <c r="AF341" s="47"/>
      <c r="AS341" s="48"/>
      <c r="AT341" s="49"/>
      <c r="AU341" s="50"/>
    </row>
    <row r="342">
      <c r="AD342" s="46"/>
      <c r="AF342" s="47"/>
      <c r="AS342" s="48"/>
      <c r="AT342" s="49"/>
      <c r="AU342" s="50"/>
    </row>
    <row r="343">
      <c r="AD343" s="46"/>
      <c r="AF343" s="47"/>
      <c r="AS343" s="48"/>
      <c r="AT343" s="49"/>
      <c r="AU343" s="50"/>
    </row>
    <row r="344">
      <c r="AD344" s="46"/>
      <c r="AF344" s="47"/>
      <c r="AS344" s="48"/>
      <c r="AT344" s="49"/>
      <c r="AU344" s="50"/>
    </row>
    <row r="345">
      <c r="AD345" s="46"/>
      <c r="AF345" s="47"/>
      <c r="AS345" s="48"/>
      <c r="AT345" s="49"/>
      <c r="AU345" s="50"/>
    </row>
    <row r="346">
      <c r="AD346" s="46"/>
      <c r="AF346" s="47"/>
      <c r="AS346" s="48"/>
      <c r="AT346" s="49"/>
      <c r="AU346" s="50"/>
    </row>
    <row r="347">
      <c r="AD347" s="46"/>
      <c r="AF347" s="47"/>
      <c r="AS347" s="48"/>
      <c r="AT347" s="49"/>
      <c r="AU347" s="50"/>
    </row>
    <row r="348">
      <c r="AD348" s="46"/>
      <c r="AF348" s="47"/>
      <c r="AS348" s="48"/>
      <c r="AT348" s="49"/>
      <c r="AU348" s="50"/>
    </row>
    <row r="349">
      <c r="AD349" s="46"/>
      <c r="AF349" s="47"/>
      <c r="AS349" s="48"/>
      <c r="AT349" s="49"/>
      <c r="AU349" s="50"/>
    </row>
    <row r="350">
      <c r="AD350" s="46"/>
      <c r="AF350" s="47"/>
      <c r="AS350" s="48"/>
      <c r="AT350" s="49"/>
      <c r="AU350" s="50"/>
    </row>
    <row r="351">
      <c r="AD351" s="46"/>
      <c r="AF351" s="47"/>
      <c r="AS351" s="48"/>
      <c r="AT351" s="49"/>
      <c r="AU351" s="50"/>
    </row>
    <row r="352">
      <c r="AD352" s="46"/>
      <c r="AF352" s="47"/>
      <c r="AS352" s="48"/>
      <c r="AT352" s="49"/>
      <c r="AU352" s="50"/>
    </row>
    <row r="353">
      <c r="AD353" s="46"/>
      <c r="AF353" s="47"/>
      <c r="AS353" s="48"/>
      <c r="AT353" s="49"/>
      <c r="AU353" s="50"/>
    </row>
    <row r="354">
      <c r="AD354" s="46"/>
      <c r="AF354" s="47"/>
      <c r="AS354" s="48"/>
      <c r="AT354" s="49"/>
      <c r="AU354" s="50"/>
    </row>
    <row r="355">
      <c r="AD355" s="46"/>
      <c r="AF355" s="47"/>
      <c r="AS355" s="48"/>
      <c r="AT355" s="49"/>
      <c r="AU355" s="50"/>
    </row>
    <row r="356">
      <c r="AD356" s="46"/>
      <c r="AF356" s="47"/>
      <c r="AS356" s="48"/>
      <c r="AT356" s="49"/>
      <c r="AU356" s="50"/>
    </row>
    <row r="357">
      <c r="AD357" s="46"/>
      <c r="AF357" s="47"/>
      <c r="AS357" s="48"/>
      <c r="AT357" s="49"/>
      <c r="AU357" s="50"/>
    </row>
    <row r="358">
      <c r="AD358" s="46"/>
      <c r="AF358" s="47"/>
      <c r="AS358" s="48"/>
      <c r="AT358" s="49"/>
      <c r="AU358" s="50"/>
    </row>
    <row r="359">
      <c r="AD359" s="46"/>
      <c r="AF359" s="47"/>
      <c r="AS359" s="48"/>
      <c r="AT359" s="49"/>
      <c r="AU359" s="50"/>
    </row>
    <row r="360">
      <c r="AD360" s="46"/>
      <c r="AF360" s="47"/>
      <c r="AS360" s="48"/>
      <c r="AT360" s="49"/>
      <c r="AU360" s="50"/>
    </row>
    <row r="361">
      <c r="AD361" s="46"/>
      <c r="AF361" s="47"/>
      <c r="AS361" s="48"/>
      <c r="AT361" s="49"/>
      <c r="AU361" s="50"/>
    </row>
    <row r="362">
      <c r="AD362" s="46"/>
      <c r="AF362" s="47"/>
      <c r="AS362" s="48"/>
      <c r="AT362" s="49"/>
      <c r="AU362" s="50"/>
    </row>
    <row r="363">
      <c r="AD363" s="46"/>
      <c r="AF363" s="47"/>
      <c r="AS363" s="48"/>
      <c r="AT363" s="49"/>
      <c r="AU363" s="50"/>
    </row>
    <row r="364">
      <c r="AD364" s="46"/>
      <c r="AF364" s="47"/>
      <c r="AS364" s="48"/>
      <c r="AT364" s="49"/>
      <c r="AU364" s="50"/>
    </row>
    <row r="365">
      <c r="AD365" s="46"/>
      <c r="AF365" s="47"/>
      <c r="AS365" s="48"/>
      <c r="AT365" s="49"/>
      <c r="AU365" s="50"/>
    </row>
    <row r="366">
      <c r="AD366" s="46"/>
      <c r="AF366" s="47"/>
      <c r="AS366" s="48"/>
      <c r="AT366" s="49"/>
      <c r="AU366" s="50"/>
    </row>
    <row r="367">
      <c r="AD367" s="46"/>
      <c r="AF367" s="47"/>
      <c r="AS367" s="48"/>
      <c r="AT367" s="49"/>
      <c r="AU367" s="50"/>
    </row>
    <row r="368">
      <c r="AD368" s="46"/>
      <c r="AF368" s="47"/>
      <c r="AS368" s="48"/>
      <c r="AT368" s="49"/>
      <c r="AU368" s="50"/>
    </row>
    <row r="369">
      <c r="AD369" s="46"/>
      <c r="AF369" s="47"/>
      <c r="AS369" s="48"/>
      <c r="AT369" s="49"/>
      <c r="AU369" s="50"/>
    </row>
    <row r="370">
      <c r="AD370" s="46"/>
      <c r="AF370" s="47"/>
      <c r="AS370" s="48"/>
      <c r="AT370" s="49"/>
      <c r="AU370" s="50"/>
    </row>
    <row r="371">
      <c r="AD371" s="46"/>
      <c r="AF371" s="47"/>
      <c r="AS371" s="48"/>
      <c r="AT371" s="49"/>
      <c r="AU371" s="50"/>
    </row>
    <row r="372">
      <c r="AD372" s="46"/>
      <c r="AF372" s="47"/>
      <c r="AS372" s="48"/>
      <c r="AT372" s="49"/>
      <c r="AU372" s="50"/>
    </row>
    <row r="373">
      <c r="AD373" s="46"/>
      <c r="AF373" s="47"/>
      <c r="AS373" s="48"/>
      <c r="AT373" s="49"/>
      <c r="AU373" s="50"/>
    </row>
    <row r="374">
      <c r="AD374" s="46"/>
      <c r="AF374" s="47"/>
      <c r="AS374" s="48"/>
      <c r="AT374" s="49"/>
      <c r="AU374" s="50"/>
    </row>
    <row r="375">
      <c r="AD375" s="46"/>
      <c r="AF375" s="47"/>
      <c r="AS375" s="48"/>
      <c r="AT375" s="49"/>
      <c r="AU375" s="50"/>
    </row>
    <row r="376">
      <c r="AD376" s="46"/>
      <c r="AF376" s="47"/>
      <c r="AS376" s="48"/>
      <c r="AT376" s="49"/>
      <c r="AU376" s="50"/>
    </row>
    <row r="377">
      <c r="AD377" s="46"/>
      <c r="AF377" s="47"/>
      <c r="AS377" s="48"/>
      <c r="AT377" s="49"/>
      <c r="AU377" s="50"/>
    </row>
    <row r="378">
      <c r="AD378" s="46"/>
      <c r="AF378" s="47"/>
      <c r="AS378" s="48"/>
      <c r="AT378" s="49"/>
      <c r="AU378" s="50"/>
    </row>
    <row r="379">
      <c r="AD379" s="46"/>
      <c r="AF379" s="47"/>
      <c r="AS379" s="48"/>
      <c r="AT379" s="49"/>
      <c r="AU379" s="50"/>
    </row>
    <row r="380">
      <c r="AD380" s="46"/>
      <c r="AF380" s="47"/>
      <c r="AS380" s="48"/>
      <c r="AT380" s="49"/>
      <c r="AU380" s="50"/>
    </row>
    <row r="381">
      <c r="AD381" s="46"/>
      <c r="AF381" s="47"/>
      <c r="AS381" s="48"/>
      <c r="AT381" s="49"/>
      <c r="AU381" s="50"/>
    </row>
    <row r="382">
      <c r="AD382" s="46"/>
      <c r="AF382" s="47"/>
      <c r="AS382" s="48"/>
      <c r="AT382" s="49"/>
      <c r="AU382" s="50"/>
    </row>
    <row r="383">
      <c r="AD383" s="46"/>
      <c r="AF383" s="47"/>
      <c r="AS383" s="48"/>
      <c r="AT383" s="49"/>
      <c r="AU383" s="50"/>
    </row>
    <row r="384">
      <c r="AD384" s="46"/>
      <c r="AF384" s="47"/>
      <c r="AS384" s="48"/>
      <c r="AT384" s="49"/>
      <c r="AU384" s="50"/>
    </row>
    <row r="385">
      <c r="AD385" s="46"/>
      <c r="AF385" s="47"/>
      <c r="AS385" s="48"/>
      <c r="AT385" s="49"/>
      <c r="AU385" s="50"/>
    </row>
    <row r="386">
      <c r="AD386" s="46"/>
      <c r="AF386" s="47"/>
      <c r="AS386" s="48"/>
      <c r="AT386" s="49"/>
      <c r="AU386" s="50"/>
    </row>
    <row r="387">
      <c r="AD387" s="46"/>
      <c r="AF387" s="47"/>
      <c r="AS387" s="48"/>
      <c r="AT387" s="49"/>
      <c r="AU387" s="50"/>
    </row>
    <row r="388">
      <c r="AD388" s="46"/>
      <c r="AF388" s="47"/>
      <c r="AS388" s="48"/>
      <c r="AT388" s="49"/>
      <c r="AU388" s="50"/>
    </row>
    <row r="389">
      <c r="AD389" s="46"/>
      <c r="AF389" s="47"/>
      <c r="AS389" s="48"/>
      <c r="AT389" s="49"/>
      <c r="AU389" s="50"/>
    </row>
    <row r="390">
      <c r="AD390" s="46"/>
      <c r="AF390" s="47"/>
      <c r="AS390" s="48"/>
      <c r="AT390" s="49"/>
      <c r="AU390" s="50"/>
    </row>
    <row r="391">
      <c r="AD391" s="46"/>
      <c r="AF391" s="47"/>
      <c r="AS391" s="48"/>
      <c r="AT391" s="49"/>
      <c r="AU391" s="50"/>
    </row>
    <row r="392">
      <c r="AD392" s="46"/>
      <c r="AF392" s="47"/>
      <c r="AS392" s="48"/>
      <c r="AT392" s="49"/>
      <c r="AU392" s="50"/>
    </row>
    <row r="393">
      <c r="AD393" s="46"/>
      <c r="AF393" s="47"/>
      <c r="AS393" s="48"/>
      <c r="AT393" s="49"/>
      <c r="AU393" s="50"/>
    </row>
    <row r="394">
      <c r="AD394" s="46"/>
      <c r="AF394" s="47"/>
      <c r="AS394" s="48"/>
      <c r="AT394" s="49"/>
      <c r="AU394" s="50"/>
    </row>
    <row r="395">
      <c r="AD395" s="46"/>
      <c r="AF395" s="47"/>
      <c r="AS395" s="48"/>
      <c r="AT395" s="49"/>
      <c r="AU395" s="50"/>
    </row>
    <row r="396">
      <c r="AD396" s="46"/>
      <c r="AF396" s="47"/>
      <c r="AS396" s="48"/>
      <c r="AT396" s="49"/>
      <c r="AU396" s="50"/>
    </row>
    <row r="397">
      <c r="AD397" s="46"/>
      <c r="AF397" s="47"/>
      <c r="AS397" s="48"/>
      <c r="AT397" s="49"/>
      <c r="AU397" s="50"/>
    </row>
    <row r="398">
      <c r="AD398" s="46"/>
      <c r="AF398" s="47"/>
      <c r="AS398" s="48"/>
      <c r="AT398" s="49"/>
      <c r="AU398" s="50"/>
    </row>
    <row r="399">
      <c r="AD399" s="46"/>
      <c r="AF399" s="47"/>
      <c r="AS399" s="48"/>
      <c r="AT399" s="49"/>
      <c r="AU399" s="50"/>
    </row>
    <row r="400">
      <c r="AD400" s="46"/>
      <c r="AF400" s="47"/>
      <c r="AS400" s="48"/>
      <c r="AT400" s="49"/>
      <c r="AU400" s="50"/>
    </row>
    <row r="401">
      <c r="AD401" s="46"/>
      <c r="AF401" s="47"/>
      <c r="AS401" s="48"/>
      <c r="AT401" s="49"/>
      <c r="AU401" s="50"/>
    </row>
    <row r="402">
      <c r="AD402" s="46"/>
      <c r="AF402" s="47"/>
      <c r="AS402" s="48"/>
      <c r="AT402" s="49"/>
      <c r="AU402" s="50"/>
    </row>
    <row r="403">
      <c r="AD403" s="46"/>
      <c r="AF403" s="47"/>
      <c r="AS403" s="48"/>
      <c r="AT403" s="49"/>
      <c r="AU403" s="50"/>
    </row>
    <row r="404">
      <c r="AD404" s="46"/>
      <c r="AF404" s="47"/>
      <c r="AS404" s="48"/>
      <c r="AT404" s="49"/>
      <c r="AU404" s="50"/>
    </row>
    <row r="405">
      <c r="AD405" s="46"/>
      <c r="AF405" s="47"/>
      <c r="AS405" s="48"/>
      <c r="AT405" s="49"/>
      <c r="AU405" s="50"/>
    </row>
    <row r="406">
      <c r="AD406" s="46"/>
      <c r="AF406" s="47"/>
      <c r="AS406" s="48"/>
      <c r="AT406" s="49"/>
      <c r="AU406" s="50"/>
    </row>
    <row r="407">
      <c r="AD407" s="46"/>
      <c r="AF407" s="47"/>
      <c r="AS407" s="48"/>
      <c r="AT407" s="49"/>
      <c r="AU407" s="50"/>
    </row>
    <row r="408">
      <c r="AD408" s="46"/>
      <c r="AF408" s="47"/>
      <c r="AS408" s="48"/>
      <c r="AT408" s="49"/>
      <c r="AU408" s="50"/>
    </row>
    <row r="409">
      <c r="AD409" s="46"/>
      <c r="AF409" s="47"/>
      <c r="AS409" s="48"/>
      <c r="AT409" s="49"/>
      <c r="AU409" s="50"/>
    </row>
    <row r="410">
      <c r="AD410" s="46"/>
      <c r="AF410" s="47"/>
      <c r="AS410" s="48"/>
      <c r="AT410" s="49"/>
      <c r="AU410" s="50"/>
    </row>
    <row r="411">
      <c r="AD411" s="46"/>
      <c r="AF411" s="47"/>
      <c r="AS411" s="48"/>
      <c r="AT411" s="49"/>
      <c r="AU411" s="50"/>
    </row>
    <row r="412">
      <c r="AD412" s="46"/>
      <c r="AF412" s="47"/>
      <c r="AS412" s="48"/>
      <c r="AT412" s="49"/>
      <c r="AU412" s="50"/>
    </row>
    <row r="413">
      <c r="AD413" s="46"/>
      <c r="AF413" s="47"/>
      <c r="AS413" s="48"/>
      <c r="AT413" s="49"/>
      <c r="AU413" s="50"/>
    </row>
    <row r="414">
      <c r="AD414" s="46"/>
      <c r="AF414" s="47"/>
      <c r="AS414" s="48"/>
      <c r="AT414" s="49"/>
      <c r="AU414" s="50"/>
    </row>
    <row r="415">
      <c r="AD415" s="46"/>
      <c r="AF415" s="47"/>
      <c r="AS415" s="48"/>
      <c r="AT415" s="49"/>
      <c r="AU415" s="50"/>
    </row>
    <row r="416">
      <c r="AD416" s="46"/>
      <c r="AF416" s="47"/>
      <c r="AS416" s="48"/>
      <c r="AT416" s="49"/>
      <c r="AU416" s="50"/>
    </row>
    <row r="417">
      <c r="AD417" s="46"/>
      <c r="AF417" s="47"/>
      <c r="AS417" s="48"/>
      <c r="AT417" s="49"/>
      <c r="AU417" s="50"/>
    </row>
    <row r="418">
      <c r="AD418" s="46"/>
      <c r="AF418" s="47"/>
      <c r="AS418" s="48"/>
      <c r="AT418" s="49"/>
      <c r="AU418" s="50"/>
    </row>
    <row r="419">
      <c r="AD419" s="46"/>
      <c r="AF419" s="47"/>
      <c r="AS419" s="48"/>
      <c r="AT419" s="49"/>
      <c r="AU419" s="50"/>
    </row>
    <row r="420">
      <c r="AD420" s="46"/>
      <c r="AF420" s="47"/>
      <c r="AS420" s="48"/>
      <c r="AT420" s="49"/>
      <c r="AU420" s="50"/>
    </row>
    <row r="421">
      <c r="AD421" s="46"/>
      <c r="AF421" s="47"/>
      <c r="AS421" s="48"/>
      <c r="AT421" s="49"/>
      <c r="AU421" s="50"/>
    </row>
    <row r="422">
      <c r="AD422" s="46"/>
      <c r="AF422" s="47"/>
      <c r="AS422" s="48"/>
      <c r="AT422" s="49"/>
      <c r="AU422" s="50"/>
    </row>
    <row r="423">
      <c r="AD423" s="46"/>
      <c r="AF423" s="47"/>
      <c r="AS423" s="48"/>
      <c r="AT423" s="49"/>
      <c r="AU423" s="50"/>
    </row>
    <row r="424">
      <c r="AD424" s="46"/>
      <c r="AF424" s="47"/>
      <c r="AS424" s="48"/>
      <c r="AT424" s="49"/>
      <c r="AU424" s="50"/>
    </row>
    <row r="425">
      <c r="AD425" s="46"/>
      <c r="AF425" s="47"/>
      <c r="AS425" s="48"/>
      <c r="AT425" s="49"/>
      <c r="AU425" s="50"/>
    </row>
    <row r="426">
      <c r="AD426" s="46"/>
      <c r="AF426" s="47"/>
      <c r="AS426" s="48"/>
      <c r="AT426" s="49"/>
      <c r="AU426" s="50"/>
    </row>
    <row r="427">
      <c r="AD427" s="46"/>
      <c r="AF427" s="47"/>
      <c r="AS427" s="48"/>
      <c r="AT427" s="49"/>
      <c r="AU427" s="50"/>
    </row>
    <row r="428">
      <c r="AD428" s="46"/>
      <c r="AF428" s="47"/>
      <c r="AS428" s="48"/>
      <c r="AT428" s="49"/>
      <c r="AU428" s="50"/>
    </row>
    <row r="429">
      <c r="AD429" s="46"/>
      <c r="AF429" s="47"/>
      <c r="AS429" s="48"/>
      <c r="AT429" s="49"/>
      <c r="AU429" s="50"/>
    </row>
    <row r="430">
      <c r="AD430" s="46"/>
      <c r="AF430" s="47"/>
      <c r="AS430" s="48"/>
      <c r="AT430" s="49"/>
      <c r="AU430" s="50"/>
    </row>
    <row r="431">
      <c r="AD431" s="46"/>
      <c r="AF431" s="47"/>
      <c r="AS431" s="48"/>
      <c r="AT431" s="49"/>
      <c r="AU431" s="50"/>
    </row>
    <row r="432">
      <c r="AD432" s="46"/>
      <c r="AF432" s="47"/>
      <c r="AS432" s="48"/>
      <c r="AT432" s="49"/>
      <c r="AU432" s="50"/>
    </row>
    <row r="433">
      <c r="AD433" s="46"/>
      <c r="AF433" s="47"/>
      <c r="AS433" s="48"/>
      <c r="AT433" s="49"/>
      <c r="AU433" s="50"/>
    </row>
    <row r="434">
      <c r="AD434" s="46"/>
      <c r="AF434" s="47"/>
      <c r="AS434" s="48"/>
      <c r="AT434" s="49"/>
      <c r="AU434" s="50"/>
    </row>
    <row r="435">
      <c r="AD435" s="46"/>
      <c r="AF435" s="47"/>
      <c r="AS435" s="48"/>
      <c r="AT435" s="49"/>
      <c r="AU435" s="50"/>
    </row>
    <row r="436">
      <c r="AD436" s="46"/>
      <c r="AF436" s="47"/>
      <c r="AS436" s="48"/>
      <c r="AT436" s="49"/>
      <c r="AU436" s="50"/>
    </row>
    <row r="437">
      <c r="AD437" s="46"/>
      <c r="AF437" s="47"/>
      <c r="AS437" s="48"/>
      <c r="AT437" s="49"/>
      <c r="AU437" s="50"/>
    </row>
    <row r="438">
      <c r="AD438" s="46"/>
      <c r="AF438" s="47"/>
      <c r="AS438" s="48"/>
      <c r="AT438" s="49"/>
      <c r="AU438" s="50"/>
    </row>
    <row r="439">
      <c r="AD439" s="46"/>
      <c r="AF439" s="47"/>
      <c r="AS439" s="48"/>
      <c r="AT439" s="49"/>
      <c r="AU439" s="50"/>
    </row>
    <row r="440">
      <c r="AD440" s="46"/>
      <c r="AF440" s="47"/>
      <c r="AS440" s="48"/>
      <c r="AT440" s="49"/>
      <c r="AU440" s="50"/>
    </row>
    <row r="441">
      <c r="AD441" s="46"/>
      <c r="AF441" s="47"/>
      <c r="AS441" s="48"/>
      <c r="AT441" s="49"/>
      <c r="AU441" s="50"/>
    </row>
    <row r="442">
      <c r="AD442" s="46"/>
      <c r="AF442" s="47"/>
      <c r="AS442" s="48"/>
      <c r="AT442" s="49"/>
      <c r="AU442" s="50"/>
    </row>
    <row r="443">
      <c r="AD443" s="46"/>
      <c r="AF443" s="47"/>
      <c r="AS443" s="48"/>
      <c r="AT443" s="49"/>
      <c r="AU443" s="50"/>
    </row>
    <row r="444">
      <c r="AD444" s="46"/>
      <c r="AF444" s="47"/>
      <c r="AS444" s="48"/>
      <c r="AT444" s="49"/>
      <c r="AU444" s="50"/>
    </row>
    <row r="445">
      <c r="AD445" s="46"/>
      <c r="AF445" s="47"/>
      <c r="AS445" s="48"/>
      <c r="AT445" s="49"/>
      <c r="AU445" s="50"/>
    </row>
    <row r="446">
      <c r="AD446" s="46"/>
      <c r="AF446" s="47"/>
      <c r="AS446" s="48"/>
      <c r="AT446" s="49"/>
      <c r="AU446" s="50"/>
    </row>
    <row r="447">
      <c r="AD447" s="46"/>
      <c r="AF447" s="47"/>
      <c r="AS447" s="48"/>
      <c r="AT447" s="49"/>
      <c r="AU447" s="50"/>
    </row>
    <row r="448">
      <c r="AD448" s="46"/>
      <c r="AF448" s="47"/>
      <c r="AS448" s="48"/>
      <c r="AT448" s="49"/>
      <c r="AU448" s="50"/>
    </row>
    <row r="449">
      <c r="AD449" s="46"/>
      <c r="AF449" s="47"/>
      <c r="AS449" s="48"/>
      <c r="AT449" s="49"/>
      <c r="AU449" s="50"/>
    </row>
    <row r="450">
      <c r="AD450" s="46"/>
      <c r="AF450" s="47"/>
      <c r="AS450" s="48"/>
      <c r="AT450" s="49"/>
      <c r="AU450" s="50"/>
    </row>
    <row r="451">
      <c r="AD451" s="46"/>
      <c r="AF451" s="47"/>
      <c r="AS451" s="48"/>
      <c r="AT451" s="49"/>
      <c r="AU451" s="50"/>
    </row>
    <row r="452">
      <c r="AD452" s="46"/>
      <c r="AF452" s="47"/>
      <c r="AS452" s="48"/>
      <c r="AT452" s="49"/>
      <c r="AU452" s="50"/>
    </row>
    <row r="453">
      <c r="AD453" s="46"/>
      <c r="AF453" s="47"/>
      <c r="AS453" s="48"/>
      <c r="AT453" s="49"/>
      <c r="AU453" s="50"/>
    </row>
    <row r="454">
      <c r="AD454" s="46"/>
      <c r="AF454" s="47"/>
      <c r="AS454" s="48"/>
      <c r="AT454" s="49"/>
      <c r="AU454" s="50"/>
    </row>
    <row r="455">
      <c r="AD455" s="46"/>
      <c r="AF455" s="47"/>
      <c r="AS455" s="48"/>
      <c r="AT455" s="49"/>
      <c r="AU455" s="50"/>
    </row>
    <row r="456">
      <c r="AD456" s="46"/>
      <c r="AF456" s="47"/>
      <c r="AS456" s="48"/>
      <c r="AT456" s="49"/>
      <c r="AU456" s="50"/>
    </row>
    <row r="457">
      <c r="AD457" s="46"/>
      <c r="AF457" s="47"/>
      <c r="AS457" s="48"/>
      <c r="AT457" s="49"/>
      <c r="AU457" s="50"/>
    </row>
    <row r="458">
      <c r="AD458" s="46"/>
      <c r="AF458" s="47"/>
      <c r="AS458" s="48"/>
      <c r="AT458" s="49"/>
      <c r="AU458" s="50"/>
    </row>
    <row r="459">
      <c r="AD459" s="46"/>
      <c r="AF459" s="47"/>
      <c r="AS459" s="48"/>
      <c r="AT459" s="49"/>
      <c r="AU459" s="50"/>
    </row>
    <row r="460">
      <c r="AD460" s="46"/>
      <c r="AF460" s="47"/>
      <c r="AS460" s="48"/>
      <c r="AT460" s="49"/>
      <c r="AU460" s="50"/>
    </row>
    <row r="461">
      <c r="AD461" s="46"/>
      <c r="AF461" s="47"/>
      <c r="AS461" s="48"/>
      <c r="AT461" s="49"/>
      <c r="AU461" s="50"/>
    </row>
    <row r="462">
      <c r="AD462" s="46"/>
      <c r="AF462" s="47"/>
      <c r="AS462" s="48"/>
      <c r="AT462" s="49"/>
      <c r="AU462" s="50"/>
    </row>
    <row r="463">
      <c r="AD463" s="46"/>
      <c r="AF463" s="47"/>
      <c r="AS463" s="48"/>
      <c r="AT463" s="49"/>
      <c r="AU463" s="50"/>
    </row>
    <row r="464">
      <c r="AD464" s="46"/>
      <c r="AF464" s="47"/>
      <c r="AS464" s="48"/>
      <c r="AT464" s="49"/>
      <c r="AU464" s="50"/>
    </row>
    <row r="465">
      <c r="AD465" s="46"/>
      <c r="AF465" s="47"/>
      <c r="AS465" s="48"/>
      <c r="AT465" s="49"/>
      <c r="AU465" s="50"/>
    </row>
    <row r="466">
      <c r="AD466" s="46"/>
      <c r="AF466" s="47"/>
      <c r="AS466" s="48"/>
      <c r="AT466" s="49"/>
      <c r="AU466" s="50"/>
    </row>
    <row r="467">
      <c r="AD467" s="46"/>
      <c r="AF467" s="47"/>
      <c r="AS467" s="48"/>
      <c r="AT467" s="49"/>
      <c r="AU467" s="50"/>
    </row>
    <row r="468">
      <c r="AD468" s="46"/>
      <c r="AF468" s="47"/>
      <c r="AS468" s="48"/>
      <c r="AT468" s="49"/>
      <c r="AU468" s="50"/>
    </row>
    <row r="469">
      <c r="AD469" s="46"/>
      <c r="AF469" s="47"/>
      <c r="AS469" s="48"/>
      <c r="AT469" s="49"/>
      <c r="AU469" s="50"/>
    </row>
    <row r="470">
      <c r="AD470" s="46"/>
      <c r="AF470" s="47"/>
      <c r="AS470" s="48"/>
      <c r="AT470" s="49"/>
      <c r="AU470" s="50"/>
    </row>
    <row r="471">
      <c r="AD471" s="46"/>
      <c r="AF471" s="47"/>
      <c r="AS471" s="48"/>
      <c r="AT471" s="49"/>
      <c r="AU471" s="50"/>
    </row>
    <row r="472">
      <c r="AD472" s="46"/>
      <c r="AF472" s="47"/>
      <c r="AS472" s="48"/>
      <c r="AT472" s="49"/>
      <c r="AU472" s="50"/>
    </row>
    <row r="473">
      <c r="AD473" s="46"/>
      <c r="AF473" s="47"/>
      <c r="AS473" s="48"/>
      <c r="AT473" s="49"/>
      <c r="AU473" s="50"/>
    </row>
    <row r="474">
      <c r="AD474" s="46"/>
      <c r="AF474" s="47"/>
      <c r="AS474" s="48"/>
      <c r="AT474" s="49"/>
      <c r="AU474" s="50"/>
    </row>
    <row r="475">
      <c r="AD475" s="46"/>
      <c r="AF475" s="47"/>
      <c r="AS475" s="48"/>
      <c r="AT475" s="49"/>
      <c r="AU475" s="50"/>
    </row>
    <row r="476">
      <c r="AD476" s="46"/>
      <c r="AF476" s="47"/>
      <c r="AS476" s="48"/>
      <c r="AT476" s="49"/>
      <c r="AU476" s="50"/>
    </row>
    <row r="477">
      <c r="AD477" s="46"/>
      <c r="AF477" s="47"/>
      <c r="AS477" s="48"/>
      <c r="AT477" s="49"/>
      <c r="AU477" s="50"/>
    </row>
    <row r="478">
      <c r="AD478" s="46"/>
      <c r="AF478" s="47"/>
      <c r="AS478" s="48"/>
      <c r="AT478" s="49"/>
      <c r="AU478" s="50"/>
    </row>
    <row r="479">
      <c r="AD479" s="46"/>
      <c r="AF479" s="47"/>
      <c r="AS479" s="48"/>
      <c r="AT479" s="49"/>
      <c r="AU479" s="50"/>
    </row>
    <row r="480">
      <c r="AD480" s="46"/>
      <c r="AF480" s="47"/>
      <c r="AS480" s="48"/>
      <c r="AT480" s="49"/>
      <c r="AU480" s="50"/>
    </row>
    <row r="481">
      <c r="AD481" s="46"/>
      <c r="AF481" s="47"/>
      <c r="AS481" s="48"/>
      <c r="AT481" s="49"/>
      <c r="AU481" s="50"/>
    </row>
    <row r="482">
      <c r="AD482" s="46"/>
      <c r="AF482" s="47"/>
      <c r="AS482" s="48"/>
      <c r="AT482" s="49"/>
      <c r="AU482" s="50"/>
    </row>
    <row r="483">
      <c r="AD483" s="46"/>
      <c r="AF483" s="47"/>
      <c r="AS483" s="48"/>
      <c r="AT483" s="49"/>
      <c r="AU483" s="50"/>
    </row>
    <row r="484">
      <c r="AD484" s="46"/>
      <c r="AF484" s="47"/>
      <c r="AS484" s="48"/>
      <c r="AT484" s="49"/>
      <c r="AU484" s="50"/>
    </row>
    <row r="485">
      <c r="AD485" s="46"/>
      <c r="AF485" s="47"/>
      <c r="AS485" s="48"/>
      <c r="AT485" s="49"/>
      <c r="AU485" s="50"/>
    </row>
    <row r="486">
      <c r="AD486" s="46"/>
      <c r="AF486" s="47"/>
      <c r="AS486" s="48"/>
      <c r="AT486" s="49"/>
      <c r="AU486" s="50"/>
    </row>
    <row r="487">
      <c r="AD487" s="46"/>
      <c r="AF487" s="47"/>
      <c r="AS487" s="48"/>
      <c r="AT487" s="49"/>
      <c r="AU487" s="50"/>
    </row>
    <row r="488">
      <c r="AD488" s="46"/>
      <c r="AF488" s="47"/>
      <c r="AS488" s="48"/>
      <c r="AT488" s="49"/>
      <c r="AU488" s="50"/>
    </row>
    <row r="489">
      <c r="AD489" s="46"/>
      <c r="AF489" s="47"/>
      <c r="AS489" s="48"/>
      <c r="AT489" s="49"/>
      <c r="AU489" s="50"/>
    </row>
    <row r="490">
      <c r="AD490" s="46"/>
      <c r="AF490" s="47"/>
      <c r="AS490" s="48"/>
      <c r="AT490" s="49"/>
      <c r="AU490" s="50"/>
    </row>
    <row r="491">
      <c r="AD491" s="46"/>
      <c r="AF491" s="47"/>
      <c r="AS491" s="48"/>
      <c r="AT491" s="49"/>
      <c r="AU491" s="50"/>
    </row>
    <row r="492">
      <c r="AD492" s="46"/>
      <c r="AF492" s="47"/>
      <c r="AS492" s="48"/>
      <c r="AT492" s="49"/>
      <c r="AU492" s="50"/>
    </row>
    <row r="493">
      <c r="AD493" s="46"/>
      <c r="AF493" s="47"/>
      <c r="AS493" s="48"/>
      <c r="AT493" s="49"/>
      <c r="AU493" s="50"/>
    </row>
    <row r="494">
      <c r="AD494" s="46"/>
      <c r="AF494" s="47"/>
      <c r="AS494" s="48"/>
      <c r="AT494" s="49"/>
      <c r="AU494" s="50"/>
    </row>
    <row r="495">
      <c r="AD495" s="46"/>
      <c r="AF495" s="47"/>
      <c r="AS495" s="48"/>
      <c r="AT495" s="49"/>
      <c r="AU495" s="50"/>
    </row>
    <row r="496">
      <c r="AD496" s="46"/>
      <c r="AF496" s="47"/>
      <c r="AS496" s="48"/>
      <c r="AT496" s="49"/>
      <c r="AU496" s="50"/>
    </row>
    <row r="497">
      <c r="AD497" s="46"/>
      <c r="AF497" s="47"/>
      <c r="AS497" s="48"/>
      <c r="AT497" s="49"/>
      <c r="AU497" s="50"/>
    </row>
    <row r="498">
      <c r="AD498" s="46"/>
      <c r="AF498" s="47"/>
      <c r="AS498" s="48"/>
      <c r="AT498" s="49"/>
      <c r="AU498" s="50"/>
    </row>
    <row r="499">
      <c r="AD499" s="46"/>
      <c r="AF499" s="47"/>
      <c r="AS499" s="48"/>
      <c r="AT499" s="49"/>
      <c r="AU499" s="50"/>
    </row>
    <row r="500">
      <c r="AD500" s="46"/>
      <c r="AF500" s="47"/>
      <c r="AS500" s="48"/>
      <c r="AT500" s="49"/>
      <c r="AU500" s="50"/>
    </row>
    <row r="501">
      <c r="AD501" s="46"/>
      <c r="AF501" s="47"/>
      <c r="AS501" s="48"/>
      <c r="AT501" s="49"/>
      <c r="AU501" s="50"/>
    </row>
    <row r="502">
      <c r="AD502" s="46"/>
      <c r="AF502" s="47"/>
      <c r="AS502" s="48"/>
      <c r="AT502" s="49"/>
      <c r="AU502" s="50"/>
    </row>
    <row r="503">
      <c r="AD503" s="46"/>
      <c r="AF503" s="47"/>
      <c r="AS503" s="48"/>
      <c r="AT503" s="49"/>
      <c r="AU503" s="50"/>
    </row>
    <row r="504">
      <c r="AD504" s="46"/>
      <c r="AF504" s="47"/>
      <c r="AS504" s="48"/>
      <c r="AT504" s="49"/>
      <c r="AU504" s="50"/>
    </row>
    <row r="505">
      <c r="AD505" s="46"/>
      <c r="AF505" s="47"/>
      <c r="AS505" s="48"/>
      <c r="AT505" s="49"/>
      <c r="AU505" s="50"/>
    </row>
    <row r="506">
      <c r="AD506" s="46"/>
      <c r="AF506" s="47"/>
      <c r="AS506" s="48"/>
      <c r="AT506" s="49"/>
      <c r="AU506" s="50"/>
    </row>
    <row r="507">
      <c r="AD507" s="46"/>
      <c r="AF507" s="47"/>
      <c r="AS507" s="48"/>
      <c r="AT507" s="49"/>
      <c r="AU507" s="50"/>
    </row>
    <row r="508">
      <c r="AD508" s="46"/>
      <c r="AF508" s="47"/>
      <c r="AS508" s="48"/>
      <c r="AT508" s="49"/>
      <c r="AU508" s="50"/>
    </row>
    <row r="509">
      <c r="AD509" s="46"/>
      <c r="AF509" s="47"/>
      <c r="AS509" s="48"/>
      <c r="AT509" s="49"/>
      <c r="AU509" s="50"/>
    </row>
    <row r="510">
      <c r="AD510" s="46"/>
      <c r="AF510" s="47"/>
      <c r="AS510" s="48"/>
      <c r="AT510" s="49"/>
      <c r="AU510" s="50"/>
    </row>
    <row r="511">
      <c r="AD511" s="46"/>
      <c r="AF511" s="47"/>
      <c r="AS511" s="48"/>
      <c r="AT511" s="49"/>
      <c r="AU511" s="50"/>
    </row>
    <row r="512">
      <c r="AD512" s="46"/>
      <c r="AF512" s="47"/>
      <c r="AS512" s="48"/>
      <c r="AT512" s="49"/>
      <c r="AU512" s="50"/>
    </row>
    <row r="513">
      <c r="AD513" s="46"/>
      <c r="AF513" s="47"/>
      <c r="AS513" s="48"/>
      <c r="AT513" s="49"/>
      <c r="AU513" s="50"/>
    </row>
    <row r="514">
      <c r="AD514" s="46"/>
      <c r="AF514" s="47"/>
      <c r="AS514" s="48"/>
      <c r="AT514" s="49"/>
      <c r="AU514" s="50"/>
    </row>
    <row r="515">
      <c r="AD515" s="46"/>
      <c r="AF515" s="47"/>
      <c r="AS515" s="48"/>
      <c r="AT515" s="49"/>
      <c r="AU515" s="50"/>
    </row>
    <row r="516">
      <c r="AD516" s="46"/>
      <c r="AF516" s="47"/>
      <c r="AS516" s="48"/>
      <c r="AT516" s="49"/>
      <c r="AU516" s="50"/>
    </row>
    <row r="517">
      <c r="AD517" s="46"/>
      <c r="AF517" s="47"/>
      <c r="AS517" s="48"/>
      <c r="AT517" s="49"/>
      <c r="AU517" s="50"/>
    </row>
    <row r="518">
      <c r="AD518" s="46"/>
      <c r="AF518" s="47"/>
      <c r="AS518" s="48"/>
      <c r="AT518" s="49"/>
      <c r="AU518" s="50"/>
    </row>
    <row r="519">
      <c r="AD519" s="46"/>
      <c r="AF519" s="47"/>
      <c r="AS519" s="48"/>
      <c r="AT519" s="49"/>
      <c r="AU519" s="50"/>
    </row>
    <row r="520">
      <c r="AD520" s="46"/>
      <c r="AF520" s="47"/>
      <c r="AS520" s="48"/>
      <c r="AT520" s="49"/>
      <c r="AU520" s="50"/>
    </row>
    <row r="521">
      <c r="AD521" s="46"/>
      <c r="AF521" s="47"/>
      <c r="AS521" s="48"/>
      <c r="AT521" s="49"/>
      <c r="AU521" s="50"/>
    </row>
    <row r="522">
      <c r="AD522" s="46"/>
      <c r="AF522" s="47"/>
      <c r="AS522" s="48"/>
      <c r="AT522" s="49"/>
      <c r="AU522" s="50"/>
    </row>
    <row r="523">
      <c r="AD523" s="46"/>
      <c r="AF523" s="47"/>
      <c r="AS523" s="48"/>
      <c r="AT523" s="49"/>
      <c r="AU523" s="50"/>
    </row>
    <row r="524">
      <c r="AD524" s="46"/>
      <c r="AF524" s="47"/>
      <c r="AS524" s="48"/>
      <c r="AT524" s="49"/>
      <c r="AU524" s="50"/>
    </row>
    <row r="525">
      <c r="AD525" s="46"/>
      <c r="AF525" s="47"/>
      <c r="AS525" s="48"/>
      <c r="AT525" s="49"/>
      <c r="AU525" s="50"/>
    </row>
    <row r="526">
      <c r="AD526" s="46"/>
      <c r="AF526" s="47"/>
      <c r="AS526" s="48"/>
      <c r="AT526" s="49"/>
      <c r="AU526" s="50"/>
    </row>
    <row r="527">
      <c r="AD527" s="46"/>
      <c r="AF527" s="47"/>
      <c r="AS527" s="48"/>
      <c r="AT527" s="49"/>
      <c r="AU527" s="50"/>
    </row>
    <row r="528">
      <c r="AD528" s="46"/>
      <c r="AF528" s="47"/>
      <c r="AS528" s="48"/>
      <c r="AT528" s="49"/>
      <c r="AU528" s="50"/>
    </row>
    <row r="529">
      <c r="AD529" s="46"/>
      <c r="AF529" s="47"/>
      <c r="AS529" s="48"/>
      <c r="AT529" s="49"/>
      <c r="AU529" s="50"/>
    </row>
    <row r="530">
      <c r="AD530" s="46"/>
      <c r="AF530" s="47"/>
      <c r="AS530" s="48"/>
      <c r="AT530" s="49"/>
      <c r="AU530" s="50"/>
    </row>
    <row r="531">
      <c r="AD531" s="46"/>
      <c r="AF531" s="47"/>
      <c r="AS531" s="48"/>
      <c r="AT531" s="49"/>
      <c r="AU531" s="50"/>
    </row>
    <row r="532">
      <c r="AD532" s="46"/>
      <c r="AF532" s="47"/>
      <c r="AS532" s="48"/>
      <c r="AT532" s="49"/>
      <c r="AU532" s="50"/>
    </row>
    <row r="533">
      <c r="AD533" s="46"/>
      <c r="AF533" s="47"/>
      <c r="AS533" s="48"/>
      <c r="AT533" s="49"/>
      <c r="AU533" s="50"/>
    </row>
    <row r="534">
      <c r="AD534" s="46"/>
      <c r="AF534" s="47"/>
      <c r="AS534" s="48"/>
      <c r="AT534" s="49"/>
      <c r="AU534" s="50"/>
    </row>
    <row r="535">
      <c r="AD535" s="46"/>
      <c r="AF535" s="47"/>
      <c r="AS535" s="48"/>
      <c r="AT535" s="49"/>
      <c r="AU535" s="50"/>
    </row>
    <row r="536">
      <c r="AD536" s="46"/>
      <c r="AF536" s="47"/>
      <c r="AS536" s="48"/>
      <c r="AT536" s="49"/>
      <c r="AU536" s="50"/>
    </row>
    <row r="537">
      <c r="AD537" s="46"/>
      <c r="AF537" s="47"/>
      <c r="AS537" s="48"/>
      <c r="AT537" s="49"/>
      <c r="AU537" s="50"/>
    </row>
    <row r="538">
      <c r="AD538" s="46"/>
      <c r="AF538" s="47"/>
      <c r="AS538" s="48"/>
      <c r="AT538" s="49"/>
      <c r="AU538" s="50"/>
    </row>
    <row r="539">
      <c r="AD539" s="46"/>
      <c r="AF539" s="47"/>
      <c r="AS539" s="48"/>
      <c r="AT539" s="49"/>
      <c r="AU539" s="50"/>
    </row>
    <row r="540">
      <c r="AD540" s="46"/>
      <c r="AF540" s="47"/>
      <c r="AS540" s="48"/>
      <c r="AT540" s="49"/>
      <c r="AU540" s="50"/>
    </row>
    <row r="541">
      <c r="AD541" s="46"/>
      <c r="AF541" s="47"/>
      <c r="AS541" s="48"/>
      <c r="AT541" s="49"/>
      <c r="AU541" s="50"/>
    </row>
    <row r="542">
      <c r="AD542" s="46"/>
      <c r="AF542" s="47"/>
      <c r="AS542" s="48"/>
      <c r="AT542" s="49"/>
      <c r="AU542" s="50"/>
    </row>
    <row r="543">
      <c r="AD543" s="46"/>
      <c r="AF543" s="47"/>
      <c r="AS543" s="48"/>
      <c r="AT543" s="49"/>
      <c r="AU543" s="50"/>
    </row>
    <row r="544">
      <c r="AD544" s="46"/>
      <c r="AF544" s="47"/>
      <c r="AS544" s="48"/>
      <c r="AT544" s="49"/>
      <c r="AU544" s="50"/>
    </row>
    <row r="545">
      <c r="AD545" s="46"/>
      <c r="AF545" s="47"/>
      <c r="AS545" s="48"/>
      <c r="AT545" s="49"/>
      <c r="AU545" s="50"/>
    </row>
    <row r="546">
      <c r="AD546" s="46"/>
      <c r="AF546" s="47"/>
      <c r="AS546" s="48"/>
      <c r="AT546" s="49"/>
      <c r="AU546" s="50"/>
    </row>
    <row r="547">
      <c r="AD547" s="46"/>
      <c r="AF547" s="47"/>
      <c r="AS547" s="48"/>
      <c r="AT547" s="49"/>
      <c r="AU547" s="50"/>
    </row>
    <row r="548">
      <c r="AD548" s="46"/>
      <c r="AF548" s="47"/>
      <c r="AS548" s="48"/>
      <c r="AT548" s="49"/>
      <c r="AU548" s="50"/>
    </row>
    <row r="549">
      <c r="AD549" s="46"/>
      <c r="AF549" s="47"/>
      <c r="AS549" s="48"/>
      <c r="AT549" s="49"/>
      <c r="AU549" s="50"/>
    </row>
    <row r="550">
      <c r="AD550" s="46"/>
      <c r="AF550" s="47"/>
      <c r="AS550" s="48"/>
      <c r="AT550" s="49"/>
      <c r="AU550" s="50"/>
    </row>
    <row r="551">
      <c r="AD551" s="46"/>
      <c r="AF551" s="47"/>
      <c r="AS551" s="48"/>
      <c r="AT551" s="49"/>
      <c r="AU551" s="50"/>
    </row>
    <row r="552">
      <c r="AD552" s="46"/>
      <c r="AF552" s="47"/>
      <c r="AS552" s="48"/>
      <c r="AT552" s="49"/>
      <c r="AU552" s="50"/>
    </row>
    <row r="553">
      <c r="AD553" s="46"/>
      <c r="AF553" s="47"/>
      <c r="AS553" s="48"/>
      <c r="AT553" s="49"/>
      <c r="AU553" s="50"/>
    </row>
    <row r="554">
      <c r="AD554" s="46"/>
      <c r="AF554" s="47"/>
      <c r="AS554" s="48"/>
      <c r="AT554" s="49"/>
      <c r="AU554" s="50"/>
    </row>
    <row r="555">
      <c r="AD555" s="46"/>
      <c r="AF555" s="47"/>
      <c r="AS555" s="48"/>
      <c r="AT555" s="49"/>
      <c r="AU555" s="50"/>
    </row>
    <row r="556">
      <c r="AD556" s="46"/>
      <c r="AF556" s="47"/>
      <c r="AS556" s="48"/>
      <c r="AT556" s="49"/>
      <c r="AU556" s="50"/>
    </row>
    <row r="557">
      <c r="AD557" s="46"/>
      <c r="AF557" s="47"/>
      <c r="AS557" s="48"/>
      <c r="AT557" s="49"/>
      <c r="AU557" s="50"/>
    </row>
    <row r="558">
      <c r="AD558" s="46"/>
      <c r="AF558" s="47"/>
      <c r="AS558" s="48"/>
      <c r="AT558" s="49"/>
      <c r="AU558" s="50"/>
    </row>
    <row r="559">
      <c r="AD559" s="46"/>
      <c r="AF559" s="47"/>
      <c r="AS559" s="48"/>
      <c r="AT559" s="49"/>
      <c r="AU559" s="50"/>
    </row>
    <row r="560">
      <c r="AD560" s="46"/>
      <c r="AF560" s="47"/>
      <c r="AS560" s="48"/>
      <c r="AT560" s="49"/>
      <c r="AU560" s="50"/>
    </row>
    <row r="561">
      <c r="AD561" s="46"/>
      <c r="AF561" s="47"/>
      <c r="AS561" s="48"/>
      <c r="AT561" s="49"/>
      <c r="AU561" s="50"/>
    </row>
    <row r="562">
      <c r="AD562" s="46"/>
      <c r="AF562" s="47"/>
      <c r="AS562" s="48"/>
      <c r="AT562" s="49"/>
      <c r="AU562" s="50"/>
    </row>
    <row r="563">
      <c r="AD563" s="46"/>
      <c r="AF563" s="47"/>
      <c r="AS563" s="48"/>
      <c r="AT563" s="49"/>
      <c r="AU563" s="50"/>
    </row>
    <row r="564">
      <c r="AD564" s="46"/>
      <c r="AF564" s="47"/>
      <c r="AS564" s="48"/>
      <c r="AT564" s="49"/>
      <c r="AU564" s="50"/>
    </row>
    <row r="565">
      <c r="AD565" s="46"/>
      <c r="AF565" s="47"/>
      <c r="AS565" s="48"/>
      <c r="AT565" s="49"/>
      <c r="AU565" s="50"/>
    </row>
    <row r="566">
      <c r="AD566" s="46"/>
      <c r="AF566" s="47"/>
      <c r="AS566" s="48"/>
      <c r="AT566" s="49"/>
      <c r="AU566" s="50"/>
    </row>
    <row r="567">
      <c r="AD567" s="46"/>
      <c r="AF567" s="47"/>
      <c r="AS567" s="48"/>
      <c r="AT567" s="49"/>
      <c r="AU567" s="50"/>
    </row>
    <row r="568">
      <c r="AD568" s="46"/>
      <c r="AF568" s="47"/>
      <c r="AS568" s="48"/>
      <c r="AT568" s="49"/>
      <c r="AU568" s="50"/>
    </row>
    <row r="569">
      <c r="AD569" s="46"/>
      <c r="AF569" s="47"/>
      <c r="AS569" s="48"/>
      <c r="AT569" s="49"/>
      <c r="AU569" s="50"/>
    </row>
    <row r="570">
      <c r="AD570" s="46"/>
      <c r="AF570" s="47"/>
      <c r="AS570" s="48"/>
      <c r="AT570" s="49"/>
      <c r="AU570" s="50"/>
    </row>
    <row r="571">
      <c r="AD571" s="46"/>
      <c r="AF571" s="47"/>
      <c r="AS571" s="48"/>
      <c r="AT571" s="49"/>
      <c r="AU571" s="50"/>
    </row>
    <row r="572">
      <c r="AD572" s="46"/>
      <c r="AF572" s="47"/>
      <c r="AS572" s="48"/>
      <c r="AT572" s="49"/>
      <c r="AU572" s="50"/>
    </row>
    <row r="573">
      <c r="AD573" s="46"/>
      <c r="AF573" s="47"/>
      <c r="AS573" s="48"/>
      <c r="AT573" s="49"/>
      <c r="AU573" s="50"/>
    </row>
    <row r="574">
      <c r="AD574" s="46"/>
      <c r="AF574" s="47"/>
      <c r="AS574" s="48"/>
      <c r="AT574" s="49"/>
      <c r="AU574" s="50"/>
    </row>
    <row r="575">
      <c r="AD575" s="46"/>
      <c r="AF575" s="47"/>
      <c r="AS575" s="48"/>
      <c r="AT575" s="49"/>
      <c r="AU575" s="50"/>
    </row>
    <row r="576">
      <c r="AD576" s="46"/>
      <c r="AF576" s="47"/>
      <c r="AS576" s="48"/>
      <c r="AT576" s="49"/>
      <c r="AU576" s="50"/>
    </row>
    <row r="577">
      <c r="AD577" s="46"/>
      <c r="AF577" s="47"/>
      <c r="AS577" s="48"/>
      <c r="AT577" s="49"/>
      <c r="AU577" s="50"/>
    </row>
    <row r="578">
      <c r="AD578" s="46"/>
      <c r="AF578" s="47"/>
      <c r="AS578" s="48"/>
      <c r="AT578" s="49"/>
      <c r="AU578" s="50"/>
    </row>
    <row r="579">
      <c r="AD579" s="46"/>
      <c r="AF579" s="47"/>
      <c r="AS579" s="48"/>
      <c r="AT579" s="49"/>
      <c r="AU579" s="50"/>
    </row>
    <row r="580">
      <c r="AD580" s="46"/>
      <c r="AF580" s="47"/>
      <c r="AS580" s="48"/>
      <c r="AT580" s="49"/>
      <c r="AU580" s="50"/>
    </row>
    <row r="581">
      <c r="AD581" s="46"/>
      <c r="AF581" s="47"/>
      <c r="AS581" s="48"/>
      <c r="AT581" s="49"/>
      <c r="AU581" s="50"/>
    </row>
    <row r="582">
      <c r="AD582" s="46"/>
      <c r="AF582" s="47"/>
      <c r="AS582" s="48"/>
      <c r="AT582" s="49"/>
      <c r="AU582" s="50"/>
    </row>
    <row r="583">
      <c r="AD583" s="46"/>
      <c r="AF583" s="47"/>
      <c r="AS583" s="48"/>
      <c r="AT583" s="49"/>
      <c r="AU583" s="50"/>
    </row>
    <row r="584">
      <c r="AD584" s="46"/>
      <c r="AF584" s="47"/>
      <c r="AS584" s="48"/>
      <c r="AT584" s="49"/>
      <c r="AU584" s="50"/>
    </row>
    <row r="585">
      <c r="AD585" s="46"/>
      <c r="AF585" s="47"/>
      <c r="AS585" s="48"/>
      <c r="AT585" s="49"/>
      <c r="AU585" s="50"/>
    </row>
    <row r="586">
      <c r="AD586" s="46"/>
      <c r="AF586" s="47"/>
      <c r="AS586" s="48"/>
      <c r="AT586" s="49"/>
      <c r="AU586" s="50"/>
    </row>
    <row r="587">
      <c r="AD587" s="46"/>
      <c r="AF587" s="47"/>
      <c r="AS587" s="48"/>
      <c r="AT587" s="49"/>
      <c r="AU587" s="50"/>
    </row>
    <row r="588">
      <c r="AD588" s="46"/>
      <c r="AF588" s="47"/>
      <c r="AS588" s="48"/>
      <c r="AT588" s="49"/>
      <c r="AU588" s="50"/>
    </row>
    <row r="589">
      <c r="AD589" s="46"/>
      <c r="AF589" s="47"/>
      <c r="AS589" s="48"/>
      <c r="AT589" s="49"/>
      <c r="AU589" s="50"/>
    </row>
    <row r="590">
      <c r="AD590" s="46"/>
      <c r="AF590" s="47"/>
      <c r="AS590" s="48"/>
      <c r="AT590" s="49"/>
      <c r="AU590" s="50"/>
    </row>
    <row r="591">
      <c r="AD591" s="46"/>
      <c r="AF591" s="47"/>
      <c r="AS591" s="48"/>
      <c r="AT591" s="49"/>
      <c r="AU591" s="50"/>
    </row>
    <row r="592">
      <c r="AD592" s="46"/>
      <c r="AF592" s="47"/>
      <c r="AS592" s="48"/>
      <c r="AT592" s="49"/>
      <c r="AU592" s="50"/>
    </row>
    <row r="593">
      <c r="AD593" s="46"/>
      <c r="AF593" s="47"/>
      <c r="AS593" s="48"/>
      <c r="AT593" s="49"/>
      <c r="AU593" s="50"/>
    </row>
    <row r="594">
      <c r="AD594" s="46"/>
      <c r="AF594" s="47"/>
      <c r="AS594" s="48"/>
      <c r="AT594" s="49"/>
      <c r="AU594" s="50"/>
    </row>
    <row r="595">
      <c r="AD595" s="46"/>
      <c r="AF595" s="47"/>
      <c r="AS595" s="48"/>
      <c r="AT595" s="49"/>
      <c r="AU595" s="50"/>
    </row>
    <row r="596">
      <c r="AD596" s="46"/>
      <c r="AF596" s="47"/>
      <c r="AS596" s="48"/>
      <c r="AT596" s="49"/>
      <c r="AU596" s="50"/>
    </row>
    <row r="597">
      <c r="AD597" s="46"/>
      <c r="AF597" s="47"/>
      <c r="AS597" s="48"/>
      <c r="AT597" s="49"/>
      <c r="AU597" s="50"/>
    </row>
    <row r="598">
      <c r="AD598" s="46"/>
      <c r="AF598" s="47"/>
      <c r="AS598" s="48"/>
      <c r="AT598" s="49"/>
      <c r="AU598" s="50"/>
    </row>
    <row r="599">
      <c r="AD599" s="46"/>
      <c r="AF599" s="47"/>
      <c r="AS599" s="48"/>
      <c r="AT599" s="49"/>
      <c r="AU599" s="50"/>
    </row>
    <row r="600">
      <c r="AD600" s="46"/>
      <c r="AF600" s="47"/>
      <c r="AS600" s="48"/>
      <c r="AT600" s="49"/>
      <c r="AU600" s="50"/>
    </row>
    <row r="601">
      <c r="AD601" s="46"/>
      <c r="AF601" s="47"/>
      <c r="AS601" s="48"/>
      <c r="AT601" s="49"/>
      <c r="AU601" s="50"/>
    </row>
    <row r="602">
      <c r="AD602" s="46"/>
      <c r="AF602" s="47"/>
      <c r="AS602" s="48"/>
      <c r="AT602" s="49"/>
      <c r="AU602" s="50"/>
    </row>
    <row r="603">
      <c r="AD603" s="46"/>
      <c r="AF603" s="47"/>
      <c r="AS603" s="48"/>
      <c r="AT603" s="49"/>
      <c r="AU603" s="50"/>
    </row>
    <row r="604">
      <c r="AD604" s="46"/>
      <c r="AF604" s="47"/>
      <c r="AS604" s="48"/>
      <c r="AT604" s="49"/>
      <c r="AU604" s="50"/>
    </row>
    <row r="605">
      <c r="AD605" s="46"/>
      <c r="AF605" s="47"/>
      <c r="AS605" s="48"/>
      <c r="AT605" s="49"/>
      <c r="AU605" s="50"/>
    </row>
    <row r="606">
      <c r="AD606" s="46"/>
      <c r="AF606" s="47"/>
      <c r="AS606" s="48"/>
      <c r="AT606" s="49"/>
      <c r="AU606" s="50"/>
    </row>
    <row r="607">
      <c r="AD607" s="46"/>
      <c r="AF607" s="47"/>
      <c r="AS607" s="48"/>
      <c r="AT607" s="49"/>
      <c r="AU607" s="50"/>
    </row>
    <row r="608">
      <c r="AD608" s="46"/>
      <c r="AF608" s="47"/>
      <c r="AS608" s="48"/>
      <c r="AT608" s="49"/>
      <c r="AU608" s="50"/>
    </row>
    <row r="609">
      <c r="AD609" s="46"/>
      <c r="AF609" s="47"/>
      <c r="AS609" s="48"/>
      <c r="AT609" s="49"/>
      <c r="AU609" s="50"/>
    </row>
    <row r="610">
      <c r="AD610" s="46"/>
      <c r="AF610" s="47"/>
      <c r="AS610" s="48"/>
      <c r="AT610" s="49"/>
      <c r="AU610" s="50"/>
    </row>
    <row r="611">
      <c r="AD611" s="46"/>
      <c r="AF611" s="47"/>
      <c r="AS611" s="48"/>
      <c r="AT611" s="49"/>
      <c r="AU611" s="50"/>
    </row>
    <row r="612">
      <c r="AD612" s="46"/>
      <c r="AF612" s="47"/>
      <c r="AS612" s="48"/>
      <c r="AT612" s="49"/>
      <c r="AU612" s="50"/>
    </row>
    <row r="613">
      <c r="AD613" s="46"/>
      <c r="AF613" s="47"/>
      <c r="AS613" s="48"/>
      <c r="AT613" s="49"/>
      <c r="AU613" s="50"/>
    </row>
    <row r="614">
      <c r="AD614" s="46"/>
      <c r="AF614" s="47"/>
      <c r="AS614" s="48"/>
      <c r="AT614" s="49"/>
      <c r="AU614" s="50"/>
    </row>
    <row r="615">
      <c r="AD615" s="46"/>
      <c r="AF615" s="47"/>
      <c r="AS615" s="48"/>
      <c r="AT615" s="49"/>
      <c r="AU615" s="50"/>
    </row>
    <row r="616">
      <c r="AD616" s="46"/>
      <c r="AF616" s="47"/>
      <c r="AS616" s="48"/>
      <c r="AT616" s="49"/>
      <c r="AU616" s="50"/>
    </row>
    <row r="617">
      <c r="AD617" s="46"/>
      <c r="AF617" s="47"/>
      <c r="AS617" s="48"/>
      <c r="AT617" s="49"/>
      <c r="AU617" s="50"/>
    </row>
    <row r="618">
      <c r="AD618" s="46"/>
      <c r="AF618" s="47"/>
      <c r="AS618" s="48"/>
      <c r="AT618" s="49"/>
      <c r="AU618" s="50"/>
    </row>
    <row r="619">
      <c r="AD619" s="46"/>
      <c r="AF619" s="47"/>
      <c r="AS619" s="48"/>
      <c r="AT619" s="49"/>
      <c r="AU619" s="50"/>
    </row>
    <row r="620">
      <c r="AD620" s="46"/>
      <c r="AF620" s="47"/>
      <c r="AS620" s="48"/>
      <c r="AT620" s="49"/>
      <c r="AU620" s="50"/>
    </row>
    <row r="621">
      <c r="AD621" s="46"/>
      <c r="AF621" s="47"/>
      <c r="AS621" s="48"/>
      <c r="AT621" s="49"/>
      <c r="AU621" s="50"/>
    </row>
    <row r="622">
      <c r="AD622" s="46"/>
      <c r="AF622" s="47"/>
      <c r="AS622" s="48"/>
      <c r="AT622" s="49"/>
      <c r="AU622" s="50"/>
    </row>
    <row r="623">
      <c r="AD623" s="46"/>
      <c r="AF623" s="47"/>
      <c r="AS623" s="48"/>
      <c r="AT623" s="49"/>
      <c r="AU623" s="50"/>
    </row>
    <row r="624">
      <c r="AD624" s="46"/>
      <c r="AF624" s="47"/>
      <c r="AS624" s="48"/>
      <c r="AT624" s="49"/>
      <c r="AU624" s="50"/>
    </row>
    <row r="625">
      <c r="AD625" s="46"/>
      <c r="AF625" s="47"/>
      <c r="AS625" s="48"/>
      <c r="AT625" s="49"/>
      <c r="AU625" s="50"/>
    </row>
    <row r="626">
      <c r="AD626" s="46"/>
      <c r="AF626" s="47"/>
      <c r="AS626" s="48"/>
      <c r="AT626" s="49"/>
      <c r="AU626" s="50"/>
    </row>
    <row r="627">
      <c r="AD627" s="46"/>
      <c r="AF627" s="47"/>
      <c r="AS627" s="48"/>
      <c r="AT627" s="49"/>
      <c r="AU627" s="50"/>
    </row>
    <row r="628">
      <c r="AD628" s="46"/>
      <c r="AF628" s="47"/>
      <c r="AS628" s="48"/>
      <c r="AT628" s="49"/>
      <c r="AU628" s="50"/>
    </row>
    <row r="629">
      <c r="AD629" s="46"/>
      <c r="AF629" s="47"/>
      <c r="AS629" s="48"/>
      <c r="AT629" s="49"/>
      <c r="AU629" s="50"/>
    </row>
    <row r="630">
      <c r="AD630" s="46"/>
      <c r="AF630" s="47"/>
      <c r="AS630" s="48"/>
      <c r="AT630" s="49"/>
      <c r="AU630" s="50"/>
    </row>
    <row r="631">
      <c r="AD631" s="46"/>
      <c r="AF631" s="47"/>
      <c r="AS631" s="48"/>
      <c r="AT631" s="49"/>
      <c r="AU631" s="50"/>
    </row>
    <row r="632">
      <c r="AD632" s="46"/>
      <c r="AF632" s="47"/>
      <c r="AS632" s="48"/>
      <c r="AT632" s="49"/>
      <c r="AU632" s="50"/>
    </row>
    <row r="633">
      <c r="AD633" s="46"/>
      <c r="AF633" s="47"/>
      <c r="AS633" s="48"/>
      <c r="AT633" s="49"/>
      <c r="AU633" s="50"/>
    </row>
    <row r="634">
      <c r="AD634" s="46"/>
      <c r="AF634" s="47"/>
      <c r="AS634" s="48"/>
      <c r="AT634" s="49"/>
      <c r="AU634" s="50"/>
    </row>
    <row r="635">
      <c r="AD635" s="46"/>
      <c r="AF635" s="47"/>
      <c r="AS635" s="48"/>
      <c r="AT635" s="49"/>
      <c r="AU635" s="50"/>
    </row>
    <row r="636">
      <c r="AD636" s="46"/>
      <c r="AF636" s="47"/>
      <c r="AS636" s="48"/>
      <c r="AT636" s="49"/>
      <c r="AU636" s="50"/>
    </row>
    <row r="637">
      <c r="AD637" s="46"/>
      <c r="AF637" s="47"/>
      <c r="AS637" s="48"/>
      <c r="AT637" s="49"/>
      <c r="AU637" s="50"/>
    </row>
    <row r="638">
      <c r="AD638" s="46"/>
      <c r="AF638" s="47"/>
      <c r="AS638" s="48"/>
      <c r="AT638" s="49"/>
      <c r="AU638" s="50"/>
    </row>
    <row r="639">
      <c r="AD639" s="46"/>
      <c r="AF639" s="47"/>
      <c r="AS639" s="48"/>
      <c r="AT639" s="49"/>
      <c r="AU639" s="50"/>
    </row>
    <row r="640">
      <c r="AD640" s="46"/>
      <c r="AF640" s="47"/>
      <c r="AS640" s="48"/>
      <c r="AT640" s="49"/>
      <c r="AU640" s="50"/>
    </row>
    <row r="641">
      <c r="AD641" s="46"/>
      <c r="AF641" s="47"/>
      <c r="AS641" s="48"/>
      <c r="AT641" s="49"/>
      <c r="AU641" s="50"/>
    </row>
    <row r="642">
      <c r="AD642" s="46"/>
      <c r="AF642" s="47"/>
      <c r="AS642" s="48"/>
      <c r="AT642" s="49"/>
      <c r="AU642" s="50"/>
    </row>
    <row r="643">
      <c r="AD643" s="46"/>
      <c r="AF643" s="47"/>
      <c r="AS643" s="48"/>
      <c r="AT643" s="49"/>
      <c r="AU643" s="50"/>
    </row>
    <row r="644">
      <c r="AD644" s="46"/>
      <c r="AF644" s="47"/>
      <c r="AS644" s="48"/>
      <c r="AT644" s="49"/>
      <c r="AU644" s="50"/>
    </row>
    <row r="645">
      <c r="AD645" s="46"/>
      <c r="AF645" s="47"/>
      <c r="AS645" s="48"/>
      <c r="AT645" s="49"/>
      <c r="AU645" s="50"/>
    </row>
    <row r="646">
      <c r="AD646" s="46"/>
      <c r="AF646" s="47"/>
      <c r="AS646" s="48"/>
      <c r="AT646" s="49"/>
      <c r="AU646" s="50"/>
    </row>
    <row r="647">
      <c r="AD647" s="46"/>
      <c r="AF647" s="47"/>
      <c r="AS647" s="48"/>
      <c r="AT647" s="49"/>
      <c r="AU647" s="50"/>
    </row>
    <row r="648">
      <c r="AD648" s="46"/>
      <c r="AF648" s="47"/>
      <c r="AS648" s="48"/>
      <c r="AT648" s="49"/>
      <c r="AU648" s="50"/>
    </row>
    <row r="649">
      <c r="AD649" s="46"/>
      <c r="AF649" s="47"/>
      <c r="AS649" s="48"/>
      <c r="AT649" s="49"/>
      <c r="AU649" s="50"/>
    </row>
    <row r="650">
      <c r="AD650" s="46"/>
      <c r="AF650" s="47"/>
      <c r="AS650" s="48"/>
      <c r="AT650" s="49"/>
      <c r="AU650" s="50"/>
    </row>
    <row r="651">
      <c r="AD651" s="46"/>
      <c r="AF651" s="47"/>
      <c r="AS651" s="48"/>
      <c r="AT651" s="49"/>
      <c r="AU651" s="50"/>
    </row>
    <row r="652">
      <c r="AD652" s="46"/>
      <c r="AF652" s="47"/>
      <c r="AS652" s="48"/>
      <c r="AT652" s="49"/>
      <c r="AU652" s="50"/>
    </row>
    <row r="653">
      <c r="AD653" s="46"/>
      <c r="AF653" s="47"/>
      <c r="AS653" s="48"/>
      <c r="AT653" s="49"/>
      <c r="AU653" s="50"/>
    </row>
    <row r="654">
      <c r="AD654" s="46"/>
      <c r="AF654" s="47"/>
      <c r="AS654" s="48"/>
      <c r="AT654" s="49"/>
      <c r="AU654" s="50"/>
    </row>
    <row r="655">
      <c r="AD655" s="46"/>
      <c r="AF655" s="47"/>
      <c r="AS655" s="48"/>
      <c r="AT655" s="49"/>
      <c r="AU655" s="50"/>
    </row>
    <row r="656">
      <c r="AD656" s="46"/>
      <c r="AF656" s="47"/>
      <c r="AS656" s="48"/>
      <c r="AT656" s="49"/>
      <c r="AU656" s="50"/>
    </row>
    <row r="657">
      <c r="AD657" s="46"/>
      <c r="AF657" s="47"/>
      <c r="AS657" s="48"/>
      <c r="AT657" s="49"/>
      <c r="AU657" s="50"/>
    </row>
    <row r="658">
      <c r="AD658" s="46"/>
      <c r="AF658" s="47"/>
      <c r="AS658" s="48"/>
      <c r="AT658" s="49"/>
      <c r="AU658" s="50"/>
    </row>
    <row r="659">
      <c r="AD659" s="46"/>
      <c r="AF659" s="47"/>
      <c r="AS659" s="48"/>
      <c r="AT659" s="49"/>
      <c r="AU659" s="50"/>
    </row>
    <row r="660">
      <c r="AD660" s="46"/>
      <c r="AF660" s="47"/>
      <c r="AS660" s="48"/>
      <c r="AT660" s="49"/>
      <c r="AU660" s="50"/>
    </row>
    <row r="661">
      <c r="AD661" s="46"/>
      <c r="AF661" s="47"/>
      <c r="AS661" s="48"/>
      <c r="AT661" s="49"/>
      <c r="AU661" s="50"/>
    </row>
    <row r="662">
      <c r="AD662" s="46"/>
      <c r="AF662" s="47"/>
      <c r="AS662" s="48"/>
      <c r="AT662" s="49"/>
      <c r="AU662" s="50"/>
    </row>
    <row r="663">
      <c r="AD663" s="46"/>
      <c r="AF663" s="47"/>
      <c r="AS663" s="48"/>
      <c r="AT663" s="49"/>
      <c r="AU663" s="50"/>
    </row>
    <row r="664">
      <c r="AD664" s="46"/>
      <c r="AF664" s="47"/>
      <c r="AS664" s="48"/>
      <c r="AT664" s="49"/>
      <c r="AU664" s="50"/>
    </row>
    <row r="665">
      <c r="AD665" s="46"/>
      <c r="AF665" s="47"/>
      <c r="AS665" s="48"/>
      <c r="AT665" s="49"/>
      <c r="AU665" s="50"/>
    </row>
    <row r="666">
      <c r="AD666" s="46"/>
      <c r="AF666" s="47"/>
      <c r="AS666" s="48"/>
      <c r="AT666" s="49"/>
      <c r="AU666" s="50"/>
    </row>
    <row r="667">
      <c r="AD667" s="46"/>
      <c r="AF667" s="47"/>
      <c r="AS667" s="48"/>
      <c r="AT667" s="49"/>
      <c r="AU667" s="50"/>
    </row>
    <row r="668">
      <c r="AD668" s="46"/>
      <c r="AF668" s="47"/>
      <c r="AS668" s="48"/>
      <c r="AT668" s="49"/>
      <c r="AU668" s="50"/>
    </row>
    <row r="669">
      <c r="AD669" s="46"/>
      <c r="AF669" s="47"/>
      <c r="AS669" s="48"/>
      <c r="AT669" s="49"/>
      <c r="AU669" s="50"/>
    </row>
    <row r="670">
      <c r="AD670" s="46"/>
      <c r="AF670" s="47"/>
      <c r="AS670" s="48"/>
      <c r="AT670" s="49"/>
      <c r="AU670" s="50"/>
    </row>
    <row r="671">
      <c r="AD671" s="46"/>
      <c r="AF671" s="47"/>
      <c r="AS671" s="48"/>
      <c r="AT671" s="49"/>
      <c r="AU671" s="50"/>
    </row>
    <row r="672">
      <c r="AD672" s="46"/>
      <c r="AF672" s="47"/>
      <c r="AS672" s="48"/>
      <c r="AT672" s="49"/>
      <c r="AU672" s="50"/>
    </row>
    <row r="673">
      <c r="AD673" s="46"/>
      <c r="AF673" s="47"/>
      <c r="AS673" s="48"/>
      <c r="AT673" s="49"/>
      <c r="AU673" s="50"/>
    </row>
    <row r="674">
      <c r="AD674" s="46"/>
      <c r="AF674" s="47"/>
      <c r="AS674" s="48"/>
      <c r="AT674" s="49"/>
      <c r="AU674" s="50"/>
    </row>
    <row r="675">
      <c r="AD675" s="46"/>
      <c r="AF675" s="47"/>
      <c r="AS675" s="48"/>
      <c r="AT675" s="49"/>
      <c r="AU675" s="50"/>
    </row>
    <row r="676">
      <c r="AD676" s="46"/>
      <c r="AF676" s="47"/>
      <c r="AS676" s="48"/>
      <c r="AT676" s="49"/>
      <c r="AU676" s="50"/>
    </row>
    <row r="677">
      <c r="AD677" s="46"/>
      <c r="AF677" s="47"/>
      <c r="AS677" s="48"/>
      <c r="AT677" s="49"/>
      <c r="AU677" s="50"/>
    </row>
    <row r="678">
      <c r="AD678" s="46"/>
      <c r="AF678" s="47"/>
      <c r="AS678" s="48"/>
      <c r="AT678" s="49"/>
      <c r="AU678" s="50"/>
    </row>
    <row r="679">
      <c r="AD679" s="46"/>
      <c r="AF679" s="47"/>
      <c r="AS679" s="48"/>
      <c r="AT679" s="49"/>
      <c r="AU679" s="50"/>
    </row>
    <row r="680">
      <c r="AD680" s="46"/>
      <c r="AF680" s="47"/>
      <c r="AS680" s="48"/>
      <c r="AT680" s="49"/>
      <c r="AU680" s="50"/>
    </row>
    <row r="681">
      <c r="AD681" s="46"/>
      <c r="AF681" s="47"/>
      <c r="AS681" s="48"/>
      <c r="AT681" s="49"/>
      <c r="AU681" s="50"/>
    </row>
    <row r="682">
      <c r="AD682" s="46"/>
      <c r="AF682" s="47"/>
      <c r="AS682" s="48"/>
      <c r="AT682" s="49"/>
      <c r="AU682" s="50"/>
    </row>
    <row r="683">
      <c r="AD683" s="46"/>
      <c r="AF683" s="47"/>
      <c r="AS683" s="48"/>
      <c r="AT683" s="49"/>
      <c r="AU683" s="50"/>
    </row>
    <row r="684">
      <c r="AD684" s="46"/>
      <c r="AF684" s="47"/>
      <c r="AS684" s="48"/>
      <c r="AT684" s="49"/>
      <c r="AU684" s="50"/>
    </row>
    <row r="685">
      <c r="AD685" s="46"/>
      <c r="AF685" s="47"/>
      <c r="AS685" s="48"/>
      <c r="AT685" s="49"/>
      <c r="AU685" s="50"/>
    </row>
    <row r="686">
      <c r="AD686" s="46"/>
      <c r="AF686" s="47"/>
      <c r="AS686" s="48"/>
      <c r="AT686" s="49"/>
      <c r="AU686" s="50"/>
    </row>
    <row r="687">
      <c r="AD687" s="46"/>
      <c r="AF687" s="47"/>
      <c r="AS687" s="48"/>
      <c r="AT687" s="49"/>
      <c r="AU687" s="50"/>
    </row>
    <row r="688">
      <c r="AD688" s="46"/>
      <c r="AF688" s="47"/>
      <c r="AS688" s="48"/>
      <c r="AT688" s="49"/>
      <c r="AU688" s="50"/>
    </row>
    <row r="689">
      <c r="AD689" s="46"/>
      <c r="AF689" s="47"/>
      <c r="AS689" s="48"/>
      <c r="AT689" s="49"/>
      <c r="AU689" s="50"/>
    </row>
    <row r="690">
      <c r="AD690" s="46"/>
      <c r="AF690" s="47"/>
      <c r="AS690" s="48"/>
      <c r="AT690" s="49"/>
      <c r="AU690" s="50"/>
    </row>
    <row r="691">
      <c r="AD691" s="46"/>
      <c r="AF691" s="47"/>
      <c r="AS691" s="48"/>
      <c r="AT691" s="49"/>
      <c r="AU691" s="50"/>
    </row>
    <row r="692">
      <c r="AD692" s="46"/>
      <c r="AF692" s="47"/>
      <c r="AS692" s="48"/>
      <c r="AT692" s="49"/>
      <c r="AU692" s="50"/>
    </row>
    <row r="693">
      <c r="AD693" s="46"/>
      <c r="AF693" s="47"/>
      <c r="AS693" s="48"/>
      <c r="AT693" s="49"/>
      <c r="AU693" s="50"/>
    </row>
    <row r="694">
      <c r="AD694" s="46"/>
      <c r="AF694" s="47"/>
      <c r="AS694" s="48"/>
      <c r="AT694" s="49"/>
      <c r="AU694" s="50"/>
    </row>
    <row r="695">
      <c r="AD695" s="46"/>
      <c r="AF695" s="47"/>
      <c r="AS695" s="48"/>
      <c r="AT695" s="49"/>
      <c r="AU695" s="50"/>
    </row>
    <row r="696">
      <c r="AD696" s="46"/>
      <c r="AF696" s="47"/>
      <c r="AS696" s="48"/>
      <c r="AT696" s="49"/>
      <c r="AU696" s="50"/>
    </row>
    <row r="697">
      <c r="AD697" s="46"/>
      <c r="AF697" s="47"/>
      <c r="AS697" s="48"/>
      <c r="AT697" s="49"/>
      <c r="AU697" s="50"/>
    </row>
    <row r="698">
      <c r="AD698" s="46"/>
      <c r="AF698" s="47"/>
      <c r="AS698" s="48"/>
      <c r="AT698" s="49"/>
      <c r="AU698" s="50"/>
    </row>
    <row r="699">
      <c r="AD699" s="46"/>
      <c r="AF699" s="47"/>
      <c r="AS699" s="48"/>
      <c r="AT699" s="49"/>
      <c r="AU699" s="50"/>
    </row>
    <row r="700">
      <c r="AD700" s="46"/>
      <c r="AF700" s="47"/>
      <c r="AS700" s="48"/>
      <c r="AT700" s="49"/>
      <c r="AU700" s="50"/>
    </row>
    <row r="701">
      <c r="AD701" s="46"/>
      <c r="AF701" s="47"/>
      <c r="AS701" s="48"/>
      <c r="AT701" s="49"/>
      <c r="AU701" s="50"/>
    </row>
    <row r="702">
      <c r="AD702" s="46"/>
      <c r="AF702" s="47"/>
      <c r="AS702" s="48"/>
      <c r="AT702" s="49"/>
      <c r="AU702" s="50"/>
    </row>
    <row r="703">
      <c r="AD703" s="46"/>
      <c r="AF703" s="47"/>
      <c r="AS703" s="48"/>
      <c r="AT703" s="49"/>
      <c r="AU703" s="50"/>
    </row>
    <row r="704">
      <c r="AD704" s="46"/>
      <c r="AF704" s="47"/>
      <c r="AS704" s="48"/>
      <c r="AT704" s="49"/>
      <c r="AU704" s="50"/>
    </row>
    <row r="705">
      <c r="AD705" s="46"/>
      <c r="AF705" s="47"/>
      <c r="AS705" s="48"/>
      <c r="AT705" s="49"/>
      <c r="AU705" s="50"/>
    </row>
    <row r="706">
      <c r="AD706" s="46"/>
      <c r="AF706" s="47"/>
      <c r="AS706" s="48"/>
      <c r="AT706" s="49"/>
      <c r="AU706" s="50"/>
    </row>
    <row r="707">
      <c r="AD707" s="46"/>
      <c r="AF707" s="47"/>
      <c r="AS707" s="48"/>
      <c r="AT707" s="49"/>
      <c r="AU707" s="50"/>
    </row>
    <row r="708">
      <c r="AD708" s="46"/>
      <c r="AF708" s="47"/>
      <c r="AS708" s="48"/>
      <c r="AT708" s="49"/>
      <c r="AU708" s="50"/>
    </row>
    <row r="709">
      <c r="AD709" s="46"/>
      <c r="AF709" s="47"/>
      <c r="AS709" s="48"/>
      <c r="AT709" s="49"/>
      <c r="AU709" s="50"/>
    </row>
    <row r="710">
      <c r="AD710" s="46"/>
      <c r="AF710" s="47"/>
      <c r="AS710" s="48"/>
      <c r="AT710" s="49"/>
      <c r="AU710" s="50"/>
    </row>
    <row r="711">
      <c r="AD711" s="46"/>
      <c r="AF711" s="47"/>
      <c r="AS711" s="48"/>
      <c r="AT711" s="49"/>
      <c r="AU711" s="50"/>
    </row>
    <row r="712">
      <c r="AD712" s="46"/>
      <c r="AF712" s="47"/>
      <c r="AS712" s="48"/>
      <c r="AT712" s="49"/>
      <c r="AU712" s="50"/>
    </row>
    <row r="713">
      <c r="AD713" s="46"/>
      <c r="AF713" s="47"/>
      <c r="AS713" s="48"/>
      <c r="AT713" s="49"/>
      <c r="AU713" s="50"/>
    </row>
    <row r="714">
      <c r="AD714" s="46"/>
      <c r="AF714" s="47"/>
      <c r="AS714" s="48"/>
      <c r="AT714" s="49"/>
      <c r="AU714" s="50"/>
    </row>
    <row r="715">
      <c r="AD715" s="46"/>
      <c r="AF715" s="47"/>
      <c r="AS715" s="48"/>
      <c r="AT715" s="49"/>
      <c r="AU715" s="50"/>
    </row>
    <row r="716">
      <c r="AD716" s="46"/>
      <c r="AF716" s="47"/>
      <c r="AS716" s="48"/>
      <c r="AT716" s="49"/>
      <c r="AU716" s="50"/>
    </row>
    <row r="717">
      <c r="AD717" s="46"/>
      <c r="AF717" s="47"/>
      <c r="AS717" s="48"/>
      <c r="AT717" s="49"/>
      <c r="AU717" s="50"/>
    </row>
    <row r="718">
      <c r="AD718" s="46"/>
      <c r="AF718" s="47"/>
      <c r="AS718" s="48"/>
      <c r="AT718" s="49"/>
      <c r="AU718" s="50"/>
    </row>
    <row r="719">
      <c r="AD719" s="46"/>
      <c r="AF719" s="47"/>
      <c r="AS719" s="48"/>
      <c r="AT719" s="49"/>
      <c r="AU719" s="50"/>
    </row>
    <row r="720">
      <c r="AD720" s="46"/>
      <c r="AF720" s="47"/>
      <c r="AS720" s="48"/>
      <c r="AT720" s="49"/>
      <c r="AU720" s="50"/>
    </row>
    <row r="721">
      <c r="AD721" s="46"/>
      <c r="AF721" s="47"/>
      <c r="AS721" s="48"/>
      <c r="AT721" s="49"/>
      <c r="AU721" s="50"/>
    </row>
    <row r="722">
      <c r="AD722" s="46"/>
      <c r="AF722" s="47"/>
      <c r="AS722" s="48"/>
      <c r="AT722" s="49"/>
      <c r="AU722" s="50"/>
    </row>
    <row r="723">
      <c r="AD723" s="46"/>
      <c r="AF723" s="47"/>
      <c r="AS723" s="48"/>
      <c r="AT723" s="49"/>
      <c r="AU723" s="50"/>
    </row>
    <row r="724">
      <c r="AD724" s="46"/>
      <c r="AF724" s="47"/>
      <c r="AS724" s="48"/>
      <c r="AT724" s="49"/>
      <c r="AU724" s="50"/>
    </row>
    <row r="725">
      <c r="AD725" s="46"/>
      <c r="AF725" s="47"/>
      <c r="AS725" s="48"/>
      <c r="AT725" s="49"/>
      <c r="AU725" s="50"/>
    </row>
    <row r="726">
      <c r="AD726" s="46"/>
      <c r="AF726" s="47"/>
      <c r="AS726" s="48"/>
      <c r="AT726" s="49"/>
      <c r="AU726" s="50"/>
    </row>
    <row r="727">
      <c r="AD727" s="46"/>
      <c r="AF727" s="47"/>
      <c r="AS727" s="48"/>
      <c r="AT727" s="49"/>
      <c r="AU727" s="50"/>
    </row>
    <row r="728">
      <c r="AD728" s="46"/>
      <c r="AF728" s="47"/>
      <c r="AS728" s="48"/>
      <c r="AT728" s="49"/>
      <c r="AU728" s="50"/>
    </row>
    <row r="729">
      <c r="AD729" s="46"/>
      <c r="AF729" s="47"/>
      <c r="AS729" s="48"/>
      <c r="AT729" s="49"/>
      <c r="AU729" s="50"/>
    </row>
    <row r="730">
      <c r="AD730" s="46"/>
      <c r="AF730" s="47"/>
      <c r="AS730" s="48"/>
      <c r="AT730" s="49"/>
      <c r="AU730" s="50"/>
    </row>
    <row r="731">
      <c r="AD731" s="46"/>
      <c r="AF731" s="47"/>
      <c r="AS731" s="48"/>
      <c r="AT731" s="49"/>
      <c r="AU731" s="50"/>
    </row>
    <row r="732">
      <c r="AD732" s="46"/>
      <c r="AF732" s="47"/>
      <c r="AS732" s="48"/>
      <c r="AT732" s="49"/>
      <c r="AU732" s="50"/>
    </row>
    <row r="733">
      <c r="AD733" s="46"/>
      <c r="AF733" s="47"/>
      <c r="AS733" s="48"/>
      <c r="AT733" s="49"/>
      <c r="AU733" s="50"/>
    </row>
    <row r="734">
      <c r="AD734" s="46"/>
      <c r="AF734" s="47"/>
      <c r="AS734" s="48"/>
      <c r="AT734" s="49"/>
      <c r="AU734" s="50"/>
    </row>
    <row r="735">
      <c r="AD735" s="46"/>
      <c r="AF735" s="47"/>
      <c r="AS735" s="48"/>
      <c r="AT735" s="49"/>
      <c r="AU735" s="50"/>
    </row>
    <row r="736">
      <c r="AD736" s="46"/>
      <c r="AF736" s="47"/>
      <c r="AS736" s="48"/>
      <c r="AT736" s="49"/>
      <c r="AU736" s="50"/>
    </row>
    <row r="737">
      <c r="AD737" s="46"/>
      <c r="AF737" s="47"/>
      <c r="AS737" s="48"/>
      <c r="AT737" s="49"/>
      <c r="AU737" s="50"/>
    </row>
    <row r="738">
      <c r="AD738" s="46"/>
      <c r="AF738" s="47"/>
      <c r="AS738" s="48"/>
      <c r="AT738" s="49"/>
      <c r="AU738" s="50"/>
    </row>
    <row r="739">
      <c r="AD739" s="46"/>
      <c r="AF739" s="47"/>
      <c r="AS739" s="48"/>
      <c r="AT739" s="49"/>
      <c r="AU739" s="50"/>
    </row>
    <row r="740">
      <c r="AD740" s="46"/>
      <c r="AF740" s="47"/>
      <c r="AS740" s="48"/>
      <c r="AT740" s="49"/>
      <c r="AU740" s="50"/>
    </row>
    <row r="741">
      <c r="AD741" s="46"/>
      <c r="AF741" s="47"/>
      <c r="AS741" s="48"/>
      <c r="AT741" s="49"/>
      <c r="AU741" s="50"/>
    </row>
    <row r="742">
      <c r="AD742" s="46"/>
      <c r="AF742" s="47"/>
      <c r="AS742" s="48"/>
      <c r="AT742" s="49"/>
      <c r="AU742" s="50"/>
    </row>
    <row r="743">
      <c r="AD743" s="46"/>
      <c r="AF743" s="47"/>
      <c r="AS743" s="48"/>
      <c r="AT743" s="49"/>
      <c r="AU743" s="50"/>
    </row>
    <row r="744">
      <c r="AD744" s="46"/>
      <c r="AF744" s="47"/>
      <c r="AS744" s="48"/>
      <c r="AT744" s="49"/>
      <c r="AU744" s="50"/>
    </row>
    <row r="745">
      <c r="AD745" s="46"/>
      <c r="AF745" s="47"/>
      <c r="AS745" s="48"/>
      <c r="AT745" s="49"/>
      <c r="AU745" s="50"/>
    </row>
    <row r="746">
      <c r="AD746" s="46"/>
      <c r="AF746" s="47"/>
      <c r="AS746" s="48"/>
      <c r="AT746" s="49"/>
      <c r="AU746" s="50"/>
    </row>
    <row r="747">
      <c r="AD747" s="46"/>
      <c r="AF747" s="47"/>
      <c r="AS747" s="48"/>
      <c r="AT747" s="49"/>
      <c r="AU747" s="50"/>
    </row>
    <row r="748">
      <c r="AD748" s="46"/>
      <c r="AF748" s="47"/>
      <c r="AS748" s="48"/>
      <c r="AT748" s="49"/>
      <c r="AU748" s="50"/>
    </row>
    <row r="749">
      <c r="AD749" s="46"/>
      <c r="AF749" s="47"/>
      <c r="AS749" s="48"/>
      <c r="AT749" s="49"/>
      <c r="AU749" s="50"/>
    </row>
    <row r="750">
      <c r="AD750" s="46"/>
      <c r="AF750" s="47"/>
      <c r="AS750" s="48"/>
      <c r="AT750" s="49"/>
      <c r="AU750" s="50"/>
    </row>
    <row r="751">
      <c r="AD751" s="46"/>
      <c r="AF751" s="47"/>
      <c r="AS751" s="48"/>
      <c r="AT751" s="49"/>
      <c r="AU751" s="50"/>
    </row>
    <row r="752">
      <c r="AD752" s="46"/>
      <c r="AF752" s="47"/>
      <c r="AS752" s="48"/>
      <c r="AT752" s="49"/>
      <c r="AU752" s="50"/>
    </row>
    <row r="753">
      <c r="AD753" s="46"/>
      <c r="AF753" s="47"/>
      <c r="AS753" s="48"/>
      <c r="AT753" s="49"/>
      <c r="AU753" s="50"/>
    </row>
    <row r="754">
      <c r="AD754" s="46"/>
      <c r="AF754" s="47"/>
      <c r="AS754" s="48"/>
      <c r="AT754" s="49"/>
      <c r="AU754" s="50"/>
    </row>
    <row r="755">
      <c r="AD755" s="46"/>
      <c r="AF755" s="47"/>
      <c r="AS755" s="48"/>
      <c r="AT755" s="49"/>
      <c r="AU755" s="50"/>
    </row>
    <row r="756">
      <c r="AD756" s="46"/>
      <c r="AF756" s="47"/>
      <c r="AS756" s="48"/>
      <c r="AT756" s="49"/>
      <c r="AU756" s="50"/>
    </row>
    <row r="757">
      <c r="AD757" s="46"/>
      <c r="AF757" s="47"/>
      <c r="AS757" s="48"/>
      <c r="AT757" s="49"/>
      <c r="AU757" s="50"/>
    </row>
    <row r="758">
      <c r="AD758" s="46"/>
      <c r="AF758" s="47"/>
      <c r="AS758" s="48"/>
      <c r="AT758" s="49"/>
      <c r="AU758" s="50"/>
    </row>
    <row r="759">
      <c r="AD759" s="46"/>
      <c r="AF759" s="47"/>
      <c r="AS759" s="48"/>
      <c r="AT759" s="49"/>
      <c r="AU759" s="50"/>
    </row>
    <row r="760">
      <c r="AD760" s="46"/>
      <c r="AF760" s="47"/>
      <c r="AS760" s="48"/>
      <c r="AT760" s="49"/>
      <c r="AU760" s="50"/>
    </row>
    <row r="761">
      <c r="AD761" s="46"/>
      <c r="AF761" s="47"/>
      <c r="AS761" s="48"/>
      <c r="AT761" s="49"/>
      <c r="AU761" s="50"/>
    </row>
    <row r="762">
      <c r="AD762" s="46"/>
      <c r="AF762" s="47"/>
      <c r="AS762" s="48"/>
      <c r="AT762" s="49"/>
      <c r="AU762" s="50"/>
    </row>
    <row r="763">
      <c r="AD763" s="46"/>
      <c r="AF763" s="47"/>
      <c r="AS763" s="48"/>
      <c r="AT763" s="49"/>
      <c r="AU763" s="50"/>
    </row>
    <row r="764">
      <c r="AD764" s="46"/>
      <c r="AF764" s="47"/>
      <c r="AS764" s="48"/>
      <c r="AT764" s="49"/>
      <c r="AU764" s="50"/>
    </row>
    <row r="765">
      <c r="AD765" s="46"/>
      <c r="AF765" s="47"/>
      <c r="AS765" s="48"/>
      <c r="AT765" s="49"/>
      <c r="AU765" s="50"/>
    </row>
    <row r="766">
      <c r="AD766" s="46"/>
      <c r="AF766" s="47"/>
      <c r="AS766" s="48"/>
      <c r="AT766" s="49"/>
      <c r="AU766" s="50"/>
    </row>
    <row r="767">
      <c r="AD767" s="46"/>
      <c r="AF767" s="47"/>
      <c r="AS767" s="48"/>
      <c r="AT767" s="49"/>
      <c r="AU767" s="50"/>
    </row>
    <row r="768">
      <c r="AD768" s="46"/>
      <c r="AF768" s="47"/>
      <c r="AS768" s="48"/>
      <c r="AT768" s="49"/>
      <c r="AU768" s="50"/>
    </row>
    <row r="769">
      <c r="AD769" s="46"/>
      <c r="AF769" s="47"/>
      <c r="AS769" s="48"/>
      <c r="AT769" s="49"/>
      <c r="AU769" s="50"/>
    </row>
    <row r="770">
      <c r="AD770" s="46"/>
      <c r="AF770" s="47"/>
      <c r="AS770" s="48"/>
      <c r="AT770" s="49"/>
      <c r="AU770" s="50"/>
    </row>
    <row r="771">
      <c r="AD771" s="46"/>
      <c r="AF771" s="47"/>
      <c r="AS771" s="48"/>
      <c r="AT771" s="49"/>
      <c r="AU771" s="50"/>
    </row>
    <row r="772">
      <c r="AD772" s="46"/>
      <c r="AF772" s="47"/>
      <c r="AS772" s="48"/>
      <c r="AT772" s="49"/>
      <c r="AU772" s="50"/>
    </row>
    <row r="773">
      <c r="AD773" s="46"/>
      <c r="AF773" s="47"/>
      <c r="AS773" s="48"/>
      <c r="AT773" s="49"/>
      <c r="AU773" s="50"/>
    </row>
    <row r="774">
      <c r="AD774" s="46"/>
      <c r="AF774" s="47"/>
      <c r="AS774" s="48"/>
      <c r="AT774" s="49"/>
      <c r="AU774" s="50"/>
    </row>
    <row r="775">
      <c r="AD775" s="46"/>
      <c r="AF775" s="47"/>
      <c r="AS775" s="48"/>
      <c r="AT775" s="49"/>
      <c r="AU775" s="50"/>
    </row>
    <row r="776">
      <c r="AD776" s="46"/>
      <c r="AF776" s="47"/>
      <c r="AS776" s="48"/>
      <c r="AT776" s="49"/>
      <c r="AU776" s="50"/>
    </row>
    <row r="777">
      <c r="AD777" s="46"/>
      <c r="AF777" s="47"/>
      <c r="AS777" s="48"/>
      <c r="AT777" s="49"/>
      <c r="AU777" s="50"/>
    </row>
    <row r="778">
      <c r="AD778" s="46"/>
      <c r="AF778" s="47"/>
      <c r="AS778" s="48"/>
      <c r="AT778" s="49"/>
      <c r="AU778" s="50"/>
    </row>
    <row r="779">
      <c r="AD779" s="46"/>
      <c r="AF779" s="47"/>
      <c r="AS779" s="48"/>
      <c r="AT779" s="49"/>
      <c r="AU779" s="50"/>
    </row>
    <row r="780">
      <c r="AD780" s="46"/>
      <c r="AF780" s="47"/>
      <c r="AS780" s="48"/>
      <c r="AT780" s="49"/>
      <c r="AU780" s="50"/>
    </row>
    <row r="781">
      <c r="AD781" s="46"/>
      <c r="AF781" s="47"/>
      <c r="AS781" s="48"/>
      <c r="AT781" s="49"/>
      <c r="AU781" s="50"/>
    </row>
    <row r="782">
      <c r="AD782" s="46"/>
      <c r="AF782" s="47"/>
      <c r="AS782" s="48"/>
      <c r="AT782" s="49"/>
      <c r="AU782" s="50"/>
    </row>
    <row r="783">
      <c r="AD783" s="46"/>
      <c r="AF783" s="47"/>
      <c r="AS783" s="48"/>
      <c r="AT783" s="49"/>
      <c r="AU783" s="50"/>
    </row>
    <row r="784">
      <c r="AD784" s="46"/>
      <c r="AF784" s="47"/>
      <c r="AS784" s="48"/>
      <c r="AT784" s="49"/>
      <c r="AU784" s="50"/>
    </row>
    <row r="785">
      <c r="AD785" s="46"/>
      <c r="AF785" s="47"/>
      <c r="AS785" s="48"/>
      <c r="AT785" s="49"/>
      <c r="AU785" s="50"/>
    </row>
    <row r="786">
      <c r="AD786" s="46"/>
      <c r="AF786" s="47"/>
      <c r="AS786" s="48"/>
      <c r="AT786" s="49"/>
      <c r="AU786" s="50"/>
    </row>
    <row r="787">
      <c r="AD787" s="46"/>
      <c r="AF787" s="47"/>
      <c r="AS787" s="48"/>
      <c r="AT787" s="49"/>
      <c r="AU787" s="50"/>
    </row>
    <row r="788">
      <c r="AD788" s="46"/>
      <c r="AF788" s="47"/>
      <c r="AS788" s="48"/>
      <c r="AT788" s="49"/>
      <c r="AU788" s="50"/>
    </row>
    <row r="789">
      <c r="AD789" s="46"/>
      <c r="AF789" s="47"/>
      <c r="AS789" s="48"/>
      <c r="AT789" s="49"/>
      <c r="AU789" s="50"/>
    </row>
    <row r="790">
      <c r="AD790" s="46"/>
      <c r="AF790" s="47"/>
      <c r="AS790" s="48"/>
      <c r="AT790" s="49"/>
      <c r="AU790" s="50"/>
    </row>
    <row r="791">
      <c r="AD791" s="46"/>
      <c r="AF791" s="47"/>
      <c r="AS791" s="48"/>
      <c r="AT791" s="49"/>
      <c r="AU791" s="50"/>
    </row>
    <row r="792">
      <c r="AD792" s="46"/>
      <c r="AF792" s="47"/>
      <c r="AS792" s="48"/>
      <c r="AT792" s="49"/>
      <c r="AU792" s="50"/>
    </row>
    <row r="793">
      <c r="AD793" s="46"/>
      <c r="AF793" s="47"/>
      <c r="AS793" s="48"/>
      <c r="AT793" s="49"/>
      <c r="AU793" s="50"/>
    </row>
    <row r="794">
      <c r="AD794" s="46"/>
      <c r="AF794" s="47"/>
      <c r="AS794" s="48"/>
      <c r="AT794" s="49"/>
      <c r="AU794" s="50"/>
    </row>
    <row r="795">
      <c r="AD795" s="46"/>
      <c r="AF795" s="47"/>
      <c r="AS795" s="48"/>
      <c r="AT795" s="49"/>
      <c r="AU795" s="50"/>
    </row>
    <row r="796">
      <c r="AD796" s="46"/>
      <c r="AF796" s="47"/>
      <c r="AS796" s="48"/>
      <c r="AT796" s="49"/>
      <c r="AU796" s="50"/>
    </row>
    <row r="797">
      <c r="AD797" s="46"/>
      <c r="AF797" s="47"/>
      <c r="AS797" s="48"/>
      <c r="AT797" s="49"/>
      <c r="AU797" s="50"/>
    </row>
    <row r="798">
      <c r="AD798" s="46"/>
      <c r="AF798" s="47"/>
      <c r="AS798" s="48"/>
      <c r="AT798" s="49"/>
      <c r="AU798" s="50"/>
    </row>
    <row r="799">
      <c r="AD799" s="46"/>
      <c r="AF799" s="47"/>
      <c r="AS799" s="48"/>
      <c r="AT799" s="49"/>
      <c r="AU799" s="50"/>
    </row>
    <row r="800">
      <c r="AD800" s="46"/>
      <c r="AF800" s="47"/>
      <c r="AS800" s="48"/>
      <c r="AT800" s="49"/>
      <c r="AU800" s="50"/>
    </row>
    <row r="801">
      <c r="AD801" s="46"/>
      <c r="AF801" s="47"/>
      <c r="AS801" s="48"/>
      <c r="AT801" s="49"/>
      <c r="AU801" s="50"/>
    </row>
    <row r="802">
      <c r="AD802" s="46"/>
      <c r="AF802" s="47"/>
      <c r="AS802" s="48"/>
      <c r="AT802" s="49"/>
      <c r="AU802" s="50"/>
    </row>
    <row r="803">
      <c r="AD803" s="46"/>
      <c r="AF803" s="47"/>
      <c r="AS803" s="48"/>
      <c r="AT803" s="49"/>
      <c r="AU803" s="50"/>
    </row>
    <row r="804">
      <c r="AD804" s="46"/>
      <c r="AF804" s="47"/>
      <c r="AS804" s="48"/>
      <c r="AT804" s="49"/>
      <c r="AU804" s="50"/>
    </row>
    <row r="805">
      <c r="AD805" s="46"/>
      <c r="AF805" s="47"/>
      <c r="AS805" s="48"/>
      <c r="AT805" s="49"/>
      <c r="AU805" s="50"/>
    </row>
    <row r="806">
      <c r="AD806" s="46"/>
      <c r="AF806" s="47"/>
      <c r="AS806" s="48"/>
      <c r="AT806" s="49"/>
      <c r="AU806" s="50"/>
    </row>
    <row r="807">
      <c r="AD807" s="46"/>
      <c r="AF807" s="47"/>
      <c r="AS807" s="48"/>
      <c r="AT807" s="49"/>
      <c r="AU807" s="50"/>
    </row>
    <row r="808">
      <c r="AD808" s="46"/>
      <c r="AF808" s="47"/>
      <c r="AS808" s="48"/>
      <c r="AT808" s="49"/>
      <c r="AU808" s="50"/>
    </row>
    <row r="809">
      <c r="AD809" s="46"/>
      <c r="AF809" s="47"/>
      <c r="AS809" s="48"/>
      <c r="AT809" s="49"/>
      <c r="AU809" s="50"/>
    </row>
    <row r="810">
      <c r="AD810" s="46"/>
      <c r="AF810" s="47"/>
      <c r="AS810" s="48"/>
      <c r="AT810" s="49"/>
      <c r="AU810" s="50"/>
    </row>
    <row r="811">
      <c r="AD811" s="46"/>
      <c r="AF811" s="47"/>
      <c r="AS811" s="48"/>
      <c r="AT811" s="49"/>
      <c r="AU811" s="50"/>
    </row>
    <row r="812">
      <c r="AD812" s="46"/>
      <c r="AF812" s="47"/>
      <c r="AS812" s="48"/>
      <c r="AT812" s="49"/>
      <c r="AU812" s="50"/>
    </row>
    <row r="813">
      <c r="AD813" s="46"/>
      <c r="AF813" s="47"/>
      <c r="AS813" s="48"/>
      <c r="AT813" s="49"/>
      <c r="AU813" s="50"/>
    </row>
    <row r="814">
      <c r="AD814" s="46"/>
      <c r="AF814" s="47"/>
      <c r="AS814" s="48"/>
      <c r="AT814" s="49"/>
      <c r="AU814" s="50"/>
    </row>
    <row r="815">
      <c r="AD815" s="46"/>
      <c r="AF815" s="47"/>
      <c r="AS815" s="48"/>
      <c r="AT815" s="49"/>
      <c r="AU815" s="50"/>
    </row>
    <row r="816">
      <c r="AD816" s="46"/>
      <c r="AF816" s="47"/>
      <c r="AS816" s="48"/>
      <c r="AT816" s="49"/>
      <c r="AU816" s="50"/>
    </row>
    <row r="817">
      <c r="AD817" s="46"/>
      <c r="AF817" s="47"/>
      <c r="AS817" s="48"/>
      <c r="AT817" s="49"/>
      <c r="AU817" s="50"/>
    </row>
    <row r="818">
      <c r="AD818" s="46"/>
      <c r="AF818" s="47"/>
      <c r="AS818" s="48"/>
      <c r="AT818" s="49"/>
      <c r="AU818" s="50"/>
    </row>
    <row r="819">
      <c r="AD819" s="46"/>
      <c r="AF819" s="47"/>
      <c r="AS819" s="48"/>
      <c r="AT819" s="49"/>
      <c r="AU819" s="50"/>
    </row>
    <row r="820">
      <c r="AD820" s="46"/>
      <c r="AF820" s="47"/>
      <c r="AS820" s="48"/>
      <c r="AT820" s="49"/>
      <c r="AU820" s="50"/>
    </row>
    <row r="821">
      <c r="AD821" s="46"/>
      <c r="AF821" s="47"/>
      <c r="AS821" s="48"/>
      <c r="AT821" s="49"/>
      <c r="AU821" s="50"/>
    </row>
    <row r="822">
      <c r="AD822" s="46"/>
      <c r="AF822" s="47"/>
      <c r="AS822" s="48"/>
      <c r="AT822" s="49"/>
      <c r="AU822" s="50"/>
    </row>
    <row r="823">
      <c r="AD823" s="46"/>
      <c r="AF823" s="47"/>
      <c r="AS823" s="48"/>
      <c r="AT823" s="49"/>
      <c r="AU823" s="50"/>
    </row>
    <row r="824">
      <c r="AD824" s="46"/>
      <c r="AF824" s="47"/>
      <c r="AS824" s="48"/>
      <c r="AT824" s="49"/>
      <c r="AU824" s="50"/>
    </row>
    <row r="825">
      <c r="AD825" s="46"/>
      <c r="AF825" s="47"/>
      <c r="AS825" s="48"/>
      <c r="AT825" s="49"/>
      <c r="AU825" s="50"/>
    </row>
    <row r="826">
      <c r="AD826" s="46"/>
      <c r="AF826" s="47"/>
      <c r="AS826" s="48"/>
      <c r="AT826" s="49"/>
      <c r="AU826" s="50"/>
    </row>
    <row r="827">
      <c r="AD827" s="46"/>
      <c r="AF827" s="47"/>
      <c r="AS827" s="48"/>
      <c r="AT827" s="49"/>
      <c r="AU827" s="50"/>
    </row>
    <row r="828">
      <c r="AD828" s="46"/>
      <c r="AF828" s="47"/>
      <c r="AS828" s="48"/>
      <c r="AT828" s="49"/>
      <c r="AU828" s="50"/>
    </row>
    <row r="829">
      <c r="AD829" s="46"/>
      <c r="AF829" s="47"/>
      <c r="AS829" s="48"/>
      <c r="AT829" s="49"/>
      <c r="AU829" s="50"/>
    </row>
    <row r="830">
      <c r="AD830" s="46"/>
      <c r="AF830" s="47"/>
      <c r="AS830" s="48"/>
      <c r="AT830" s="49"/>
      <c r="AU830" s="50"/>
    </row>
    <row r="831">
      <c r="AD831" s="46"/>
      <c r="AF831" s="47"/>
      <c r="AS831" s="48"/>
      <c r="AT831" s="49"/>
      <c r="AU831" s="50"/>
    </row>
    <row r="832">
      <c r="AD832" s="46"/>
      <c r="AF832" s="47"/>
      <c r="AS832" s="48"/>
      <c r="AT832" s="49"/>
      <c r="AU832" s="50"/>
    </row>
    <row r="833">
      <c r="AD833" s="46"/>
      <c r="AF833" s="47"/>
      <c r="AS833" s="48"/>
      <c r="AT833" s="49"/>
      <c r="AU833" s="50"/>
    </row>
    <row r="834">
      <c r="AD834" s="46"/>
      <c r="AF834" s="47"/>
      <c r="AS834" s="48"/>
      <c r="AT834" s="49"/>
      <c r="AU834" s="50"/>
    </row>
    <row r="835">
      <c r="AD835" s="46"/>
      <c r="AF835" s="47"/>
      <c r="AS835" s="48"/>
      <c r="AT835" s="49"/>
      <c r="AU835" s="50"/>
    </row>
    <row r="836">
      <c r="AD836" s="46"/>
      <c r="AF836" s="47"/>
      <c r="AS836" s="48"/>
      <c r="AT836" s="49"/>
      <c r="AU836" s="50"/>
    </row>
    <row r="837">
      <c r="AD837" s="46"/>
      <c r="AF837" s="47"/>
      <c r="AS837" s="48"/>
      <c r="AT837" s="49"/>
      <c r="AU837" s="50"/>
    </row>
    <row r="838">
      <c r="AD838" s="46"/>
      <c r="AF838" s="47"/>
      <c r="AS838" s="48"/>
      <c r="AT838" s="49"/>
      <c r="AU838" s="50"/>
    </row>
    <row r="839">
      <c r="AD839" s="46"/>
      <c r="AF839" s="47"/>
      <c r="AS839" s="48"/>
      <c r="AT839" s="49"/>
      <c r="AU839" s="50"/>
    </row>
    <row r="840">
      <c r="AD840" s="46"/>
      <c r="AF840" s="47"/>
      <c r="AS840" s="48"/>
      <c r="AT840" s="49"/>
      <c r="AU840" s="50"/>
    </row>
    <row r="841">
      <c r="AD841" s="46"/>
      <c r="AF841" s="47"/>
      <c r="AS841" s="48"/>
      <c r="AT841" s="49"/>
      <c r="AU841" s="50"/>
    </row>
    <row r="842">
      <c r="AD842" s="46"/>
      <c r="AF842" s="47"/>
      <c r="AS842" s="48"/>
      <c r="AT842" s="49"/>
      <c r="AU842" s="50"/>
    </row>
    <row r="843">
      <c r="AD843" s="46"/>
      <c r="AF843" s="47"/>
      <c r="AS843" s="48"/>
      <c r="AT843" s="49"/>
      <c r="AU843" s="50"/>
    </row>
    <row r="844">
      <c r="AD844" s="46"/>
      <c r="AF844" s="47"/>
      <c r="AS844" s="48"/>
      <c r="AT844" s="49"/>
      <c r="AU844" s="50"/>
    </row>
    <row r="845">
      <c r="AD845" s="46"/>
      <c r="AF845" s="47"/>
      <c r="AS845" s="48"/>
      <c r="AT845" s="49"/>
      <c r="AU845" s="50"/>
    </row>
    <row r="846">
      <c r="AD846" s="46"/>
      <c r="AF846" s="47"/>
      <c r="AS846" s="48"/>
      <c r="AT846" s="49"/>
      <c r="AU846" s="50"/>
    </row>
    <row r="847">
      <c r="AD847" s="46"/>
      <c r="AF847" s="47"/>
      <c r="AS847" s="48"/>
      <c r="AT847" s="49"/>
      <c r="AU847" s="50"/>
    </row>
    <row r="848">
      <c r="AD848" s="46"/>
      <c r="AF848" s="47"/>
      <c r="AS848" s="48"/>
      <c r="AT848" s="49"/>
      <c r="AU848" s="50"/>
    </row>
    <row r="849">
      <c r="AD849" s="46"/>
      <c r="AF849" s="47"/>
      <c r="AS849" s="48"/>
      <c r="AT849" s="49"/>
      <c r="AU849" s="50"/>
    </row>
    <row r="850">
      <c r="AD850" s="46"/>
      <c r="AF850" s="47"/>
      <c r="AS850" s="48"/>
      <c r="AT850" s="49"/>
      <c r="AU850" s="50"/>
    </row>
    <row r="851">
      <c r="AD851" s="46"/>
      <c r="AF851" s="47"/>
      <c r="AS851" s="48"/>
      <c r="AT851" s="49"/>
      <c r="AU851" s="50"/>
    </row>
    <row r="852">
      <c r="AD852" s="46"/>
      <c r="AF852" s="47"/>
      <c r="AS852" s="48"/>
      <c r="AT852" s="49"/>
      <c r="AU852" s="50"/>
    </row>
    <row r="853">
      <c r="AD853" s="46"/>
      <c r="AF853" s="47"/>
      <c r="AS853" s="48"/>
      <c r="AT853" s="49"/>
      <c r="AU853" s="50"/>
    </row>
    <row r="854">
      <c r="AD854" s="46"/>
      <c r="AF854" s="47"/>
      <c r="AS854" s="48"/>
      <c r="AT854" s="49"/>
      <c r="AU854" s="50"/>
    </row>
    <row r="855">
      <c r="AD855" s="46"/>
      <c r="AF855" s="47"/>
      <c r="AS855" s="48"/>
      <c r="AT855" s="49"/>
      <c r="AU855" s="50"/>
    </row>
    <row r="856">
      <c r="AD856" s="46"/>
      <c r="AF856" s="47"/>
      <c r="AS856" s="48"/>
      <c r="AT856" s="49"/>
      <c r="AU856" s="50"/>
    </row>
    <row r="857">
      <c r="AD857" s="46"/>
      <c r="AF857" s="47"/>
      <c r="AS857" s="48"/>
      <c r="AT857" s="49"/>
      <c r="AU857" s="50"/>
    </row>
    <row r="858">
      <c r="AD858" s="46"/>
      <c r="AF858" s="47"/>
      <c r="AS858" s="48"/>
      <c r="AT858" s="49"/>
      <c r="AU858" s="50"/>
    </row>
    <row r="859">
      <c r="AD859" s="46"/>
      <c r="AF859" s="47"/>
      <c r="AS859" s="48"/>
      <c r="AT859" s="49"/>
      <c r="AU859" s="50"/>
    </row>
    <row r="860">
      <c r="AD860" s="46"/>
      <c r="AF860" s="47"/>
      <c r="AS860" s="48"/>
      <c r="AT860" s="49"/>
      <c r="AU860" s="50"/>
    </row>
    <row r="861">
      <c r="AD861" s="46"/>
      <c r="AF861" s="47"/>
      <c r="AS861" s="48"/>
      <c r="AT861" s="49"/>
      <c r="AU861" s="50"/>
    </row>
    <row r="862">
      <c r="AD862" s="46"/>
      <c r="AF862" s="47"/>
      <c r="AS862" s="48"/>
      <c r="AT862" s="49"/>
      <c r="AU862" s="50"/>
    </row>
    <row r="863">
      <c r="AD863" s="46"/>
      <c r="AF863" s="47"/>
      <c r="AS863" s="48"/>
      <c r="AT863" s="49"/>
      <c r="AU863" s="50"/>
    </row>
    <row r="864">
      <c r="AD864" s="46"/>
      <c r="AF864" s="47"/>
      <c r="AS864" s="48"/>
      <c r="AT864" s="49"/>
      <c r="AU864" s="50"/>
    </row>
    <row r="865">
      <c r="AD865" s="46"/>
      <c r="AF865" s="47"/>
      <c r="AS865" s="48"/>
      <c r="AT865" s="49"/>
      <c r="AU865" s="50"/>
    </row>
    <row r="866">
      <c r="AD866" s="46"/>
      <c r="AF866" s="47"/>
      <c r="AS866" s="48"/>
      <c r="AT866" s="49"/>
      <c r="AU866" s="50"/>
    </row>
    <row r="867">
      <c r="AD867" s="46"/>
      <c r="AF867" s="47"/>
      <c r="AS867" s="48"/>
      <c r="AT867" s="49"/>
      <c r="AU867" s="50"/>
    </row>
    <row r="868">
      <c r="AD868" s="46"/>
      <c r="AF868" s="47"/>
      <c r="AS868" s="48"/>
      <c r="AT868" s="49"/>
      <c r="AU868" s="50"/>
    </row>
    <row r="869">
      <c r="AD869" s="46"/>
      <c r="AF869" s="47"/>
      <c r="AS869" s="48"/>
      <c r="AT869" s="49"/>
      <c r="AU869" s="50"/>
    </row>
    <row r="870">
      <c r="AD870" s="46"/>
      <c r="AF870" s="47"/>
      <c r="AS870" s="48"/>
      <c r="AT870" s="49"/>
      <c r="AU870" s="50"/>
    </row>
    <row r="871">
      <c r="AD871" s="46"/>
      <c r="AF871" s="47"/>
      <c r="AS871" s="48"/>
      <c r="AT871" s="49"/>
      <c r="AU871" s="50"/>
    </row>
    <row r="872">
      <c r="AD872" s="46"/>
      <c r="AF872" s="47"/>
      <c r="AS872" s="48"/>
      <c r="AT872" s="49"/>
      <c r="AU872" s="50"/>
    </row>
    <row r="873">
      <c r="AD873" s="46"/>
      <c r="AF873" s="47"/>
      <c r="AS873" s="48"/>
      <c r="AT873" s="49"/>
      <c r="AU873" s="50"/>
    </row>
    <row r="874">
      <c r="AD874" s="46"/>
      <c r="AF874" s="47"/>
      <c r="AS874" s="48"/>
      <c r="AT874" s="49"/>
      <c r="AU874" s="50"/>
    </row>
    <row r="875">
      <c r="AD875" s="46"/>
      <c r="AF875" s="47"/>
      <c r="AS875" s="48"/>
      <c r="AT875" s="49"/>
      <c r="AU875" s="50"/>
    </row>
    <row r="876">
      <c r="AD876" s="46"/>
      <c r="AF876" s="47"/>
      <c r="AS876" s="48"/>
      <c r="AT876" s="49"/>
      <c r="AU876" s="50"/>
    </row>
    <row r="877">
      <c r="AD877" s="46"/>
      <c r="AF877" s="47"/>
      <c r="AS877" s="48"/>
      <c r="AT877" s="49"/>
      <c r="AU877" s="50"/>
    </row>
    <row r="878">
      <c r="AD878" s="46"/>
      <c r="AF878" s="47"/>
      <c r="AS878" s="48"/>
      <c r="AT878" s="49"/>
      <c r="AU878" s="50"/>
    </row>
    <row r="879">
      <c r="AD879" s="46"/>
      <c r="AF879" s="47"/>
      <c r="AS879" s="48"/>
      <c r="AT879" s="49"/>
      <c r="AU879" s="50"/>
    </row>
    <row r="880">
      <c r="AD880" s="46"/>
      <c r="AF880" s="47"/>
      <c r="AS880" s="48"/>
      <c r="AT880" s="49"/>
      <c r="AU880" s="50"/>
    </row>
    <row r="881">
      <c r="AD881" s="46"/>
      <c r="AF881" s="47"/>
      <c r="AS881" s="48"/>
      <c r="AT881" s="49"/>
      <c r="AU881" s="50"/>
    </row>
    <row r="882">
      <c r="AD882" s="46"/>
      <c r="AF882" s="47"/>
      <c r="AS882" s="48"/>
      <c r="AT882" s="49"/>
      <c r="AU882" s="50"/>
    </row>
    <row r="883">
      <c r="AD883" s="46"/>
      <c r="AF883" s="47"/>
      <c r="AS883" s="48"/>
      <c r="AT883" s="49"/>
      <c r="AU883" s="50"/>
    </row>
    <row r="884">
      <c r="AD884" s="46"/>
      <c r="AF884" s="47"/>
      <c r="AS884" s="48"/>
      <c r="AT884" s="49"/>
      <c r="AU884" s="50"/>
    </row>
    <row r="885">
      <c r="AD885" s="46"/>
      <c r="AF885" s="47"/>
      <c r="AS885" s="48"/>
      <c r="AT885" s="49"/>
      <c r="AU885" s="50"/>
    </row>
    <row r="886">
      <c r="AD886" s="46"/>
      <c r="AF886" s="47"/>
      <c r="AS886" s="48"/>
      <c r="AT886" s="49"/>
      <c r="AU886" s="50"/>
    </row>
    <row r="887">
      <c r="AD887" s="46"/>
      <c r="AF887" s="47"/>
      <c r="AS887" s="48"/>
      <c r="AT887" s="49"/>
      <c r="AU887" s="50"/>
    </row>
    <row r="888">
      <c r="AD888" s="46"/>
      <c r="AF888" s="47"/>
      <c r="AS888" s="48"/>
      <c r="AT888" s="49"/>
      <c r="AU888" s="50"/>
    </row>
    <row r="889">
      <c r="AD889" s="46"/>
      <c r="AF889" s="47"/>
      <c r="AS889" s="48"/>
      <c r="AT889" s="49"/>
      <c r="AU889" s="50"/>
    </row>
    <row r="890">
      <c r="AD890" s="46"/>
      <c r="AF890" s="47"/>
      <c r="AS890" s="48"/>
      <c r="AT890" s="49"/>
      <c r="AU890" s="50"/>
    </row>
    <row r="891">
      <c r="AD891" s="46"/>
      <c r="AF891" s="47"/>
      <c r="AS891" s="48"/>
      <c r="AT891" s="49"/>
      <c r="AU891" s="50"/>
    </row>
    <row r="892">
      <c r="AD892" s="46"/>
      <c r="AF892" s="47"/>
      <c r="AS892" s="48"/>
      <c r="AT892" s="49"/>
      <c r="AU892" s="50"/>
    </row>
    <row r="893">
      <c r="AD893" s="46"/>
      <c r="AF893" s="47"/>
      <c r="AS893" s="48"/>
      <c r="AT893" s="49"/>
      <c r="AU893" s="50"/>
    </row>
    <row r="894">
      <c r="AD894" s="46"/>
      <c r="AF894" s="47"/>
      <c r="AS894" s="48"/>
      <c r="AT894" s="49"/>
      <c r="AU894" s="50"/>
    </row>
    <row r="895">
      <c r="AD895" s="46"/>
      <c r="AF895" s="47"/>
      <c r="AS895" s="48"/>
      <c r="AT895" s="49"/>
      <c r="AU895" s="50"/>
    </row>
    <row r="896">
      <c r="AD896" s="46"/>
      <c r="AF896" s="47"/>
      <c r="AS896" s="48"/>
      <c r="AT896" s="49"/>
      <c r="AU896" s="50"/>
    </row>
    <row r="897">
      <c r="AD897" s="46"/>
      <c r="AF897" s="47"/>
      <c r="AS897" s="48"/>
      <c r="AT897" s="49"/>
      <c r="AU897" s="50"/>
    </row>
    <row r="898">
      <c r="AD898" s="46"/>
      <c r="AF898" s="47"/>
      <c r="AS898" s="48"/>
      <c r="AT898" s="49"/>
      <c r="AU898" s="50"/>
    </row>
    <row r="899">
      <c r="AD899" s="46"/>
      <c r="AF899" s="47"/>
      <c r="AS899" s="48"/>
      <c r="AT899" s="49"/>
      <c r="AU899" s="50"/>
    </row>
    <row r="900">
      <c r="AD900" s="46"/>
      <c r="AF900" s="47"/>
      <c r="AS900" s="48"/>
      <c r="AT900" s="49"/>
      <c r="AU900" s="50"/>
    </row>
    <row r="901">
      <c r="AD901" s="46"/>
      <c r="AF901" s="47"/>
      <c r="AS901" s="48"/>
      <c r="AT901" s="49"/>
      <c r="AU901" s="50"/>
    </row>
    <row r="902">
      <c r="AD902" s="46"/>
      <c r="AF902" s="47"/>
      <c r="AS902" s="48"/>
      <c r="AT902" s="49"/>
      <c r="AU902" s="50"/>
    </row>
    <row r="903">
      <c r="AD903" s="46"/>
      <c r="AF903" s="47"/>
      <c r="AS903" s="48"/>
      <c r="AT903" s="49"/>
      <c r="AU903" s="50"/>
    </row>
    <row r="904">
      <c r="AD904" s="46"/>
      <c r="AF904" s="47"/>
      <c r="AS904" s="48"/>
      <c r="AT904" s="49"/>
      <c r="AU904" s="50"/>
    </row>
    <row r="905">
      <c r="AD905" s="46"/>
      <c r="AF905" s="47"/>
      <c r="AS905" s="48"/>
      <c r="AT905" s="49"/>
      <c r="AU905" s="50"/>
    </row>
    <row r="906">
      <c r="AD906" s="46"/>
      <c r="AF906" s="47"/>
      <c r="AS906" s="48"/>
      <c r="AT906" s="49"/>
      <c r="AU906" s="50"/>
    </row>
    <row r="907">
      <c r="AD907" s="46"/>
      <c r="AF907" s="47"/>
      <c r="AS907" s="48"/>
      <c r="AT907" s="49"/>
      <c r="AU907" s="50"/>
    </row>
    <row r="908">
      <c r="AD908" s="46"/>
      <c r="AF908" s="47"/>
      <c r="AS908" s="48"/>
      <c r="AT908" s="49"/>
      <c r="AU908" s="50"/>
    </row>
    <row r="909">
      <c r="AD909" s="46"/>
      <c r="AF909" s="47"/>
      <c r="AS909" s="48"/>
      <c r="AT909" s="49"/>
      <c r="AU909" s="50"/>
    </row>
    <row r="910">
      <c r="AD910" s="46"/>
      <c r="AF910" s="47"/>
      <c r="AS910" s="48"/>
      <c r="AT910" s="49"/>
      <c r="AU910" s="50"/>
    </row>
    <row r="911">
      <c r="AD911" s="46"/>
      <c r="AF911" s="47"/>
      <c r="AS911" s="48"/>
      <c r="AT911" s="49"/>
      <c r="AU911" s="50"/>
    </row>
    <row r="912">
      <c r="AD912" s="46"/>
      <c r="AF912" s="47"/>
      <c r="AS912" s="48"/>
      <c r="AT912" s="49"/>
      <c r="AU912" s="50"/>
    </row>
    <row r="913">
      <c r="AD913" s="46"/>
      <c r="AF913" s="47"/>
      <c r="AS913" s="48"/>
      <c r="AT913" s="49"/>
      <c r="AU913" s="50"/>
    </row>
    <row r="914">
      <c r="AD914" s="46"/>
      <c r="AF914" s="47"/>
      <c r="AS914" s="48"/>
      <c r="AT914" s="49"/>
      <c r="AU914" s="50"/>
    </row>
    <row r="915">
      <c r="AD915" s="46"/>
      <c r="AF915" s="47"/>
      <c r="AS915" s="48"/>
      <c r="AT915" s="49"/>
      <c r="AU915" s="50"/>
    </row>
    <row r="916">
      <c r="AD916" s="46"/>
      <c r="AF916" s="47"/>
      <c r="AS916" s="48"/>
      <c r="AT916" s="49"/>
      <c r="AU916" s="50"/>
    </row>
    <row r="917">
      <c r="AD917" s="46"/>
      <c r="AF917" s="47"/>
      <c r="AS917" s="48"/>
      <c r="AT917" s="49"/>
      <c r="AU917" s="50"/>
    </row>
    <row r="918">
      <c r="AD918" s="46"/>
      <c r="AF918" s="47"/>
      <c r="AS918" s="48"/>
      <c r="AT918" s="49"/>
      <c r="AU918" s="50"/>
    </row>
    <row r="919">
      <c r="AD919" s="46"/>
      <c r="AF919" s="47"/>
      <c r="AS919" s="48"/>
      <c r="AT919" s="49"/>
      <c r="AU919" s="50"/>
    </row>
    <row r="920">
      <c r="AD920" s="46"/>
      <c r="AF920" s="47"/>
      <c r="AS920" s="48"/>
      <c r="AT920" s="49"/>
      <c r="AU920" s="50"/>
    </row>
    <row r="921">
      <c r="AD921" s="46"/>
      <c r="AF921" s="47"/>
      <c r="AS921" s="48"/>
      <c r="AT921" s="49"/>
      <c r="AU921" s="50"/>
    </row>
    <row r="922">
      <c r="AD922" s="46"/>
      <c r="AF922" s="47"/>
      <c r="AS922" s="48"/>
      <c r="AT922" s="49"/>
      <c r="AU922" s="50"/>
    </row>
    <row r="923">
      <c r="AD923" s="46"/>
      <c r="AF923" s="47"/>
      <c r="AS923" s="48"/>
      <c r="AT923" s="49"/>
      <c r="AU923" s="50"/>
    </row>
    <row r="924">
      <c r="AD924" s="46"/>
      <c r="AF924" s="47"/>
      <c r="AS924" s="48"/>
      <c r="AT924" s="49"/>
      <c r="AU924" s="50"/>
    </row>
    <row r="925">
      <c r="AD925" s="46"/>
      <c r="AF925" s="47"/>
      <c r="AS925" s="48"/>
      <c r="AT925" s="49"/>
      <c r="AU925" s="50"/>
    </row>
    <row r="926">
      <c r="AD926" s="46"/>
      <c r="AF926" s="47"/>
      <c r="AS926" s="48"/>
      <c r="AT926" s="49"/>
      <c r="AU926" s="50"/>
    </row>
    <row r="927">
      <c r="AD927" s="46"/>
      <c r="AF927" s="47"/>
      <c r="AS927" s="48"/>
      <c r="AT927" s="49"/>
      <c r="AU927" s="50"/>
    </row>
    <row r="928">
      <c r="AD928" s="46"/>
      <c r="AF928" s="47"/>
      <c r="AS928" s="48"/>
      <c r="AT928" s="49"/>
      <c r="AU928" s="50"/>
    </row>
    <row r="929">
      <c r="AD929" s="46"/>
      <c r="AF929" s="47"/>
      <c r="AS929" s="48"/>
      <c r="AT929" s="49"/>
      <c r="AU929" s="50"/>
    </row>
    <row r="930">
      <c r="AD930" s="46"/>
      <c r="AF930" s="47"/>
      <c r="AS930" s="48"/>
      <c r="AT930" s="49"/>
      <c r="AU930" s="50"/>
    </row>
    <row r="931">
      <c r="AD931" s="46"/>
      <c r="AF931" s="47"/>
      <c r="AS931" s="48"/>
      <c r="AT931" s="49"/>
      <c r="AU931" s="50"/>
    </row>
    <row r="932">
      <c r="AD932" s="46"/>
      <c r="AF932" s="47"/>
      <c r="AS932" s="48"/>
      <c r="AT932" s="49"/>
      <c r="AU932" s="50"/>
    </row>
    <row r="933">
      <c r="AD933" s="46"/>
      <c r="AF933" s="47"/>
      <c r="AS933" s="48"/>
      <c r="AT933" s="49"/>
      <c r="AU933" s="50"/>
    </row>
    <row r="934">
      <c r="AD934" s="46"/>
      <c r="AF934" s="47"/>
      <c r="AS934" s="48"/>
      <c r="AT934" s="49"/>
      <c r="AU934" s="50"/>
    </row>
    <row r="935">
      <c r="AD935" s="46"/>
      <c r="AF935" s="47"/>
      <c r="AS935" s="48"/>
      <c r="AT935" s="49"/>
      <c r="AU935" s="50"/>
    </row>
    <row r="936">
      <c r="AD936" s="46"/>
      <c r="AF936" s="47"/>
      <c r="AS936" s="48"/>
      <c r="AT936" s="49"/>
      <c r="AU936" s="50"/>
    </row>
    <row r="937">
      <c r="AD937" s="46"/>
      <c r="AF937" s="47"/>
      <c r="AS937" s="48"/>
      <c r="AT937" s="49"/>
      <c r="AU937" s="50"/>
    </row>
    <row r="938">
      <c r="AD938" s="46"/>
      <c r="AF938" s="47"/>
      <c r="AS938" s="48"/>
      <c r="AT938" s="49"/>
      <c r="AU938" s="50"/>
    </row>
    <row r="939">
      <c r="AD939" s="46"/>
      <c r="AF939" s="47"/>
      <c r="AS939" s="48"/>
      <c r="AT939" s="49"/>
      <c r="AU939" s="50"/>
    </row>
    <row r="940">
      <c r="AD940" s="46"/>
      <c r="AF940" s="47"/>
      <c r="AS940" s="48"/>
      <c r="AT940" s="49"/>
      <c r="AU940" s="50"/>
    </row>
    <row r="941">
      <c r="AD941" s="46"/>
      <c r="AF941" s="47"/>
      <c r="AS941" s="48"/>
      <c r="AT941" s="49"/>
      <c r="AU941" s="50"/>
    </row>
    <row r="942">
      <c r="AD942" s="46"/>
      <c r="AF942" s="47"/>
      <c r="AS942" s="48"/>
      <c r="AT942" s="49"/>
      <c r="AU942" s="50"/>
    </row>
    <row r="943">
      <c r="AD943" s="46"/>
      <c r="AF943" s="47"/>
      <c r="AS943" s="48"/>
      <c r="AT943" s="49"/>
      <c r="AU943" s="50"/>
    </row>
    <row r="944">
      <c r="AD944" s="46"/>
      <c r="AF944" s="47"/>
      <c r="AS944" s="48"/>
      <c r="AT944" s="49"/>
      <c r="AU944" s="50"/>
    </row>
    <row r="945">
      <c r="AD945" s="46"/>
      <c r="AF945" s="47"/>
      <c r="AS945" s="48"/>
      <c r="AT945" s="49"/>
      <c r="AU945" s="50"/>
    </row>
    <row r="946">
      <c r="AD946" s="46"/>
      <c r="AF946" s="47"/>
      <c r="AS946" s="48"/>
      <c r="AT946" s="49"/>
      <c r="AU946" s="50"/>
    </row>
    <row r="947">
      <c r="AD947" s="46"/>
      <c r="AF947" s="47"/>
      <c r="AS947" s="48"/>
      <c r="AT947" s="49"/>
      <c r="AU947" s="50"/>
    </row>
    <row r="948">
      <c r="AD948" s="46"/>
      <c r="AF948" s="47"/>
      <c r="AS948" s="48"/>
      <c r="AT948" s="49"/>
      <c r="AU948" s="50"/>
    </row>
    <row r="949">
      <c r="AD949" s="46"/>
      <c r="AF949" s="47"/>
      <c r="AS949" s="48"/>
      <c r="AT949" s="49"/>
      <c r="AU949" s="50"/>
    </row>
    <row r="950">
      <c r="AD950" s="46"/>
      <c r="AF950" s="47"/>
      <c r="AS950" s="48"/>
      <c r="AT950" s="49"/>
      <c r="AU950" s="50"/>
    </row>
    <row r="951">
      <c r="AD951" s="46"/>
      <c r="AF951" s="47"/>
      <c r="AS951" s="48"/>
      <c r="AT951" s="49"/>
      <c r="AU951" s="50"/>
    </row>
    <row r="952">
      <c r="AD952" s="46"/>
      <c r="AF952" s="47"/>
      <c r="AS952" s="48"/>
      <c r="AT952" s="49"/>
      <c r="AU952" s="50"/>
    </row>
    <row r="953">
      <c r="AD953" s="46"/>
      <c r="AF953" s="47"/>
      <c r="AS953" s="48"/>
      <c r="AT953" s="49"/>
      <c r="AU953" s="50"/>
    </row>
    <row r="954">
      <c r="AD954" s="46"/>
      <c r="AF954" s="47"/>
      <c r="AS954" s="48"/>
      <c r="AT954" s="49"/>
      <c r="AU954" s="50"/>
    </row>
    <row r="955">
      <c r="AD955" s="46"/>
      <c r="AF955" s="47"/>
      <c r="AS955" s="48"/>
      <c r="AT955" s="49"/>
      <c r="AU955" s="50"/>
    </row>
    <row r="956">
      <c r="AD956" s="46"/>
      <c r="AF956" s="47"/>
      <c r="AS956" s="48"/>
      <c r="AT956" s="49"/>
      <c r="AU956" s="50"/>
    </row>
    <row r="957">
      <c r="AD957" s="46"/>
      <c r="AF957" s="47"/>
      <c r="AS957" s="48"/>
      <c r="AT957" s="49"/>
      <c r="AU957" s="50"/>
    </row>
    <row r="958">
      <c r="AD958" s="46"/>
      <c r="AF958" s="47"/>
      <c r="AS958" s="48"/>
      <c r="AT958" s="49"/>
      <c r="AU958" s="50"/>
    </row>
    <row r="959">
      <c r="AD959" s="46"/>
      <c r="AF959" s="47"/>
      <c r="AS959" s="48"/>
      <c r="AT959" s="49"/>
      <c r="AU959" s="50"/>
    </row>
    <row r="960">
      <c r="AD960" s="46"/>
      <c r="AF960" s="47"/>
      <c r="AS960" s="48"/>
      <c r="AT960" s="49"/>
      <c r="AU960" s="50"/>
    </row>
    <row r="961">
      <c r="AD961" s="46"/>
      <c r="AF961" s="47"/>
      <c r="AS961" s="48"/>
      <c r="AT961" s="49"/>
      <c r="AU961" s="50"/>
    </row>
    <row r="962">
      <c r="AD962" s="46"/>
      <c r="AF962" s="47"/>
      <c r="AS962" s="48"/>
      <c r="AT962" s="49"/>
      <c r="AU962" s="50"/>
    </row>
    <row r="963">
      <c r="AD963" s="46"/>
      <c r="AF963" s="47"/>
      <c r="AS963" s="48"/>
      <c r="AT963" s="49"/>
      <c r="AU963" s="50"/>
    </row>
    <row r="964">
      <c r="AD964" s="46"/>
      <c r="AF964" s="47"/>
      <c r="AS964" s="48"/>
      <c r="AT964" s="49"/>
      <c r="AU964" s="50"/>
    </row>
    <row r="965">
      <c r="AD965" s="46"/>
      <c r="AF965" s="47"/>
      <c r="AS965" s="48"/>
      <c r="AT965" s="49"/>
      <c r="AU965" s="50"/>
    </row>
    <row r="966">
      <c r="AD966" s="46"/>
      <c r="AF966" s="47"/>
      <c r="AS966" s="48"/>
      <c r="AT966" s="49"/>
      <c r="AU966" s="50"/>
    </row>
    <row r="967">
      <c r="AD967" s="46"/>
      <c r="AF967" s="47"/>
      <c r="AS967" s="48"/>
      <c r="AT967" s="49"/>
      <c r="AU967" s="50"/>
    </row>
    <row r="968">
      <c r="AD968" s="46"/>
      <c r="AF968" s="47"/>
      <c r="AS968" s="48"/>
      <c r="AT968" s="49"/>
      <c r="AU968" s="50"/>
    </row>
    <row r="969">
      <c r="AD969" s="46"/>
      <c r="AF969" s="47"/>
      <c r="AS969" s="48"/>
      <c r="AT969" s="49"/>
      <c r="AU969" s="50"/>
    </row>
    <row r="970">
      <c r="AD970" s="46"/>
      <c r="AF970" s="47"/>
      <c r="AS970" s="48"/>
      <c r="AT970" s="49"/>
      <c r="AU970" s="50"/>
    </row>
    <row r="971">
      <c r="AD971" s="46"/>
      <c r="AF971" s="47"/>
      <c r="AS971" s="48"/>
      <c r="AT971" s="49"/>
      <c r="AU971" s="50"/>
    </row>
    <row r="972">
      <c r="AD972" s="46"/>
      <c r="AF972" s="47"/>
      <c r="AS972" s="48"/>
      <c r="AT972" s="49"/>
      <c r="AU972" s="50"/>
    </row>
    <row r="973">
      <c r="AD973" s="46"/>
      <c r="AF973" s="47"/>
      <c r="AS973" s="48"/>
      <c r="AT973" s="49"/>
      <c r="AU973" s="50"/>
    </row>
    <row r="974">
      <c r="AD974" s="46"/>
      <c r="AF974" s="47"/>
      <c r="AS974" s="48"/>
      <c r="AT974" s="49"/>
      <c r="AU974" s="50"/>
    </row>
    <row r="975">
      <c r="AD975" s="46"/>
      <c r="AF975" s="47"/>
      <c r="AS975" s="48"/>
      <c r="AT975" s="49"/>
      <c r="AU975" s="50"/>
    </row>
    <row r="976">
      <c r="AD976" s="46"/>
      <c r="AF976" s="47"/>
      <c r="AS976" s="48"/>
      <c r="AT976" s="49"/>
      <c r="AU976" s="50"/>
    </row>
    <row r="977">
      <c r="AD977" s="46"/>
      <c r="AF977" s="47"/>
      <c r="AS977" s="48"/>
      <c r="AT977" s="49"/>
      <c r="AU977" s="50"/>
    </row>
    <row r="978">
      <c r="AD978" s="46"/>
      <c r="AF978" s="47"/>
      <c r="AS978" s="48"/>
      <c r="AT978" s="49"/>
      <c r="AU978" s="50"/>
    </row>
    <row r="979">
      <c r="AD979" s="46"/>
      <c r="AF979" s="47"/>
      <c r="AS979" s="48"/>
      <c r="AT979" s="49"/>
      <c r="AU979" s="50"/>
    </row>
    <row r="980">
      <c r="AD980" s="46"/>
      <c r="AF980" s="47"/>
      <c r="AS980" s="48"/>
      <c r="AT980" s="49"/>
      <c r="AU980" s="50"/>
    </row>
    <row r="981">
      <c r="AD981" s="46"/>
      <c r="AF981" s="47"/>
      <c r="AS981" s="48"/>
      <c r="AT981" s="49"/>
      <c r="AU981" s="50"/>
    </row>
    <row r="982">
      <c r="AD982" s="46"/>
      <c r="AF982" s="47"/>
      <c r="AS982" s="48"/>
      <c r="AT982" s="49"/>
      <c r="AU982" s="50"/>
    </row>
    <row r="983">
      <c r="AD983" s="46"/>
      <c r="AF983" s="47"/>
      <c r="AS983" s="48"/>
      <c r="AT983" s="49"/>
      <c r="AU983" s="50"/>
    </row>
    <row r="984">
      <c r="AD984" s="46"/>
      <c r="AF984" s="47"/>
      <c r="AS984" s="48"/>
      <c r="AT984" s="49"/>
      <c r="AU984" s="50"/>
    </row>
    <row r="985">
      <c r="AD985" s="46"/>
      <c r="AF985" s="47"/>
      <c r="AS985" s="48"/>
      <c r="AT985" s="49"/>
      <c r="AU985" s="50"/>
    </row>
    <row r="986">
      <c r="AD986" s="46"/>
      <c r="AF986" s="47"/>
      <c r="AS986" s="48"/>
      <c r="AT986" s="49"/>
      <c r="AU986" s="50"/>
    </row>
    <row r="987">
      <c r="AD987" s="46"/>
      <c r="AF987" s="47"/>
      <c r="AS987" s="48"/>
      <c r="AT987" s="49"/>
      <c r="AU987" s="50"/>
    </row>
    <row r="988">
      <c r="AD988" s="46"/>
      <c r="AF988" s="47"/>
      <c r="AS988" s="48"/>
      <c r="AT988" s="49"/>
      <c r="AU988" s="50"/>
    </row>
    <row r="989">
      <c r="AD989" s="46"/>
      <c r="AF989" s="47"/>
      <c r="AS989" s="48"/>
      <c r="AT989" s="49"/>
      <c r="AU989" s="50"/>
    </row>
    <row r="990">
      <c r="AD990" s="46"/>
      <c r="AF990" s="47"/>
      <c r="AS990" s="48"/>
      <c r="AT990" s="49"/>
      <c r="AU990" s="50"/>
    </row>
    <row r="991">
      <c r="AD991" s="46"/>
      <c r="AF991" s="47"/>
      <c r="AS991" s="48"/>
      <c r="AT991" s="49"/>
      <c r="AU991" s="50"/>
    </row>
    <row r="992">
      <c r="AD992" s="46"/>
      <c r="AF992" s="47"/>
      <c r="AS992" s="48"/>
      <c r="AT992" s="49"/>
      <c r="AU992" s="50"/>
    </row>
    <row r="993">
      <c r="AD993" s="46"/>
      <c r="AF993" s="47"/>
      <c r="AS993" s="48"/>
      <c r="AT993" s="49"/>
      <c r="AU993" s="50"/>
    </row>
    <row r="994">
      <c r="AD994" s="46"/>
      <c r="AF994" s="47"/>
      <c r="AS994" s="48"/>
      <c r="AT994" s="49"/>
      <c r="AU994" s="50"/>
    </row>
    <row r="995">
      <c r="AD995" s="46"/>
      <c r="AF995" s="47"/>
      <c r="AS995" s="48"/>
      <c r="AT995" s="49"/>
      <c r="AU995" s="50"/>
    </row>
    <row r="996">
      <c r="AD996" s="46"/>
      <c r="AF996" s="47"/>
      <c r="AS996" s="48"/>
      <c r="AT996" s="49"/>
      <c r="AU996" s="50"/>
    </row>
    <row r="997">
      <c r="AD997" s="46"/>
      <c r="AF997" s="47"/>
      <c r="AS997" s="48"/>
      <c r="AT997" s="49"/>
      <c r="AU997" s="50"/>
    </row>
    <row r="998">
      <c r="AD998" s="46"/>
      <c r="AF998" s="47"/>
      <c r="AS998" s="48"/>
      <c r="AT998" s="49"/>
      <c r="AU998" s="50"/>
    </row>
    <row r="999">
      <c r="AD999" s="46"/>
      <c r="AF999" s="47"/>
      <c r="AS999" s="48"/>
      <c r="AT999" s="49"/>
      <c r="AU999" s="50"/>
    </row>
    <row r="1000">
      <c r="AD1000" s="46"/>
      <c r="AF1000" s="47"/>
      <c r="AS1000" s="48"/>
      <c r="AT1000" s="49"/>
      <c r="AU1000" s="50"/>
    </row>
    <row r="1001">
      <c r="AD1001" s="46"/>
      <c r="AF1001" s="47"/>
      <c r="AS1001" s="48"/>
      <c r="AT1001" s="49"/>
      <c r="AU1001" s="50"/>
    </row>
  </sheetData>
  <mergeCells count="33">
    <mergeCell ref="P3:P4"/>
    <mergeCell ref="Q3:AA3"/>
    <mergeCell ref="AD3:AD4"/>
    <mergeCell ref="AE3:AE4"/>
    <mergeCell ref="AF3:AF4"/>
    <mergeCell ref="AG3:AG4"/>
    <mergeCell ref="AH3:AQ3"/>
    <mergeCell ref="AR3:AR4"/>
    <mergeCell ref="AS3:AS4"/>
    <mergeCell ref="AT3:AT4"/>
    <mergeCell ref="AU3:AU4"/>
    <mergeCell ref="AV3:AV4"/>
    <mergeCell ref="A1:N1"/>
    <mergeCell ref="O1:AV1"/>
    <mergeCell ref="A2:N2"/>
    <mergeCell ref="O2:AV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AB3:AB4"/>
    <mergeCell ref="AC3:AC4"/>
  </mergeCells>
  <drawing r:id="rId1"/>
</worksheet>
</file>