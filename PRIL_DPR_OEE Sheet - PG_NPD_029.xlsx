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okeshwara Rao M\Downloads\"/>
    </mc:Choice>
  </mc:AlternateContent>
  <xr:revisionPtr revIDLastSave="0" documentId="13_ncr:1_{D60D4455-0DEE-4CB4-AF49-C5C021BEBA47}" xr6:coauthVersionLast="45" xr6:coauthVersionMax="45" xr10:uidLastSave="{00000000-0000-0000-0000-000000000000}"/>
  <bookViews>
    <workbookView xWindow="-110" yWindow="-110" windowWidth="19420" windowHeight="11500" xr2:uid="{00000000-000D-0000-FFFF-FFFF00000000}"/>
  </bookViews>
  <sheets>
    <sheet name="DPR_O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30" i="1" l="1"/>
  <c r="AW30" i="1" s="1"/>
  <c r="AF30" i="1"/>
  <c r="Q30" i="1"/>
  <c r="J30" i="1"/>
  <c r="T30" i="1" s="1"/>
  <c r="A30" i="1"/>
  <c r="AV29" i="1"/>
  <c r="AW29" i="1" s="1"/>
  <c r="AF29" i="1"/>
  <c r="Q29" i="1"/>
  <c r="J29" i="1"/>
  <c r="T29" i="1" s="1"/>
  <c r="A29" i="1"/>
  <c r="AX28" i="1"/>
  <c r="AW28" i="1"/>
  <c r="AV28" i="1"/>
  <c r="AF28" i="1"/>
  <c r="Q28" i="1"/>
  <c r="J28" i="1"/>
  <c r="T28" i="1" s="1"/>
  <c r="AK28" i="1" s="1"/>
  <c r="A28" i="1"/>
  <c r="AV27" i="1"/>
  <c r="AX27" i="1" s="1"/>
  <c r="AF27" i="1"/>
  <c r="Q27" i="1"/>
  <c r="J27" i="1"/>
  <c r="T27" i="1" s="1"/>
  <c r="A27" i="1"/>
  <c r="AV26" i="1"/>
  <c r="AX26" i="1" s="1"/>
  <c r="AF26" i="1"/>
  <c r="T26" i="1"/>
  <c r="AG26" i="1" s="1"/>
  <c r="Q26" i="1"/>
  <c r="J26" i="1"/>
  <c r="A26" i="1"/>
  <c r="AV25" i="1"/>
  <c r="AX25" i="1" s="1"/>
  <c r="AF25" i="1"/>
  <c r="Q25" i="1"/>
  <c r="J25" i="1"/>
  <c r="T25" i="1" s="1"/>
  <c r="A25" i="1"/>
  <c r="AV24" i="1"/>
  <c r="AX24" i="1" s="1"/>
  <c r="AF24" i="1"/>
  <c r="T24" i="1"/>
  <c r="AK24" i="1" s="1"/>
  <c r="Q24" i="1"/>
  <c r="J24" i="1"/>
  <c r="A24" i="1"/>
  <c r="AV23" i="1"/>
  <c r="AX23" i="1" s="1"/>
  <c r="AF23" i="1"/>
  <c r="Q23" i="1"/>
  <c r="J23" i="1"/>
  <c r="T23" i="1" s="1"/>
  <c r="A23" i="1"/>
  <c r="AV22" i="1"/>
  <c r="AX22" i="1" s="1"/>
  <c r="AF22" i="1"/>
  <c r="T22" i="1"/>
  <c r="AK22" i="1" s="1"/>
  <c r="Q22" i="1"/>
  <c r="J22" i="1"/>
  <c r="A22" i="1"/>
  <c r="AV21" i="1"/>
  <c r="AX21" i="1" s="1"/>
  <c r="AF21" i="1"/>
  <c r="T21" i="1"/>
  <c r="AK21" i="1" s="1"/>
  <c r="Q21" i="1"/>
  <c r="J21" i="1"/>
  <c r="A21" i="1"/>
  <c r="AV20" i="1"/>
  <c r="AW20" i="1" s="1"/>
  <c r="AF20" i="1"/>
  <c r="Q20" i="1"/>
  <c r="J20" i="1"/>
  <c r="T20" i="1" s="1"/>
  <c r="AK20" i="1" s="1"/>
  <c r="A20" i="1"/>
  <c r="AV19" i="1"/>
  <c r="AX19" i="1" s="1"/>
  <c r="AF19" i="1"/>
  <c r="Q19" i="1"/>
  <c r="J19" i="1"/>
  <c r="T19" i="1" s="1"/>
  <c r="A19" i="1"/>
  <c r="AX18" i="1"/>
  <c r="AW18" i="1"/>
  <c r="AV18" i="1"/>
  <c r="AF18" i="1"/>
  <c r="Q18" i="1"/>
  <c r="J18" i="1"/>
  <c r="T18" i="1" s="1"/>
  <c r="A18" i="1"/>
  <c r="AW17" i="1"/>
  <c r="AV17" i="1"/>
  <c r="AX17" i="1" s="1"/>
  <c r="AF17" i="1"/>
  <c r="Q17" i="1"/>
  <c r="J17" i="1"/>
  <c r="T17" i="1" s="1"/>
  <c r="AK17" i="1" s="1"/>
  <c r="A17" i="1"/>
  <c r="AV16" i="1"/>
  <c r="AX16" i="1" s="1"/>
  <c r="AF16" i="1"/>
  <c r="Q16" i="1"/>
  <c r="J16" i="1"/>
  <c r="T16" i="1" s="1"/>
  <c r="AK16" i="1" s="1"/>
  <c r="A16" i="1"/>
  <c r="AV15" i="1"/>
  <c r="AX15" i="1" s="1"/>
  <c r="AF15" i="1"/>
  <c r="Q15" i="1"/>
  <c r="J15" i="1"/>
  <c r="T15" i="1" s="1"/>
  <c r="A15" i="1"/>
  <c r="AV14" i="1"/>
  <c r="AW14" i="1" s="1"/>
  <c r="AF14" i="1"/>
  <c r="Q14" i="1"/>
  <c r="J14" i="1"/>
  <c r="T14" i="1" s="1"/>
  <c r="A14" i="1"/>
  <c r="AX13" i="1"/>
  <c r="AV13" i="1"/>
  <c r="AW13" i="1" s="1"/>
  <c r="AF13" i="1"/>
  <c r="Q13" i="1"/>
  <c r="J13" i="1"/>
  <c r="T13" i="1" s="1"/>
  <c r="AK13" i="1" s="1"/>
  <c r="A13" i="1"/>
  <c r="AV12" i="1"/>
  <c r="AX12" i="1" s="1"/>
  <c r="AF12" i="1"/>
  <c r="Q12" i="1"/>
  <c r="J12" i="1"/>
  <c r="T12" i="1" s="1"/>
  <c r="AK12" i="1" s="1"/>
  <c r="A12" i="1"/>
  <c r="AV11" i="1"/>
  <c r="AX11" i="1" s="1"/>
  <c r="AF11" i="1"/>
  <c r="Q11" i="1"/>
  <c r="J11" i="1"/>
  <c r="T11" i="1" s="1"/>
  <c r="A11" i="1"/>
  <c r="AV10" i="1"/>
  <c r="AW10" i="1" s="1"/>
  <c r="AF10" i="1"/>
  <c r="Q10" i="1"/>
  <c r="J10" i="1"/>
  <c r="T10" i="1" s="1"/>
  <c r="A10" i="1"/>
  <c r="AV9" i="1"/>
  <c r="AX9" i="1" s="1"/>
  <c r="AF9" i="1"/>
  <c r="Q9" i="1"/>
  <c r="J9" i="1"/>
  <c r="T9" i="1" s="1"/>
  <c r="AK9" i="1" s="1"/>
  <c r="A9" i="1"/>
  <c r="AV8" i="1"/>
  <c r="AX8" i="1" s="1"/>
  <c r="AF8" i="1"/>
  <c r="T8" i="1"/>
  <c r="AK8" i="1" s="1"/>
  <c r="Q8" i="1"/>
  <c r="J8" i="1"/>
  <c r="A8" i="1"/>
  <c r="AV7" i="1"/>
  <c r="AX7" i="1" s="1"/>
  <c r="AF7" i="1"/>
  <c r="Q7" i="1"/>
  <c r="J7" i="1"/>
  <c r="T7" i="1" s="1"/>
  <c r="A7" i="1"/>
  <c r="AV6" i="1"/>
  <c r="AX6" i="1" s="1"/>
  <c r="AF6" i="1"/>
  <c r="T6" i="1"/>
  <c r="AK6" i="1" s="1"/>
  <c r="Q6" i="1"/>
  <c r="J6" i="1"/>
  <c r="A6" i="1"/>
  <c r="AV5" i="1"/>
  <c r="AX5" i="1" s="1"/>
  <c r="AF5" i="1"/>
  <c r="T5" i="1"/>
  <c r="AK5" i="1" s="1"/>
  <c r="Q5" i="1"/>
  <c r="J5" i="1"/>
  <c r="A5" i="1"/>
  <c r="AK10" i="1" l="1"/>
  <c r="AG10" i="1"/>
  <c r="AK14" i="1"/>
  <c r="AG14" i="1"/>
  <c r="AK18" i="1"/>
  <c r="AG18" i="1"/>
  <c r="AK25" i="1"/>
  <c r="AG25" i="1"/>
  <c r="AI25" i="1" s="1"/>
  <c r="AJ25" i="1" s="1"/>
  <c r="AW5" i="1"/>
  <c r="AX14" i="1"/>
  <c r="AW21" i="1"/>
  <c r="AW24" i="1"/>
  <c r="AW6" i="1"/>
  <c r="AW22" i="1"/>
  <c r="AG5" i="1"/>
  <c r="AW9" i="1"/>
  <c r="AG21" i="1"/>
  <c r="AI21" i="1" s="1"/>
  <c r="AJ21" i="1" s="1"/>
  <c r="AG22" i="1"/>
  <c r="AG17" i="1"/>
  <c r="AW25" i="1"/>
  <c r="AW26" i="1"/>
  <c r="AX10" i="1"/>
  <c r="AG13" i="1"/>
  <c r="AH13" i="1" s="1"/>
  <c r="AG9" i="1"/>
  <c r="AI9" i="1" s="1"/>
  <c r="AJ9" i="1" s="1"/>
  <c r="AG6" i="1"/>
  <c r="AX30" i="1"/>
  <c r="AK7" i="1"/>
  <c r="AG7" i="1"/>
  <c r="AG15" i="1"/>
  <c r="AK15" i="1"/>
  <c r="AG27" i="1"/>
  <c r="AK27" i="1"/>
  <c r="AG11" i="1"/>
  <c r="AK11" i="1"/>
  <c r="AI26" i="1"/>
  <c r="AJ26" i="1" s="1"/>
  <c r="AH26" i="1"/>
  <c r="AG30" i="1"/>
  <c r="AK30" i="1"/>
  <c r="AH21" i="1"/>
  <c r="AG23" i="1"/>
  <c r="AK23" i="1"/>
  <c r="AI17" i="1"/>
  <c r="AJ17" i="1" s="1"/>
  <c r="AH17" i="1"/>
  <c r="AG19" i="1"/>
  <c r="AK19" i="1"/>
  <c r="AK29" i="1"/>
  <c r="AG29" i="1"/>
  <c r="AH5" i="1"/>
  <c r="AI5" i="1"/>
  <c r="AJ5" i="1" s="1"/>
  <c r="AX29" i="1"/>
  <c r="AW8" i="1"/>
  <c r="AW16" i="1"/>
  <c r="AX20" i="1"/>
  <c r="AW7" i="1"/>
  <c r="AG8" i="1"/>
  <c r="AW11" i="1"/>
  <c r="AG12" i="1"/>
  <c r="AW15" i="1"/>
  <c r="AG16" i="1"/>
  <c r="AW19" i="1"/>
  <c r="AG20" i="1"/>
  <c r="AW23" i="1"/>
  <c r="AG24" i="1"/>
  <c r="AK26" i="1"/>
  <c r="AW27" i="1"/>
  <c r="AG28" i="1"/>
  <c r="AW12" i="1"/>
  <c r="AY13" i="1" l="1"/>
  <c r="AH18" i="1"/>
  <c r="AY18" i="1" s="1"/>
  <c r="AI18" i="1"/>
  <c r="AJ18" i="1" s="1"/>
  <c r="AH9" i="1"/>
  <c r="AY9" i="1" s="1"/>
  <c r="AI13" i="1"/>
  <c r="AJ13" i="1" s="1"/>
  <c r="AH25" i="1"/>
  <c r="AY25" i="1" s="1"/>
  <c r="AY21" i="1"/>
  <c r="AH14" i="1"/>
  <c r="AY14" i="1" s="1"/>
  <c r="AI14" i="1"/>
  <c r="AJ14" i="1" s="1"/>
  <c r="AI10" i="1"/>
  <c r="AJ10" i="1" s="1"/>
  <c r="AH10" i="1"/>
  <c r="AI22" i="1"/>
  <c r="AJ22" i="1" s="1"/>
  <c r="AH22" i="1"/>
  <c r="AI6" i="1"/>
  <c r="AJ6" i="1" s="1"/>
  <c r="AH6" i="1"/>
  <c r="AY6" i="1" s="1"/>
  <c r="AY26" i="1"/>
  <c r="AY5" i="1"/>
  <c r="AI29" i="1"/>
  <c r="AJ29" i="1" s="1"/>
  <c r="AH29" i="1"/>
  <c r="AI23" i="1"/>
  <c r="AJ23" i="1" s="1"/>
  <c r="AH23" i="1"/>
  <c r="AI11" i="1"/>
  <c r="AJ11" i="1" s="1"/>
  <c r="AH11" i="1"/>
  <c r="AY11" i="1" s="1"/>
  <c r="AI15" i="1"/>
  <c r="AJ15" i="1" s="1"/>
  <c r="AH15" i="1"/>
  <c r="AI16" i="1"/>
  <c r="AJ16" i="1" s="1"/>
  <c r="AH16" i="1"/>
  <c r="AI20" i="1"/>
  <c r="AJ20" i="1" s="1"/>
  <c r="AH20" i="1"/>
  <c r="AI27" i="1"/>
  <c r="AJ27" i="1" s="1"/>
  <c r="AH27" i="1"/>
  <c r="AY27" i="1" s="1"/>
  <c r="AI24" i="1"/>
  <c r="AJ24" i="1" s="1"/>
  <c r="AH24" i="1"/>
  <c r="AI8" i="1"/>
  <c r="AJ8" i="1" s="1"/>
  <c r="AH8" i="1"/>
  <c r="AI28" i="1"/>
  <c r="AJ28" i="1" s="1"/>
  <c r="AH28" i="1"/>
  <c r="AI19" i="1"/>
  <c r="AJ19" i="1" s="1"/>
  <c r="AH19" i="1"/>
  <c r="AY19" i="1" s="1"/>
  <c r="AI7" i="1"/>
  <c r="AJ7" i="1" s="1"/>
  <c r="AH7" i="1"/>
  <c r="AI12" i="1"/>
  <c r="AJ12" i="1" s="1"/>
  <c r="AH12" i="1"/>
  <c r="AY17" i="1"/>
  <c r="AI30" i="1"/>
  <c r="AJ30" i="1" s="1"/>
  <c r="AH30" i="1"/>
  <c r="AY30" i="1" s="1"/>
  <c r="AY28" i="1" l="1"/>
  <c r="AY20" i="1"/>
  <c r="AY23" i="1"/>
  <c r="AY22" i="1"/>
  <c r="AY10" i="1"/>
  <c r="AY7" i="1"/>
  <c r="AY24" i="1"/>
  <c r="AY15" i="1"/>
  <c r="AY12" i="1"/>
  <c r="AY8" i="1"/>
  <c r="AY16" i="1"/>
  <c r="AY29" i="1"/>
</calcChain>
</file>

<file path=xl/sharedStrings.xml><?xml version="1.0" encoding="utf-8"?>
<sst xmlns="http://schemas.openxmlformats.org/spreadsheetml/2006/main" count="68" uniqueCount="61">
  <si>
    <t>PATIL RAIL INFRASTRUCTURE PVT. LTD.</t>
  </si>
  <si>
    <t>DAILY PRODUCTION REPORT WITH OEE</t>
  </si>
  <si>
    <t>S.No.</t>
  </si>
  <si>
    <t>Date</t>
  </si>
  <si>
    <t>Shift</t>
  </si>
  <si>
    <t>Start Time</t>
  </si>
  <si>
    <t>Stop Time</t>
  </si>
  <si>
    <t>Shift Time (Minutes)</t>
  </si>
  <si>
    <t>Operator Name</t>
  </si>
  <si>
    <t xml:space="preserve">Part Name </t>
  </si>
  <si>
    <t>Part No.</t>
  </si>
  <si>
    <t>Cavity</t>
  </si>
  <si>
    <t>Cycle Time (Sec.)</t>
  </si>
  <si>
    <t>Target Qty./Hr. (Pcs.)</t>
  </si>
  <si>
    <t>Planned Down Time (Tea/Lunch)</t>
  </si>
  <si>
    <t>Available Time</t>
  </si>
  <si>
    <t>Reason of Idle Time (Unplanned BD Time in Minutes)</t>
  </si>
  <si>
    <t>Total Idle Time (Minutes)</t>
  </si>
  <si>
    <t>Total Run Time (Minutes)</t>
  </si>
  <si>
    <t>Availability Ratio (A)</t>
  </si>
  <si>
    <t>Actual Qty./ Hr.</t>
  </si>
  <si>
    <t>Operator Efficiency (Performance Ratio) - (P)</t>
  </si>
  <si>
    <t>Machine Efficiency (Machine Utilisation)</t>
  </si>
  <si>
    <t>Reason of  Rejection (Qty. in Pcs.)</t>
  </si>
  <si>
    <t>Total Rejection (Pcs Qty.)</t>
  </si>
  <si>
    <t>Rejection PPM</t>
  </si>
  <si>
    <t>Quantity Ratio (Q)</t>
  </si>
  <si>
    <t>OEE (A*P*Q)</t>
  </si>
  <si>
    <t>Any Other Remarks</t>
  </si>
  <si>
    <t>1.Manpower Shortage</t>
  </si>
  <si>
    <t>2. Mould Trial</t>
  </si>
  <si>
    <t>3. Bin Shortage</t>
  </si>
  <si>
    <t>4. Material Shortage</t>
  </si>
  <si>
    <t>5. M/c Under BD</t>
  </si>
  <si>
    <t>6. Nozzle Block</t>
  </si>
  <si>
    <t>7. Mould Problem</t>
  </si>
  <si>
    <t>8. Crystal/ Insert Shortage</t>
  </si>
  <si>
    <t>9. Power Failure</t>
  </si>
  <si>
    <t xml:space="preserve">10. Process Setting </t>
  </si>
  <si>
    <t>11. Others</t>
  </si>
  <si>
    <t>A. Short Moulding</t>
  </si>
  <si>
    <t>B. Shrinkage Mark</t>
  </si>
  <si>
    <t>C. Silver Streak</t>
  </si>
  <si>
    <t>D. Flow Mark</t>
  </si>
  <si>
    <t>E. Weld Line</t>
  </si>
  <si>
    <t>F. Dent Mark</t>
  </si>
  <si>
    <t>G. Power Cut</t>
  </si>
  <si>
    <t>H. Black Marks</t>
  </si>
  <si>
    <t>I. Crack Marks</t>
  </si>
  <si>
    <t>J. Others</t>
  </si>
  <si>
    <t>A</t>
  </si>
  <si>
    <t>M001</t>
  </si>
  <si>
    <t>ABC</t>
  </si>
  <si>
    <t>RGP</t>
  </si>
  <si>
    <t>PD001</t>
  </si>
  <si>
    <t>Machine No.</t>
  </si>
  <si>
    <t>Machine Name</t>
  </si>
  <si>
    <t>Production Hour</t>
  </si>
  <si>
    <t>Shift Incharge</t>
  </si>
  <si>
    <t>Material Name</t>
  </si>
  <si>
    <t>Actual Production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</si>
</sst>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%"/>
  </numFmts>
  <fonts count="6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11" borderId="16" xfId="0" applyFont="1" applyFill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10" fontId="4" fillId="6" borderId="16" xfId="0" applyNumberFormat="1" applyFont="1" applyFill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10" fontId="4" fillId="7" borderId="16" xfId="0" applyNumberFormat="1" applyFont="1" applyFill="1" applyBorder="1" applyAlignment="1">
      <alignment horizontal="center" vertical="center" wrapText="1"/>
    </xf>
    <xf numFmtId="10" fontId="4" fillId="0" borderId="16" xfId="0" applyNumberFormat="1" applyFont="1" applyBorder="1" applyAlignment="1">
      <alignment horizontal="center" vertical="center" wrapText="1"/>
    </xf>
    <xf numFmtId="1" fontId="4" fillId="8" borderId="16" xfId="0" applyNumberFormat="1" applyFont="1" applyFill="1" applyBorder="1" applyAlignment="1">
      <alignment horizontal="center" vertical="center" wrapText="1"/>
    </xf>
    <xf numFmtId="165" fontId="4" fillId="9" borderId="16" xfId="0" applyNumberFormat="1" applyFont="1" applyFill="1" applyBorder="1" applyAlignment="1">
      <alignment horizontal="center" vertical="center" wrapText="1"/>
    </xf>
    <xf numFmtId="165" fontId="4" fillId="10" borderId="16" xfId="0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0" fontId="4" fillId="6" borderId="21" xfId="0" applyNumberFormat="1" applyFont="1" applyFill="1" applyBorder="1" applyAlignment="1">
      <alignment horizontal="center" vertical="center" wrapText="1"/>
    </xf>
    <xf numFmtId="10" fontId="4" fillId="7" borderId="21" xfId="0" applyNumberFormat="1" applyFont="1" applyFill="1" applyBorder="1" applyAlignment="1">
      <alignment horizontal="center" vertical="center" wrapText="1"/>
    </xf>
    <xf numFmtId="10" fontId="4" fillId="0" borderId="21" xfId="0" applyNumberFormat="1" applyFont="1" applyBorder="1" applyAlignment="1">
      <alignment horizontal="center" vertical="center" wrapText="1"/>
    </xf>
    <xf numFmtId="1" fontId="4" fillId="8" borderId="21" xfId="0" applyNumberFormat="1" applyFont="1" applyFill="1" applyBorder="1" applyAlignment="1">
      <alignment horizontal="center" vertical="center" wrapText="1"/>
    </xf>
    <xf numFmtId="165" fontId="4" fillId="9" borderId="21" xfId="0" applyNumberFormat="1" applyFont="1" applyFill="1" applyBorder="1" applyAlignment="1">
      <alignment horizontal="center" vertical="center" wrapText="1"/>
    </xf>
    <xf numFmtId="165" fontId="4" fillId="10" borderId="21" xfId="0" applyNumberFormat="1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4" borderId="12" xfId="0" applyFont="1" applyFill="1" applyBorder="1" applyAlignment="1">
      <alignment horizontal="center" vertical="center" textRotation="90" wrapText="1"/>
    </xf>
    <xf numFmtId="0" fontId="2" fillId="0" borderId="15" xfId="0" applyFont="1" applyBorder="1"/>
    <xf numFmtId="0" fontId="3" fillId="5" borderId="9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6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3" fillId="4" borderId="11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3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01"/>
  <sheetViews>
    <sheetView tabSelected="1" workbookViewId="0">
      <pane xSplit="18" topLeftCell="AO1" activePane="topRight" state="frozen"/>
      <selection pane="topRight" activeCell="R3" sqref="R3:R4"/>
    </sheetView>
  </sheetViews>
  <sheetFormatPr defaultColWidth="12.5703125" defaultRowHeight="15.75" customHeight="1" x14ac:dyDescent="0.2"/>
  <cols>
    <col min="1" max="1" width="7.140625" customWidth="1"/>
    <col min="2" max="3" width="9.140625" customWidth="1"/>
    <col min="4" max="6" width="4.7109375" customWidth="1"/>
    <col min="7" max="7" width="9.42578125" customWidth="1"/>
    <col min="8" max="9" width="6.5703125" customWidth="1"/>
    <col min="10" max="11" width="8.42578125" customWidth="1"/>
    <col min="12" max="12" width="8.28515625" customWidth="1"/>
    <col min="13" max="14" width="7.5703125" customWidth="1"/>
    <col min="15" max="15" width="5.85546875" customWidth="1"/>
    <col min="16" max="18" width="7" customWidth="1"/>
    <col min="19" max="20" width="6.140625" customWidth="1"/>
    <col min="21" max="31" width="5.5703125" customWidth="1"/>
    <col min="32" max="35" width="8.42578125" customWidth="1"/>
    <col min="36" max="36" width="9.42578125" customWidth="1"/>
    <col min="37" max="37" width="9.85546875" customWidth="1"/>
    <col min="38" max="47" width="4.5703125" customWidth="1"/>
    <col min="48" max="48" width="7.85546875" customWidth="1"/>
    <col min="49" max="49" width="8.5703125" customWidth="1"/>
    <col min="50" max="52" width="7.85546875" customWidth="1"/>
  </cols>
  <sheetData>
    <row r="1" spans="1:52" ht="12.75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  <c r="S1" s="44" t="s">
        <v>0</v>
      </c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5"/>
    </row>
    <row r="2" spans="1:52" ht="12.75" x14ac:dyDescent="0.2">
      <c r="A2" s="46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47" t="s">
        <v>1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48"/>
    </row>
    <row r="3" spans="1:52" ht="12.75" x14ac:dyDescent="0.2">
      <c r="A3" s="49" t="s">
        <v>2</v>
      </c>
      <c r="B3" s="34" t="s">
        <v>3</v>
      </c>
      <c r="C3" s="34" t="s">
        <v>57</v>
      </c>
      <c r="D3" s="34" t="s">
        <v>4</v>
      </c>
      <c r="E3" s="34" t="s">
        <v>56</v>
      </c>
      <c r="F3" s="34" t="s">
        <v>59</v>
      </c>
      <c r="G3" s="34" t="s">
        <v>55</v>
      </c>
      <c r="H3" s="34" t="s">
        <v>5</v>
      </c>
      <c r="I3" s="34" t="s">
        <v>6</v>
      </c>
      <c r="J3" s="34" t="s">
        <v>7</v>
      </c>
      <c r="K3" s="34" t="s">
        <v>58</v>
      </c>
      <c r="L3" s="34" t="s">
        <v>8</v>
      </c>
      <c r="M3" s="34" t="s">
        <v>9</v>
      </c>
      <c r="N3" s="34" t="s">
        <v>10</v>
      </c>
      <c r="O3" s="34" t="s">
        <v>11</v>
      </c>
      <c r="P3" s="34" t="s">
        <v>12</v>
      </c>
      <c r="Q3" s="34" t="s">
        <v>13</v>
      </c>
      <c r="R3" s="34" t="s">
        <v>60</v>
      </c>
      <c r="S3" s="28" t="s">
        <v>14</v>
      </c>
      <c r="T3" s="28" t="s">
        <v>15</v>
      </c>
      <c r="U3" s="30" t="s">
        <v>16</v>
      </c>
      <c r="V3" s="31"/>
      <c r="W3" s="31"/>
      <c r="X3" s="31"/>
      <c r="Y3" s="31"/>
      <c r="Z3" s="31"/>
      <c r="AA3" s="31"/>
      <c r="AB3" s="31"/>
      <c r="AC3" s="31"/>
      <c r="AD3" s="31"/>
      <c r="AE3" s="32"/>
      <c r="AF3" s="34" t="s">
        <v>17</v>
      </c>
      <c r="AG3" s="34" t="s">
        <v>18</v>
      </c>
      <c r="AH3" s="33" t="s">
        <v>19</v>
      </c>
      <c r="AI3" s="34" t="s">
        <v>20</v>
      </c>
      <c r="AJ3" s="35" t="s">
        <v>21</v>
      </c>
      <c r="AK3" s="34" t="s">
        <v>22</v>
      </c>
      <c r="AL3" s="30" t="s">
        <v>23</v>
      </c>
      <c r="AM3" s="31"/>
      <c r="AN3" s="31"/>
      <c r="AO3" s="31"/>
      <c r="AP3" s="31"/>
      <c r="AQ3" s="31"/>
      <c r="AR3" s="31"/>
      <c r="AS3" s="31"/>
      <c r="AT3" s="31"/>
      <c r="AU3" s="32"/>
      <c r="AV3" s="34" t="s">
        <v>24</v>
      </c>
      <c r="AW3" s="36" t="s">
        <v>25</v>
      </c>
      <c r="AX3" s="37" t="s">
        <v>26</v>
      </c>
      <c r="AY3" s="38" t="s">
        <v>27</v>
      </c>
      <c r="AZ3" s="39" t="s">
        <v>28</v>
      </c>
    </row>
    <row r="4" spans="1:52" ht="87" customHeight="1" x14ac:dyDescent="0.2">
      <c r="A4" s="50"/>
      <c r="B4" s="29"/>
      <c r="C4" s="29"/>
      <c r="D4" s="29"/>
      <c r="E4" s="29"/>
      <c r="F4" s="51"/>
      <c r="G4" s="29"/>
      <c r="H4" s="29"/>
      <c r="I4" s="29"/>
      <c r="J4" s="29"/>
      <c r="K4" s="51"/>
      <c r="L4" s="29"/>
      <c r="M4" s="29"/>
      <c r="N4" s="29"/>
      <c r="O4" s="29"/>
      <c r="P4" s="29"/>
      <c r="Q4" s="29"/>
      <c r="R4" s="29"/>
      <c r="S4" s="29"/>
      <c r="T4" s="29"/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29"/>
      <c r="AG4" s="29"/>
      <c r="AH4" s="29"/>
      <c r="AI4" s="29"/>
      <c r="AJ4" s="29"/>
      <c r="AK4" s="29"/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29"/>
      <c r="AW4" s="29"/>
      <c r="AX4" s="29"/>
      <c r="AY4" s="29"/>
      <c r="AZ4" s="40"/>
    </row>
    <row r="5" spans="1:52" ht="12.75" x14ac:dyDescent="0.2">
      <c r="A5" s="2">
        <f t="shared" ref="A5:A30" si="0">ROW(A5)-3</f>
        <v>2</v>
      </c>
      <c r="B5" s="3">
        <v>46242</v>
      </c>
      <c r="C5" s="3"/>
      <c r="D5" s="4" t="s">
        <v>50</v>
      </c>
      <c r="E5" s="4"/>
      <c r="F5" s="4"/>
      <c r="G5" s="4" t="s">
        <v>51</v>
      </c>
      <c r="H5" s="5">
        <v>0.35416666666666669</v>
      </c>
      <c r="I5" s="5">
        <v>0.85416666666666663</v>
      </c>
      <c r="J5" s="4">
        <f t="shared" ref="J5:J30" si="1">IFERROR((I5-H5)*24*60,"")</f>
        <v>719.99999999999989</v>
      </c>
      <c r="K5" s="4"/>
      <c r="L5" s="4" t="s">
        <v>52</v>
      </c>
      <c r="M5" s="4" t="s">
        <v>53</v>
      </c>
      <c r="N5" s="4" t="s">
        <v>54</v>
      </c>
      <c r="O5" s="4">
        <v>2</v>
      </c>
      <c r="P5" s="4">
        <v>60</v>
      </c>
      <c r="Q5" s="4">
        <f>IFERROR(3600/(P5/O5),"")</f>
        <v>120</v>
      </c>
      <c r="R5" s="4">
        <v>1200</v>
      </c>
      <c r="S5" s="4">
        <v>60</v>
      </c>
      <c r="T5" s="4">
        <f>IFERROR(J5-S5,"")</f>
        <v>659.99999999999989</v>
      </c>
      <c r="U5" s="4"/>
      <c r="V5" s="4"/>
      <c r="W5" s="4"/>
      <c r="X5" s="4"/>
      <c r="Y5" s="4">
        <v>20</v>
      </c>
      <c r="Z5" s="4"/>
      <c r="AA5" s="4"/>
      <c r="AB5" s="4"/>
      <c r="AC5" s="4"/>
      <c r="AD5" s="4"/>
      <c r="AE5" s="4"/>
      <c r="AF5" s="4">
        <f t="shared" ref="AF5:AF30" si="2">SUM(U5:AE5)</f>
        <v>20</v>
      </c>
      <c r="AG5" s="4">
        <f t="shared" ref="AG5:AG30" si="3">T5-AF5</f>
        <v>639.99999999999989</v>
      </c>
      <c r="AH5" s="6">
        <f t="shared" ref="AH5:AH30" si="4">IFERROR(AG5/T5,"")</f>
        <v>0.96969696969696972</v>
      </c>
      <c r="AI5" s="7">
        <f t="shared" ref="AI5:AI30" si="5">IFERROR(R5/AG5*60,"")</f>
        <v>112.50000000000003</v>
      </c>
      <c r="AJ5" s="8">
        <f t="shared" ref="AJ5:AJ30" si="6">IFERROR(AI5/Q5,"")</f>
        <v>0.93750000000000022</v>
      </c>
      <c r="AK5" s="9">
        <f t="shared" ref="AK5:AK30" si="7">IFERROR(R5/(T5/60*Q5),"")</f>
        <v>0.90909090909090928</v>
      </c>
      <c r="AL5" s="4">
        <v>1</v>
      </c>
      <c r="AM5" s="4">
        <v>2</v>
      </c>
      <c r="AN5" s="4">
        <v>3</v>
      </c>
      <c r="AO5" s="4">
        <v>5</v>
      </c>
      <c r="AP5" s="4">
        <v>4</v>
      </c>
      <c r="AQ5" s="4"/>
      <c r="AR5" s="4"/>
      <c r="AS5" s="4"/>
      <c r="AT5" s="4"/>
      <c r="AU5" s="4"/>
      <c r="AV5" s="4">
        <f t="shared" ref="AV5:AV30" si="8">SUM(AL5:AU5)</f>
        <v>15</v>
      </c>
      <c r="AW5" s="10">
        <f t="shared" ref="AW5:AW30" si="9">IFERROR(AV5/R5*1000000,"")</f>
        <v>12500</v>
      </c>
      <c r="AX5" s="11">
        <f t="shared" ref="AX5:AX30" si="10">IFERROR((R5-AV5)/R5,"")</f>
        <v>0.98750000000000004</v>
      </c>
      <c r="AY5" s="12">
        <f t="shared" ref="AY5:AY30" si="11">IFERROR(AH5*AJ5*AX5,"")</f>
        <v>0.89772727272727293</v>
      </c>
      <c r="AZ5" s="13"/>
    </row>
    <row r="6" spans="1:52" ht="12.75" x14ac:dyDescent="0.2">
      <c r="A6" s="2">
        <f t="shared" si="0"/>
        <v>3</v>
      </c>
      <c r="B6" s="3">
        <v>46242</v>
      </c>
      <c r="C6" s="3"/>
      <c r="D6" s="4" t="s">
        <v>50</v>
      </c>
      <c r="E6" s="4"/>
      <c r="F6" s="4"/>
      <c r="G6" s="4" t="s">
        <v>51</v>
      </c>
      <c r="H6" s="5">
        <v>0.35416666666666669</v>
      </c>
      <c r="I6" s="5">
        <v>0.85416666666666663</v>
      </c>
      <c r="J6" s="4">
        <f t="shared" si="1"/>
        <v>719.99999999999989</v>
      </c>
      <c r="K6" s="4"/>
      <c r="L6" s="4" t="s">
        <v>52</v>
      </c>
      <c r="M6" s="4" t="s">
        <v>53</v>
      </c>
      <c r="N6" s="4" t="s">
        <v>54</v>
      </c>
      <c r="O6" s="4">
        <v>2</v>
      </c>
      <c r="P6" s="4">
        <v>60</v>
      </c>
      <c r="Q6" s="4">
        <f>IFERROR(3600/(P6/O6),"")</f>
        <v>120</v>
      </c>
      <c r="R6" s="4">
        <v>1100</v>
      </c>
      <c r="S6" s="4">
        <v>30</v>
      </c>
      <c r="T6" s="4">
        <f>IFERROR(J6-S6,"")</f>
        <v>689.99999999999989</v>
      </c>
      <c r="U6" s="4"/>
      <c r="V6" s="4"/>
      <c r="W6" s="4">
        <v>20</v>
      </c>
      <c r="X6" s="4"/>
      <c r="Y6" s="4"/>
      <c r="Z6" s="4"/>
      <c r="AA6" s="4"/>
      <c r="AB6" s="4"/>
      <c r="AC6" s="4"/>
      <c r="AD6" s="4"/>
      <c r="AE6" s="4"/>
      <c r="AF6" s="4">
        <f t="shared" si="2"/>
        <v>20</v>
      </c>
      <c r="AG6" s="4">
        <f t="shared" si="3"/>
        <v>669.99999999999989</v>
      </c>
      <c r="AH6" s="6">
        <f t="shared" si="4"/>
        <v>0.97101449275362317</v>
      </c>
      <c r="AI6" s="7">
        <f t="shared" si="5"/>
        <v>98.50746268656718</v>
      </c>
      <c r="AJ6" s="8">
        <f t="shared" si="6"/>
        <v>0.82089552238805985</v>
      </c>
      <c r="AK6" s="9">
        <f t="shared" si="7"/>
        <v>0.79710144927536242</v>
      </c>
      <c r="AL6" s="4"/>
      <c r="AM6" s="4"/>
      <c r="AN6" s="4"/>
      <c r="AO6" s="4"/>
      <c r="AP6" s="4"/>
      <c r="AQ6" s="4">
        <v>4</v>
      </c>
      <c r="AR6" s="4"/>
      <c r="AS6" s="4"/>
      <c r="AT6" s="4"/>
      <c r="AU6" s="4"/>
      <c r="AV6" s="4">
        <f t="shared" si="8"/>
        <v>4</v>
      </c>
      <c r="AW6" s="10">
        <f t="shared" si="9"/>
        <v>3636.3636363636365</v>
      </c>
      <c r="AX6" s="11">
        <f t="shared" si="10"/>
        <v>0.99636363636363634</v>
      </c>
      <c r="AY6" s="12">
        <f t="shared" si="11"/>
        <v>0.79420289855072468</v>
      </c>
      <c r="AZ6" s="13"/>
    </row>
    <row r="7" spans="1:52" ht="12.75" x14ac:dyDescent="0.2">
      <c r="A7" s="2">
        <f t="shared" si="0"/>
        <v>4</v>
      </c>
      <c r="B7" s="4"/>
      <c r="C7" s="4"/>
      <c r="D7" s="4"/>
      <c r="E7" s="4"/>
      <c r="F7" s="4"/>
      <c r="G7" s="4"/>
      <c r="H7" s="4"/>
      <c r="I7" s="4"/>
      <c r="J7" s="4">
        <f t="shared" si="1"/>
        <v>0</v>
      </c>
      <c r="K7" s="4"/>
      <c r="L7" s="4"/>
      <c r="M7" s="4"/>
      <c r="N7" s="4"/>
      <c r="O7" s="4"/>
      <c r="P7" s="4"/>
      <c r="Q7" s="4" t="str">
        <f>IFERROR(3600/(P7/O7),"")</f>
        <v/>
      </c>
      <c r="R7" s="4"/>
      <c r="S7" s="4"/>
      <c r="T7" s="4">
        <f>IFERROR(J7-S7,"")</f>
        <v>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f t="shared" si="2"/>
        <v>0</v>
      </c>
      <c r="AG7" s="4">
        <f t="shared" si="3"/>
        <v>0</v>
      </c>
      <c r="AH7" s="6" t="str">
        <f t="shared" si="4"/>
        <v/>
      </c>
      <c r="AI7" s="4" t="str">
        <f t="shared" si="5"/>
        <v/>
      </c>
      <c r="AJ7" s="8" t="str">
        <f t="shared" si="6"/>
        <v/>
      </c>
      <c r="AK7" s="9" t="str">
        <f t="shared" si="7"/>
        <v/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>
        <f t="shared" si="8"/>
        <v>0</v>
      </c>
      <c r="AW7" s="10" t="str">
        <f t="shared" si="9"/>
        <v/>
      </c>
      <c r="AX7" s="11" t="str">
        <f t="shared" si="10"/>
        <v/>
      </c>
      <c r="AY7" s="12" t="str">
        <f t="shared" si="11"/>
        <v/>
      </c>
      <c r="AZ7" s="13"/>
    </row>
    <row r="8" spans="1:52" ht="12.75" x14ac:dyDescent="0.2">
      <c r="A8" s="2">
        <f t="shared" si="0"/>
        <v>5</v>
      </c>
      <c r="B8" s="4"/>
      <c r="C8" s="4"/>
      <c r="D8" s="4"/>
      <c r="E8" s="4"/>
      <c r="F8" s="4"/>
      <c r="G8" s="4"/>
      <c r="H8" s="4"/>
      <c r="I8" s="4"/>
      <c r="J8" s="4">
        <f t="shared" si="1"/>
        <v>0</v>
      </c>
      <c r="K8" s="4"/>
      <c r="L8" s="4"/>
      <c r="M8" s="4"/>
      <c r="N8" s="4"/>
      <c r="O8" s="4"/>
      <c r="P8" s="4"/>
      <c r="Q8" s="4" t="str">
        <f>IFERROR(3600/(P8/O8),"")</f>
        <v/>
      </c>
      <c r="R8" s="4"/>
      <c r="S8" s="4"/>
      <c r="T8" s="4">
        <f>IFERROR(J8-S8,"")</f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>
        <f t="shared" si="2"/>
        <v>0</v>
      </c>
      <c r="AG8" s="4">
        <f t="shared" si="3"/>
        <v>0</v>
      </c>
      <c r="AH8" s="6" t="str">
        <f t="shared" si="4"/>
        <v/>
      </c>
      <c r="AI8" s="4" t="str">
        <f t="shared" si="5"/>
        <v/>
      </c>
      <c r="AJ8" s="8" t="str">
        <f t="shared" si="6"/>
        <v/>
      </c>
      <c r="AK8" s="9" t="str">
        <f t="shared" si="7"/>
        <v/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>
        <f t="shared" si="8"/>
        <v>0</v>
      </c>
      <c r="AW8" s="10" t="str">
        <f t="shared" si="9"/>
        <v/>
      </c>
      <c r="AX8" s="11" t="str">
        <f t="shared" si="10"/>
        <v/>
      </c>
      <c r="AY8" s="12" t="str">
        <f t="shared" si="11"/>
        <v/>
      </c>
      <c r="AZ8" s="13"/>
    </row>
    <row r="9" spans="1:52" ht="12.75" x14ac:dyDescent="0.2">
      <c r="A9" s="2">
        <f t="shared" si="0"/>
        <v>6</v>
      </c>
      <c r="B9" s="4"/>
      <c r="C9" s="4"/>
      <c r="D9" s="4"/>
      <c r="E9" s="4"/>
      <c r="F9" s="4"/>
      <c r="G9" s="4"/>
      <c r="H9" s="4"/>
      <c r="I9" s="4"/>
      <c r="J9" s="4">
        <f t="shared" si="1"/>
        <v>0</v>
      </c>
      <c r="K9" s="4"/>
      <c r="L9" s="4"/>
      <c r="M9" s="4"/>
      <c r="N9" s="4"/>
      <c r="O9" s="4"/>
      <c r="P9" s="4"/>
      <c r="Q9" s="4" t="str">
        <f>IFERROR(3600/(P9/O9),"")</f>
        <v/>
      </c>
      <c r="R9" s="4"/>
      <c r="S9" s="4"/>
      <c r="T9" s="4">
        <f>IFERROR(J9-S9,"")</f>
        <v>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>
        <f t="shared" si="2"/>
        <v>0</v>
      </c>
      <c r="AG9" s="4">
        <f t="shared" si="3"/>
        <v>0</v>
      </c>
      <c r="AH9" s="6" t="str">
        <f t="shared" si="4"/>
        <v/>
      </c>
      <c r="AI9" s="4" t="str">
        <f t="shared" si="5"/>
        <v/>
      </c>
      <c r="AJ9" s="8" t="str">
        <f t="shared" si="6"/>
        <v/>
      </c>
      <c r="AK9" s="9" t="str">
        <f t="shared" si="7"/>
        <v/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>
        <f t="shared" si="8"/>
        <v>0</v>
      </c>
      <c r="AW9" s="10" t="str">
        <f t="shared" si="9"/>
        <v/>
      </c>
      <c r="AX9" s="11" t="str">
        <f t="shared" si="10"/>
        <v/>
      </c>
      <c r="AY9" s="12" t="str">
        <f t="shared" si="11"/>
        <v/>
      </c>
      <c r="AZ9" s="13"/>
    </row>
    <row r="10" spans="1:52" ht="12.75" x14ac:dyDescent="0.2">
      <c r="A10" s="2">
        <f t="shared" si="0"/>
        <v>7</v>
      </c>
      <c r="B10" s="4"/>
      <c r="C10" s="4"/>
      <c r="D10" s="4"/>
      <c r="E10" s="4"/>
      <c r="F10" s="4"/>
      <c r="G10" s="4"/>
      <c r="H10" s="4"/>
      <c r="I10" s="4"/>
      <c r="J10" s="4">
        <f t="shared" si="1"/>
        <v>0</v>
      </c>
      <c r="K10" s="4"/>
      <c r="L10" s="4"/>
      <c r="M10" s="4"/>
      <c r="N10" s="4"/>
      <c r="O10" s="4"/>
      <c r="P10" s="4"/>
      <c r="Q10" s="4" t="str">
        <f>IFERROR(3600/(P10/O10),"")</f>
        <v/>
      </c>
      <c r="R10" s="4"/>
      <c r="S10" s="4"/>
      <c r="T10" s="4">
        <f>IFERROR(J10-S10,"")</f>
        <v>0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>
        <f t="shared" si="2"/>
        <v>0</v>
      </c>
      <c r="AG10" s="4">
        <f t="shared" si="3"/>
        <v>0</v>
      </c>
      <c r="AH10" s="6" t="str">
        <f t="shared" si="4"/>
        <v/>
      </c>
      <c r="AI10" s="4" t="str">
        <f t="shared" si="5"/>
        <v/>
      </c>
      <c r="AJ10" s="8" t="str">
        <f t="shared" si="6"/>
        <v/>
      </c>
      <c r="AK10" s="9" t="str">
        <f t="shared" si="7"/>
        <v/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>
        <f t="shared" si="8"/>
        <v>0</v>
      </c>
      <c r="AW10" s="10" t="str">
        <f t="shared" si="9"/>
        <v/>
      </c>
      <c r="AX10" s="11" t="str">
        <f t="shared" si="10"/>
        <v/>
      </c>
      <c r="AY10" s="12" t="str">
        <f t="shared" si="11"/>
        <v/>
      </c>
      <c r="AZ10" s="13"/>
    </row>
    <row r="11" spans="1:52" ht="12.75" x14ac:dyDescent="0.2">
      <c r="A11" s="2">
        <f t="shared" si="0"/>
        <v>8</v>
      </c>
      <c r="B11" s="4"/>
      <c r="C11" s="4"/>
      <c r="D11" s="4"/>
      <c r="E11" s="4"/>
      <c r="F11" s="4"/>
      <c r="G11" s="4"/>
      <c r="H11" s="4"/>
      <c r="I11" s="4"/>
      <c r="J11" s="4">
        <f t="shared" si="1"/>
        <v>0</v>
      </c>
      <c r="K11" s="4"/>
      <c r="L11" s="4"/>
      <c r="M11" s="4"/>
      <c r="N11" s="4"/>
      <c r="O11" s="4"/>
      <c r="P11" s="4"/>
      <c r="Q11" s="4" t="str">
        <f>IFERROR(3600/(P11/O11),"")</f>
        <v/>
      </c>
      <c r="R11" s="4"/>
      <c r="S11" s="4"/>
      <c r="T11" s="4">
        <f>IFERROR(J11-S11,"")</f>
        <v>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 t="shared" si="2"/>
        <v>0</v>
      </c>
      <c r="AG11" s="4">
        <f t="shared" si="3"/>
        <v>0</v>
      </c>
      <c r="AH11" s="6" t="str">
        <f t="shared" si="4"/>
        <v/>
      </c>
      <c r="AI11" s="4" t="str">
        <f t="shared" si="5"/>
        <v/>
      </c>
      <c r="AJ11" s="8" t="str">
        <f t="shared" si="6"/>
        <v/>
      </c>
      <c r="AK11" s="9" t="str">
        <f t="shared" si="7"/>
        <v/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>
        <f t="shared" si="8"/>
        <v>0</v>
      </c>
      <c r="AW11" s="10" t="str">
        <f t="shared" si="9"/>
        <v/>
      </c>
      <c r="AX11" s="11" t="str">
        <f t="shared" si="10"/>
        <v/>
      </c>
      <c r="AY11" s="12" t="str">
        <f t="shared" si="11"/>
        <v/>
      </c>
      <c r="AZ11" s="13"/>
    </row>
    <row r="12" spans="1:52" ht="12.75" x14ac:dyDescent="0.2">
      <c r="A12" s="2">
        <f t="shared" si="0"/>
        <v>9</v>
      </c>
      <c r="B12" s="4"/>
      <c r="C12" s="4"/>
      <c r="D12" s="4"/>
      <c r="E12" s="4"/>
      <c r="F12" s="4"/>
      <c r="G12" s="4"/>
      <c r="H12" s="4"/>
      <c r="I12" s="4"/>
      <c r="J12" s="4">
        <f t="shared" si="1"/>
        <v>0</v>
      </c>
      <c r="K12" s="4"/>
      <c r="L12" s="4"/>
      <c r="M12" s="4"/>
      <c r="N12" s="4"/>
      <c r="O12" s="4"/>
      <c r="P12" s="4"/>
      <c r="Q12" s="4" t="str">
        <f>IFERROR(3600/(P12/O12),"")</f>
        <v/>
      </c>
      <c r="R12" s="4"/>
      <c r="S12" s="4"/>
      <c r="T12" s="4">
        <f>IFERROR(J12-S12,"")</f>
        <v>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f t="shared" si="2"/>
        <v>0</v>
      </c>
      <c r="AG12" s="4">
        <f t="shared" si="3"/>
        <v>0</v>
      </c>
      <c r="AH12" s="6" t="str">
        <f t="shared" si="4"/>
        <v/>
      </c>
      <c r="AI12" s="4" t="str">
        <f t="shared" si="5"/>
        <v/>
      </c>
      <c r="AJ12" s="8" t="str">
        <f t="shared" si="6"/>
        <v/>
      </c>
      <c r="AK12" s="9" t="str">
        <f t="shared" si="7"/>
        <v/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>
        <f t="shared" si="8"/>
        <v>0</v>
      </c>
      <c r="AW12" s="10" t="str">
        <f t="shared" si="9"/>
        <v/>
      </c>
      <c r="AX12" s="11" t="str">
        <f t="shared" si="10"/>
        <v/>
      </c>
      <c r="AY12" s="12" t="str">
        <f t="shared" si="11"/>
        <v/>
      </c>
      <c r="AZ12" s="13"/>
    </row>
    <row r="13" spans="1:52" ht="12.75" x14ac:dyDescent="0.2">
      <c r="A13" s="2">
        <f t="shared" si="0"/>
        <v>10</v>
      </c>
      <c r="B13" s="4"/>
      <c r="C13" s="4"/>
      <c r="D13" s="4"/>
      <c r="E13" s="4"/>
      <c r="F13" s="4"/>
      <c r="G13" s="4"/>
      <c r="H13" s="4"/>
      <c r="I13" s="4"/>
      <c r="J13" s="4">
        <f t="shared" si="1"/>
        <v>0</v>
      </c>
      <c r="K13" s="4"/>
      <c r="L13" s="4"/>
      <c r="M13" s="4"/>
      <c r="N13" s="4"/>
      <c r="O13" s="4"/>
      <c r="P13" s="4"/>
      <c r="Q13" s="4" t="str">
        <f>IFERROR(3600/(P13/O13),"")</f>
        <v/>
      </c>
      <c r="R13" s="4"/>
      <c r="S13" s="4"/>
      <c r="T13" s="4">
        <f>IFERROR(J13-S13,"")</f>
        <v>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>
        <f t="shared" si="2"/>
        <v>0</v>
      </c>
      <c r="AG13" s="4">
        <f t="shared" si="3"/>
        <v>0</v>
      </c>
      <c r="AH13" s="6" t="str">
        <f t="shared" si="4"/>
        <v/>
      </c>
      <c r="AI13" s="4" t="str">
        <f t="shared" si="5"/>
        <v/>
      </c>
      <c r="AJ13" s="8" t="str">
        <f t="shared" si="6"/>
        <v/>
      </c>
      <c r="AK13" s="9" t="str">
        <f t="shared" si="7"/>
        <v/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>
        <f t="shared" si="8"/>
        <v>0</v>
      </c>
      <c r="AW13" s="10" t="str">
        <f t="shared" si="9"/>
        <v/>
      </c>
      <c r="AX13" s="11" t="str">
        <f t="shared" si="10"/>
        <v/>
      </c>
      <c r="AY13" s="12" t="str">
        <f t="shared" si="11"/>
        <v/>
      </c>
      <c r="AZ13" s="13"/>
    </row>
    <row r="14" spans="1:52" ht="12.75" x14ac:dyDescent="0.2">
      <c r="A14" s="2">
        <f t="shared" si="0"/>
        <v>11</v>
      </c>
      <c r="B14" s="4"/>
      <c r="C14" s="4"/>
      <c r="D14" s="4"/>
      <c r="E14" s="4"/>
      <c r="F14" s="4"/>
      <c r="G14" s="4"/>
      <c r="H14" s="4"/>
      <c r="I14" s="4"/>
      <c r="J14" s="4">
        <f t="shared" si="1"/>
        <v>0</v>
      </c>
      <c r="K14" s="4"/>
      <c r="L14" s="4"/>
      <c r="M14" s="4"/>
      <c r="N14" s="4"/>
      <c r="O14" s="4"/>
      <c r="P14" s="4"/>
      <c r="Q14" s="4" t="str">
        <f>IFERROR(3600/(P14/O14),"")</f>
        <v/>
      </c>
      <c r="R14" s="4"/>
      <c r="S14" s="4"/>
      <c r="T14" s="4">
        <f>IFERROR(J14-S14,"")</f>
        <v>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f t="shared" si="2"/>
        <v>0</v>
      </c>
      <c r="AG14" s="4">
        <f t="shared" si="3"/>
        <v>0</v>
      </c>
      <c r="AH14" s="6" t="str">
        <f t="shared" si="4"/>
        <v/>
      </c>
      <c r="AI14" s="4" t="str">
        <f t="shared" si="5"/>
        <v/>
      </c>
      <c r="AJ14" s="8" t="str">
        <f t="shared" si="6"/>
        <v/>
      </c>
      <c r="AK14" s="9" t="str">
        <f t="shared" si="7"/>
        <v/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>
        <f t="shared" si="8"/>
        <v>0</v>
      </c>
      <c r="AW14" s="10" t="str">
        <f t="shared" si="9"/>
        <v/>
      </c>
      <c r="AX14" s="11" t="str">
        <f t="shared" si="10"/>
        <v/>
      </c>
      <c r="AY14" s="12" t="str">
        <f t="shared" si="11"/>
        <v/>
      </c>
      <c r="AZ14" s="13"/>
    </row>
    <row r="15" spans="1:52" ht="12.75" x14ac:dyDescent="0.2">
      <c r="A15" s="2">
        <f t="shared" si="0"/>
        <v>12</v>
      </c>
      <c r="B15" s="4"/>
      <c r="C15" s="4"/>
      <c r="D15" s="4"/>
      <c r="E15" s="4"/>
      <c r="F15" s="4"/>
      <c r="G15" s="4"/>
      <c r="H15" s="4"/>
      <c r="I15" s="4"/>
      <c r="J15" s="4">
        <f t="shared" si="1"/>
        <v>0</v>
      </c>
      <c r="K15" s="4"/>
      <c r="L15" s="4"/>
      <c r="M15" s="4"/>
      <c r="N15" s="4"/>
      <c r="O15" s="4"/>
      <c r="P15" s="4"/>
      <c r="Q15" s="4" t="str">
        <f>IFERROR(3600/(P15/O15),"")</f>
        <v/>
      </c>
      <c r="R15" s="4"/>
      <c r="S15" s="4"/>
      <c r="T15" s="4">
        <f>IFERROR(J15-S15,"")</f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f t="shared" si="2"/>
        <v>0</v>
      </c>
      <c r="AG15" s="4">
        <f t="shared" si="3"/>
        <v>0</v>
      </c>
      <c r="AH15" s="6" t="str">
        <f t="shared" si="4"/>
        <v/>
      </c>
      <c r="AI15" s="4" t="str">
        <f t="shared" si="5"/>
        <v/>
      </c>
      <c r="AJ15" s="8" t="str">
        <f t="shared" si="6"/>
        <v/>
      </c>
      <c r="AK15" s="9" t="str">
        <f t="shared" si="7"/>
        <v/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>
        <f t="shared" si="8"/>
        <v>0</v>
      </c>
      <c r="AW15" s="10" t="str">
        <f t="shared" si="9"/>
        <v/>
      </c>
      <c r="AX15" s="11" t="str">
        <f t="shared" si="10"/>
        <v/>
      </c>
      <c r="AY15" s="12" t="str">
        <f t="shared" si="11"/>
        <v/>
      </c>
      <c r="AZ15" s="13"/>
    </row>
    <row r="16" spans="1:52" ht="12.75" x14ac:dyDescent="0.2">
      <c r="A16" s="2">
        <f t="shared" si="0"/>
        <v>13</v>
      </c>
      <c r="B16" s="4"/>
      <c r="C16" s="4"/>
      <c r="D16" s="4"/>
      <c r="E16" s="4"/>
      <c r="F16" s="4"/>
      <c r="G16" s="4"/>
      <c r="H16" s="4"/>
      <c r="I16" s="4"/>
      <c r="J16" s="4">
        <f t="shared" si="1"/>
        <v>0</v>
      </c>
      <c r="K16" s="4"/>
      <c r="L16" s="4"/>
      <c r="M16" s="4"/>
      <c r="N16" s="4"/>
      <c r="O16" s="4"/>
      <c r="P16" s="4"/>
      <c r="Q16" s="4" t="str">
        <f>IFERROR(3600/(P16/O16),"")</f>
        <v/>
      </c>
      <c r="R16" s="4"/>
      <c r="S16" s="4"/>
      <c r="T16" s="4">
        <f>IFERROR(J16-S16,"")</f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>
        <f t="shared" si="2"/>
        <v>0</v>
      </c>
      <c r="AG16" s="4">
        <f t="shared" si="3"/>
        <v>0</v>
      </c>
      <c r="AH16" s="6" t="str">
        <f t="shared" si="4"/>
        <v/>
      </c>
      <c r="AI16" s="4" t="str">
        <f t="shared" si="5"/>
        <v/>
      </c>
      <c r="AJ16" s="8" t="str">
        <f t="shared" si="6"/>
        <v/>
      </c>
      <c r="AK16" s="9" t="str">
        <f t="shared" si="7"/>
        <v/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>
        <f t="shared" si="8"/>
        <v>0</v>
      </c>
      <c r="AW16" s="10" t="str">
        <f t="shared" si="9"/>
        <v/>
      </c>
      <c r="AX16" s="11" t="str">
        <f t="shared" si="10"/>
        <v/>
      </c>
      <c r="AY16" s="12" t="str">
        <f t="shared" si="11"/>
        <v/>
      </c>
      <c r="AZ16" s="13"/>
    </row>
    <row r="17" spans="1:52" ht="12.75" x14ac:dyDescent="0.2">
      <c r="A17" s="2">
        <f t="shared" si="0"/>
        <v>14</v>
      </c>
      <c r="B17" s="4"/>
      <c r="C17" s="4"/>
      <c r="D17" s="4"/>
      <c r="E17" s="4"/>
      <c r="F17" s="4"/>
      <c r="G17" s="4"/>
      <c r="H17" s="4"/>
      <c r="I17" s="4"/>
      <c r="J17" s="4">
        <f t="shared" si="1"/>
        <v>0</v>
      </c>
      <c r="K17" s="4"/>
      <c r="L17" s="4"/>
      <c r="M17" s="4"/>
      <c r="N17" s="4"/>
      <c r="O17" s="4"/>
      <c r="P17" s="4"/>
      <c r="Q17" s="4" t="str">
        <f>IFERROR(3600/(P17/O17),"")</f>
        <v/>
      </c>
      <c r="R17" s="4"/>
      <c r="S17" s="4"/>
      <c r="T17" s="4">
        <f>IFERROR(J17-S17,"")</f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>
        <f t="shared" si="2"/>
        <v>0</v>
      </c>
      <c r="AG17" s="4">
        <f t="shared" si="3"/>
        <v>0</v>
      </c>
      <c r="AH17" s="6" t="str">
        <f t="shared" si="4"/>
        <v/>
      </c>
      <c r="AI17" s="4" t="str">
        <f t="shared" si="5"/>
        <v/>
      </c>
      <c r="AJ17" s="8" t="str">
        <f t="shared" si="6"/>
        <v/>
      </c>
      <c r="AK17" s="9" t="str">
        <f t="shared" si="7"/>
        <v/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>
        <f t="shared" si="8"/>
        <v>0</v>
      </c>
      <c r="AW17" s="10" t="str">
        <f t="shared" si="9"/>
        <v/>
      </c>
      <c r="AX17" s="11" t="str">
        <f t="shared" si="10"/>
        <v/>
      </c>
      <c r="AY17" s="12" t="str">
        <f t="shared" si="11"/>
        <v/>
      </c>
      <c r="AZ17" s="13"/>
    </row>
    <row r="18" spans="1:52" ht="12.75" x14ac:dyDescent="0.2">
      <c r="A18" s="2">
        <f t="shared" si="0"/>
        <v>15</v>
      </c>
      <c r="B18" s="4"/>
      <c r="C18" s="4"/>
      <c r="D18" s="4"/>
      <c r="E18" s="4"/>
      <c r="F18" s="4"/>
      <c r="G18" s="4"/>
      <c r="H18" s="4"/>
      <c r="I18" s="4"/>
      <c r="J18" s="4">
        <f t="shared" si="1"/>
        <v>0</v>
      </c>
      <c r="K18" s="4"/>
      <c r="L18" s="4"/>
      <c r="M18" s="4"/>
      <c r="N18" s="4"/>
      <c r="O18" s="4"/>
      <c r="P18" s="4"/>
      <c r="Q18" s="4" t="str">
        <f>IFERROR(3600/(P18/O18),"")</f>
        <v/>
      </c>
      <c r="R18" s="4"/>
      <c r="S18" s="4"/>
      <c r="T18" s="4">
        <f>IFERROR(J18-S18,"")</f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>
        <f t="shared" si="2"/>
        <v>0</v>
      </c>
      <c r="AG18" s="4">
        <f t="shared" si="3"/>
        <v>0</v>
      </c>
      <c r="AH18" s="6" t="str">
        <f t="shared" si="4"/>
        <v/>
      </c>
      <c r="AI18" s="4" t="str">
        <f t="shared" si="5"/>
        <v/>
      </c>
      <c r="AJ18" s="8" t="str">
        <f t="shared" si="6"/>
        <v/>
      </c>
      <c r="AK18" s="9" t="str">
        <f t="shared" si="7"/>
        <v/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>
        <f t="shared" si="8"/>
        <v>0</v>
      </c>
      <c r="AW18" s="10" t="str">
        <f t="shared" si="9"/>
        <v/>
      </c>
      <c r="AX18" s="11" t="str">
        <f t="shared" si="10"/>
        <v/>
      </c>
      <c r="AY18" s="12" t="str">
        <f t="shared" si="11"/>
        <v/>
      </c>
      <c r="AZ18" s="13"/>
    </row>
    <row r="19" spans="1:52" ht="12.75" x14ac:dyDescent="0.2">
      <c r="A19" s="2">
        <f t="shared" si="0"/>
        <v>16</v>
      </c>
      <c r="B19" s="4"/>
      <c r="C19" s="4"/>
      <c r="D19" s="4"/>
      <c r="E19" s="4"/>
      <c r="F19" s="4"/>
      <c r="G19" s="4"/>
      <c r="H19" s="4"/>
      <c r="I19" s="4"/>
      <c r="J19" s="4">
        <f t="shared" si="1"/>
        <v>0</v>
      </c>
      <c r="K19" s="4"/>
      <c r="L19" s="4"/>
      <c r="M19" s="4"/>
      <c r="N19" s="4"/>
      <c r="O19" s="4"/>
      <c r="P19" s="4"/>
      <c r="Q19" s="4" t="str">
        <f>IFERROR(3600/(P19/O19),"")</f>
        <v/>
      </c>
      <c r="R19" s="4"/>
      <c r="S19" s="4"/>
      <c r="T19" s="4">
        <f>IFERROR(J19-S19,"")</f>
        <v>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f t="shared" si="2"/>
        <v>0</v>
      </c>
      <c r="AG19" s="4">
        <f t="shared" si="3"/>
        <v>0</v>
      </c>
      <c r="AH19" s="6" t="str">
        <f t="shared" si="4"/>
        <v/>
      </c>
      <c r="AI19" s="4" t="str">
        <f t="shared" si="5"/>
        <v/>
      </c>
      <c r="AJ19" s="8" t="str">
        <f t="shared" si="6"/>
        <v/>
      </c>
      <c r="AK19" s="9" t="str">
        <f t="shared" si="7"/>
        <v/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>
        <f t="shared" si="8"/>
        <v>0</v>
      </c>
      <c r="AW19" s="10" t="str">
        <f t="shared" si="9"/>
        <v/>
      </c>
      <c r="AX19" s="11" t="str">
        <f t="shared" si="10"/>
        <v/>
      </c>
      <c r="AY19" s="12" t="str">
        <f t="shared" si="11"/>
        <v/>
      </c>
      <c r="AZ19" s="13"/>
    </row>
    <row r="20" spans="1:52" ht="12.75" x14ac:dyDescent="0.2">
      <c r="A20" s="2">
        <f t="shared" si="0"/>
        <v>17</v>
      </c>
      <c r="B20" s="4"/>
      <c r="C20" s="4"/>
      <c r="D20" s="4"/>
      <c r="E20" s="4"/>
      <c r="F20" s="4"/>
      <c r="G20" s="4"/>
      <c r="H20" s="4"/>
      <c r="I20" s="4"/>
      <c r="J20" s="4">
        <f t="shared" si="1"/>
        <v>0</v>
      </c>
      <c r="K20" s="4"/>
      <c r="L20" s="4"/>
      <c r="M20" s="4"/>
      <c r="N20" s="4"/>
      <c r="O20" s="4"/>
      <c r="P20" s="4"/>
      <c r="Q20" s="4" t="str">
        <f>IFERROR(3600/(P20/O20),"")</f>
        <v/>
      </c>
      <c r="R20" s="4"/>
      <c r="S20" s="4"/>
      <c r="T20" s="4">
        <f>IFERROR(J20-S20,"")</f>
        <v>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f t="shared" si="2"/>
        <v>0</v>
      </c>
      <c r="AG20" s="4">
        <f t="shared" si="3"/>
        <v>0</v>
      </c>
      <c r="AH20" s="6" t="str">
        <f t="shared" si="4"/>
        <v/>
      </c>
      <c r="AI20" s="4" t="str">
        <f t="shared" si="5"/>
        <v/>
      </c>
      <c r="AJ20" s="8" t="str">
        <f t="shared" si="6"/>
        <v/>
      </c>
      <c r="AK20" s="9" t="str">
        <f t="shared" si="7"/>
        <v/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>
        <f t="shared" si="8"/>
        <v>0</v>
      </c>
      <c r="AW20" s="10" t="str">
        <f t="shared" si="9"/>
        <v/>
      </c>
      <c r="AX20" s="11" t="str">
        <f t="shared" si="10"/>
        <v/>
      </c>
      <c r="AY20" s="12" t="str">
        <f t="shared" si="11"/>
        <v/>
      </c>
      <c r="AZ20" s="13"/>
    </row>
    <row r="21" spans="1:52" ht="12.75" x14ac:dyDescent="0.2">
      <c r="A21" s="2">
        <f t="shared" si="0"/>
        <v>18</v>
      </c>
      <c r="B21" s="4"/>
      <c r="C21" s="4"/>
      <c r="D21" s="4"/>
      <c r="E21" s="4"/>
      <c r="F21" s="4"/>
      <c r="G21" s="4"/>
      <c r="H21" s="4"/>
      <c r="I21" s="4"/>
      <c r="J21" s="4">
        <f t="shared" si="1"/>
        <v>0</v>
      </c>
      <c r="K21" s="4"/>
      <c r="L21" s="4"/>
      <c r="M21" s="4"/>
      <c r="N21" s="4"/>
      <c r="O21" s="4"/>
      <c r="P21" s="4"/>
      <c r="Q21" s="4" t="str">
        <f>IFERROR(3600/(P21/O21),"")</f>
        <v/>
      </c>
      <c r="R21" s="4"/>
      <c r="S21" s="4"/>
      <c r="T21" s="4">
        <f>IFERROR(J21-S21,"")</f>
        <v>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>
        <f t="shared" si="2"/>
        <v>0</v>
      </c>
      <c r="AG21" s="4">
        <f t="shared" si="3"/>
        <v>0</v>
      </c>
      <c r="AH21" s="6" t="str">
        <f t="shared" si="4"/>
        <v/>
      </c>
      <c r="AI21" s="4" t="str">
        <f t="shared" si="5"/>
        <v/>
      </c>
      <c r="AJ21" s="8" t="str">
        <f t="shared" si="6"/>
        <v/>
      </c>
      <c r="AK21" s="9" t="str">
        <f t="shared" si="7"/>
        <v/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>
        <f t="shared" si="8"/>
        <v>0</v>
      </c>
      <c r="AW21" s="10" t="str">
        <f t="shared" si="9"/>
        <v/>
      </c>
      <c r="AX21" s="11" t="str">
        <f t="shared" si="10"/>
        <v/>
      </c>
      <c r="AY21" s="12" t="str">
        <f t="shared" si="11"/>
        <v/>
      </c>
      <c r="AZ21" s="13"/>
    </row>
    <row r="22" spans="1:52" ht="12.75" x14ac:dyDescent="0.2">
      <c r="A22" s="2">
        <f t="shared" si="0"/>
        <v>19</v>
      </c>
      <c r="B22" s="4"/>
      <c r="C22" s="4"/>
      <c r="D22" s="4"/>
      <c r="E22" s="4"/>
      <c r="F22" s="4"/>
      <c r="G22" s="4"/>
      <c r="H22" s="4"/>
      <c r="I22" s="4"/>
      <c r="J22" s="4">
        <f t="shared" si="1"/>
        <v>0</v>
      </c>
      <c r="K22" s="4"/>
      <c r="L22" s="4"/>
      <c r="M22" s="4"/>
      <c r="N22" s="4"/>
      <c r="O22" s="4"/>
      <c r="P22" s="4"/>
      <c r="Q22" s="4" t="str">
        <f>IFERROR(3600/(P22/O22),"")</f>
        <v/>
      </c>
      <c r="R22" s="4"/>
      <c r="S22" s="4"/>
      <c r="T22" s="4">
        <f>IFERROR(J22-S22,"")</f>
        <v>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f t="shared" si="2"/>
        <v>0</v>
      </c>
      <c r="AG22" s="4">
        <f t="shared" si="3"/>
        <v>0</v>
      </c>
      <c r="AH22" s="6" t="str">
        <f t="shared" si="4"/>
        <v/>
      </c>
      <c r="AI22" s="4" t="str">
        <f t="shared" si="5"/>
        <v/>
      </c>
      <c r="AJ22" s="8" t="str">
        <f t="shared" si="6"/>
        <v/>
      </c>
      <c r="AK22" s="9" t="str">
        <f t="shared" si="7"/>
        <v/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>
        <f t="shared" si="8"/>
        <v>0</v>
      </c>
      <c r="AW22" s="10" t="str">
        <f t="shared" si="9"/>
        <v/>
      </c>
      <c r="AX22" s="11" t="str">
        <f t="shared" si="10"/>
        <v/>
      </c>
      <c r="AY22" s="12" t="str">
        <f t="shared" si="11"/>
        <v/>
      </c>
      <c r="AZ22" s="13"/>
    </row>
    <row r="23" spans="1:52" ht="12.75" x14ac:dyDescent="0.2">
      <c r="A23" s="2">
        <f t="shared" si="0"/>
        <v>20</v>
      </c>
      <c r="B23" s="4"/>
      <c r="C23" s="4"/>
      <c r="D23" s="4"/>
      <c r="E23" s="4"/>
      <c r="F23" s="4"/>
      <c r="G23" s="4"/>
      <c r="H23" s="4"/>
      <c r="I23" s="4"/>
      <c r="J23" s="4">
        <f t="shared" si="1"/>
        <v>0</v>
      </c>
      <c r="K23" s="4"/>
      <c r="L23" s="4"/>
      <c r="M23" s="4"/>
      <c r="N23" s="4"/>
      <c r="O23" s="4"/>
      <c r="P23" s="4"/>
      <c r="Q23" s="4" t="str">
        <f>IFERROR(3600/(P23/O23),"")</f>
        <v/>
      </c>
      <c r="R23" s="4"/>
      <c r="S23" s="4"/>
      <c r="T23" s="4">
        <f>IFERROR(J23-S23,"")</f>
        <v>0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>
        <f t="shared" si="2"/>
        <v>0</v>
      </c>
      <c r="AG23" s="4">
        <f t="shared" si="3"/>
        <v>0</v>
      </c>
      <c r="AH23" s="6" t="str">
        <f t="shared" si="4"/>
        <v/>
      </c>
      <c r="AI23" s="4" t="str">
        <f t="shared" si="5"/>
        <v/>
      </c>
      <c r="AJ23" s="8" t="str">
        <f t="shared" si="6"/>
        <v/>
      </c>
      <c r="AK23" s="9" t="str">
        <f t="shared" si="7"/>
        <v/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>
        <f t="shared" si="8"/>
        <v>0</v>
      </c>
      <c r="AW23" s="10" t="str">
        <f t="shared" si="9"/>
        <v/>
      </c>
      <c r="AX23" s="11" t="str">
        <f t="shared" si="10"/>
        <v/>
      </c>
      <c r="AY23" s="12" t="str">
        <f t="shared" si="11"/>
        <v/>
      </c>
      <c r="AZ23" s="13"/>
    </row>
    <row r="24" spans="1:52" ht="12.75" x14ac:dyDescent="0.2">
      <c r="A24" s="2">
        <f t="shared" si="0"/>
        <v>21</v>
      </c>
      <c r="B24" s="4"/>
      <c r="C24" s="4"/>
      <c r="D24" s="4"/>
      <c r="E24" s="4"/>
      <c r="F24" s="4"/>
      <c r="G24" s="4"/>
      <c r="H24" s="4"/>
      <c r="I24" s="4"/>
      <c r="J24" s="4">
        <f t="shared" si="1"/>
        <v>0</v>
      </c>
      <c r="K24" s="4"/>
      <c r="L24" s="4"/>
      <c r="M24" s="4"/>
      <c r="N24" s="4"/>
      <c r="O24" s="4"/>
      <c r="P24" s="4"/>
      <c r="Q24" s="4" t="str">
        <f>IFERROR(3600/(P24/O24),"")</f>
        <v/>
      </c>
      <c r="R24" s="4"/>
      <c r="S24" s="4"/>
      <c r="T24" s="4">
        <f>IFERROR(J24-S24,"")</f>
        <v>0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f t="shared" si="2"/>
        <v>0</v>
      </c>
      <c r="AG24" s="4">
        <f t="shared" si="3"/>
        <v>0</v>
      </c>
      <c r="AH24" s="6" t="str">
        <f t="shared" si="4"/>
        <v/>
      </c>
      <c r="AI24" s="4" t="str">
        <f t="shared" si="5"/>
        <v/>
      </c>
      <c r="AJ24" s="8" t="str">
        <f t="shared" si="6"/>
        <v/>
      </c>
      <c r="AK24" s="9" t="str">
        <f t="shared" si="7"/>
        <v/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>
        <f t="shared" si="8"/>
        <v>0</v>
      </c>
      <c r="AW24" s="10" t="str">
        <f t="shared" si="9"/>
        <v/>
      </c>
      <c r="AX24" s="11" t="str">
        <f t="shared" si="10"/>
        <v/>
      </c>
      <c r="AY24" s="12" t="str">
        <f t="shared" si="11"/>
        <v/>
      </c>
      <c r="AZ24" s="13"/>
    </row>
    <row r="25" spans="1:52" ht="12.75" x14ac:dyDescent="0.2">
      <c r="A25" s="2">
        <f t="shared" si="0"/>
        <v>22</v>
      </c>
      <c r="B25" s="4"/>
      <c r="C25" s="4"/>
      <c r="D25" s="4"/>
      <c r="E25" s="4"/>
      <c r="F25" s="4"/>
      <c r="G25" s="4"/>
      <c r="H25" s="4"/>
      <c r="I25" s="4"/>
      <c r="J25" s="4">
        <f t="shared" si="1"/>
        <v>0</v>
      </c>
      <c r="K25" s="4"/>
      <c r="L25" s="4"/>
      <c r="M25" s="4"/>
      <c r="N25" s="4"/>
      <c r="O25" s="4"/>
      <c r="P25" s="4"/>
      <c r="Q25" s="4" t="str">
        <f>IFERROR(3600/(P25/O25),"")</f>
        <v/>
      </c>
      <c r="R25" s="4"/>
      <c r="S25" s="4"/>
      <c r="T25" s="4">
        <f>IFERROR(J25-S25,"")</f>
        <v>0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>
        <f t="shared" si="2"/>
        <v>0</v>
      </c>
      <c r="AG25" s="4">
        <f t="shared" si="3"/>
        <v>0</v>
      </c>
      <c r="AH25" s="6" t="str">
        <f t="shared" si="4"/>
        <v/>
      </c>
      <c r="AI25" s="4" t="str">
        <f t="shared" si="5"/>
        <v/>
      </c>
      <c r="AJ25" s="8" t="str">
        <f t="shared" si="6"/>
        <v/>
      </c>
      <c r="AK25" s="9" t="str">
        <f t="shared" si="7"/>
        <v/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>
        <f t="shared" si="8"/>
        <v>0</v>
      </c>
      <c r="AW25" s="10" t="str">
        <f t="shared" si="9"/>
        <v/>
      </c>
      <c r="AX25" s="11" t="str">
        <f t="shared" si="10"/>
        <v/>
      </c>
      <c r="AY25" s="12" t="str">
        <f t="shared" si="11"/>
        <v/>
      </c>
      <c r="AZ25" s="13"/>
    </row>
    <row r="26" spans="1:52" ht="12.75" x14ac:dyDescent="0.2">
      <c r="A26" s="2">
        <f t="shared" si="0"/>
        <v>23</v>
      </c>
      <c r="B26" s="4"/>
      <c r="C26" s="4"/>
      <c r="D26" s="4"/>
      <c r="E26" s="4"/>
      <c r="F26" s="4"/>
      <c r="G26" s="4"/>
      <c r="H26" s="4"/>
      <c r="I26" s="4"/>
      <c r="J26" s="4">
        <f t="shared" si="1"/>
        <v>0</v>
      </c>
      <c r="K26" s="4"/>
      <c r="L26" s="4"/>
      <c r="M26" s="4"/>
      <c r="N26" s="4"/>
      <c r="O26" s="4"/>
      <c r="P26" s="4"/>
      <c r="Q26" s="4" t="str">
        <f>IFERROR(3600/(P26/O26),"")</f>
        <v/>
      </c>
      <c r="R26" s="4"/>
      <c r="S26" s="4"/>
      <c r="T26" s="4">
        <f>IFERROR(J26-S26,"")</f>
        <v>0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>
        <f t="shared" si="2"/>
        <v>0</v>
      </c>
      <c r="AG26" s="4">
        <f t="shared" si="3"/>
        <v>0</v>
      </c>
      <c r="AH26" s="6" t="str">
        <f t="shared" si="4"/>
        <v/>
      </c>
      <c r="AI26" s="4" t="str">
        <f t="shared" si="5"/>
        <v/>
      </c>
      <c r="AJ26" s="8" t="str">
        <f t="shared" si="6"/>
        <v/>
      </c>
      <c r="AK26" s="9" t="str">
        <f t="shared" si="7"/>
        <v/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>
        <f t="shared" si="8"/>
        <v>0</v>
      </c>
      <c r="AW26" s="10" t="str">
        <f t="shared" si="9"/>
        <v/>
      </c>
      <c r="AX26" s="11" t="str">
        <f t="shared" si="10"/>
        <v/>
      </c>
      <c r="AY26" s="12" t="str">
        <f t="shared" si="11"/>
        <v/>
      </c>
      <c r="AZ26" s="13"/>
    </row>
    <row r="27" spans="1:52" ht="12.75" x14ac:dyDescent="0.2">
      <c r="A27" s="2">
        <f t="shared" si="0"/>
        <v>24</v>
      </c>
      <c r="B27" s="4"/>
      <c r="C27" s="4"/>
      <c r="D27" s="4"/>
      <c r="E27" s="4"/>
      <c r="F27" s="4"/>
      <c r="G27" s="4"/>
      <c r="H27" s="4"/>
      <c r="I27" s="4"/>
      <c r="J27" s="4">
        <f t="shared" si="1"/>
        <v>0</v>
      </c>
      <c r="K27" s="4"/>
      <c r="L27" s="4"/>
      <c r="M27" s="4"/>
      <c r="N27" s="4"/>
      <c r="O27" s="4"/>
      <c r="P27" s="4"/>
      <c r="Q27" s="4" t="str">
        <f>IFERROR(3600/(P27/O27),"")</f>
        <v/>
      </c>
      <c r="R27" s="4"/>
      <c r="S27" s="4"/>
      <c r="T27" s="4">
        <f>IFERROR(J27-S27,"")</f>
        <v>0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>
        <f t="shared" si="2"/>
        <v>0</v>
      </c>
      <c r="AG27" s="4">
        <f t="shared" si="3"/>
        <v>0</v>
      </c>
      <c r="AH27" s="6" t="str">
        <f t="shared" si="4"/>
        <v/>
      </c>
      <c r="AI27" s="4" t="str">
        <f t="shared" si="5"/>
        <v/>
      </c>
      <c r="AJ27" s="8" t="str">
        <f t="shared" si="6"/>
        <v/>
      </c>
      <c r="AK27" s="9" t="str">
        <f t="shared" si="7"/>
        <v/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>
        <f t="shared" si="8"/>
        <v>0</v>
      </c>
      <c r="AW27" s="10" t="str">
        <f t="shared" si="9"/>
        <v/>
      </c>
      <c r="AX27" s="11" t="str">
        <f t="shared" si="10"/>
        <v/>
      </c>
      <c r="AY27" s="12" t="str">
        <f t="shared" si="11"/>
        <v/>
      </c>
      <c r="AZ27" s="13"/>
    </row>
    <row r="28" spans="1:52" ht="12.75" x14ac:dyDescent="0.2">
      <c r="A28" s="2">
        <f t="shared" si="0"/>
        <v>25</v>
      </c>
      <c r="B28" s="4"/>
      <c r="C28" s="4"/>
      <c r="D28" s="4"/>
      <c r="E28" s="4"/>
      <c r="F28" s="4"/>
      <c r="G28" s="4"/>
      <c r="H28" s="4"/>
      <c r="I28" s="4"/>
      <c r="J28" s="4">
        <f t="shared" si="1"/>
        <v>0</v>
      </c>
      <c r="K28" s="4"/>
      <c r="L28" s="4"/>
      <c r="M28" s="4"/>
      <c r="N28" s="4"/>
      <c r="O28" s="4"/>
      <c r="P28" s="4"/>
      <c r="Q28" s="4" t="str">
        <f>IFERROR(3600/(P28/O28),"")</f>
        <v/>
      </c>
      <c r="R28" s="4"/>
      <c r="S28" s="4"/>
      <c r="T28" s="4">
        <f>IFERROR(J28-S28,"")</f>
        <v>0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>
        <f t="shared" si="2"/>
        <v>0</v>
      </c>
      <c r="AG28" s="4">
        <f t="shared" si="3"/>
        <v>0</v>
      </c>
      <c r="AH28" s="6" t="str">
        <f t="shared" si="4"/>
        <v/>
      </c>
      <c r="AI28" s="4" t="str">
        <f t="shared" si="5"/>
        <v/>
      </c>
      <c r="AJ28" s="8" t="str">
        <f t="shared" si="6"/>
        <v/>
      </c>
      <c r="AK28" s="9" t="str">
        <f t="shared" si="7"/>
        <v/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>
        <f t="shared" si="8"/>
        <v>0</v>
      </c>
      <c r="AW28" s="10" t="str">
        <f t="shared" si="9"/>
        <v/>
      </c>
      <c r="AX28" s="11" t="str">
        <f t="shared" si="10"/>
        <v/>
      </c>
      <c r="AY28" s="12" t="str">
        <f t="shared" si="11"/>
        <v/>
      </c>
      <c r="AZ28" s="13"/>
    </row>
    <row r="29" spans="1:52" ht="12.75" x14ac:dyDescent="0.2">
      <c r="A29" s="2">
        <f t="shared" si="0"/>
        <v>26</v>
      </c>
      <c r="B29" s="4"/>
      <c r="C29" s="4"/>
      <c r="D29" s="4"/>
      <c r="E29" s="4"/>
      <c r="F29" s="4"/>
      <c r="G29" s="4"/>
      <c r="H29" s="4"/>
      <c r="I29" s="4"/>
      <c r="J29" s="4">
        <f t="shared" si="1"/>
        <v>0</v>
      </c>
      <c r="K29" s="4"/>
      <c r="L29" s="4"/>
      <c r="M29" s="4"/>
      <c r="N29" s="4"/>
      <c r="O29" s="4"/>
      <c r="P29" s="4"/>
      <c r="Q29" s="4" t="str">
        <f>IFERROR(3600/(P29/O29),"")</f>
        <v/>
      </c>
      <c r="R29" s="4"/>
      <c r="S29" s="4"/>
      <c r="T29" s="4">
        <f>IFERROR(J29-S29,"")</f>
        <v>0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f t="shared" si="2"/>
        <v>0</v>
      </c>
      <c r="AG29" s="4">
        <f t="shared" si="3"/>
        <v>0</v>
      </c>
      <c r="AH29" s="6" t="str">
        <f t="shared" si="4"/>
        <v/>
      </c>
      <c r="AI29" s="4" t="str">
        <f t="shared" si="5"/>
        <v/>
      </c>
      <c r="AJ29" s="8" t="str">
        <f t="shared" si="6"/>
        <v/>
      </c>
      <c r="AK29" s="9" t="str">
        <f t="shared" si="7"/>
        <v/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>
        <f t="shared" si="8"/>
        <v>0</v>
      </c>
      <c r="AW29" s="10" t="str">
        <f t="shared" si="9"/>
        <v/>
      </c>
      <c r="AX29" s="11" t="str">
        <f t="shared" si="10"/>
        <v/>
      </c>
      <c r="AY29" s="12" t="str">
        <f t="shared" si="11"/>
        <v/>
      </c>
      <c r="AZ29" s="13"/>
    </row>
    <row r="30" spans="1:52" ht="13.5" thickBot="1" x14ac:dyDescent="0.25">
      <c r="A30" s="14">
        <f t="shared" si="0"/>
        <v>27</v>
      </c>
      <c r="B30" s="15"/>
      <c r="C30" s="15"/>
      <c r="D30" s="15"/>
      <c r="E30" s="15"/>
      <c r="F30" s="15"/>
      <c r="G30" s="15"/>
      <c r="H30" s="15"/>
      <c r="I30" s="15"/>
      <c r="J30" s="15">
        <f t="shared" si="1"/>
        <v>0</v>
      </c>
      <c r="K30" s="15"/>
      <c r="L30" s="15"/>
      <c r="M30" s="15"/>
      <c r="N30" s="15"/>
      <c r="O30" s="15"/>
      <c r="P30" s="15"/>
      <c r="Q30" s="15" t="str">
        <f>IFERROR(3600/(P30/O30),"")</f>
        <v/>
      </c>
      <c r="R30" s="15"/>
      <c r="S30" s="15"/>
      <c r="T30" s="15">
        <f>IFERROR(J30-S30,"")</f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>
        <f t="shared" si="2"/>
        <v>0</v>
      </c>
      <c r="AG30" s="15">
        <f t="shared" si="3"/>
        <v>0</v>
      </c>
      <c r="AH30" s="16" t="str">
        <f t="shared" si="4"/>
        <v/>
      </c>
      <c r="AI30" s="15" t="str">
        <f t="shared" si="5"/>
        <v/>
      </c>
      <c r="AJ30" s="17" t="str">
        <f t="shared" si="6"/>
        <v/>
      </c>
      <c r="AK30" s="18" t="str">
        <f t="shared" si="7"/>
        <v/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>
        <f t="shared" si="8"/>
        <v>0</v>
      </c>
      <c r="AW30" s="19" t="str">
        <f t="shared" si="9"/>
        <v/>
      </c>
      <c r="AX30" s="20" t="str">
        <f t="shared" si="10"/>
        <v/>
      </c>
      <c r="AY30" s="21" t="str">
        <f t="shared" si="11"/>
        <v/>
      </c>
      <c r="AZ30" s="22"/>
    </row>
    <row r="31" spans="1:52" ht="12.75" x14ac:dyDescent="0.2">
      <c r="AH31" s="23"/>
      <c r="AJ31" s="24"/>
      <c r="AW31" s="25"/>
      <c r="AX31" s="26"/>
      <c r="AY31" s="27"/>
    </row>
    <row r="32" spans="1:52" ht="12.75" x14ac:dyDescent="0.2">
      <c r="AH32" s="23"/>
      <c r="AJ32" s="24"/>
      <c r="AW32" s="25"/>
      <c r="AX32" s="26"/>
      <c r="AY32" s="27"/>
    </row>
    <row r="33" spans="34:51" ht="12.75" x14ac:dyDescent="0.2">
      <c r="AH33" s="23"/>
      <c r="AJ33" s="24"/>
      <c r="AW33" s="25"/>
      <c r="AX33" s="26"/>
      <c r="AY33" s="27"/>
    </row>
    <row r="34" spans="34:51" ht="12.75" x14ac:dyDescent="0.2">
      <c r="AH34" s="23"/>
      <c r="AJ34" s="24"/>
      <c r="AW34" s="25"/>
      <c r="AX34" s="26"/>
      <c r="AY34" s="27"/>
    </row>
    <row r="35" spans="34:51" ht="12.75" x14ac:dyDescent="0.2">
      <c r="AH35" s="23"/>
      <c r="AJ35" s="24"/>
      <c r="AW35" s="25"/>
      <c r="AX35" s="26"/>
      <c r="AY35" s="27"/>
    </row>
    <row r="36" spans="34:51" ht="12.75" x14ac:dyDescent="0.2">
      <c r="AH36" s="23"/>
      <c r="AJ36" s="24"/>
      <c r="AW36" s="25"/>
      <c r="AX36" s="26"/>
      <c r="AY36" s="27"/>
    </row>
    <row r="37" spans="34:51" ht="12.75" x14ac:dyDescent="0.2">
      <c r="AH37" s="23"/>
      <c r="AJ37" s="24"/>
      <c r="AW37" s="25"/>
      <c r="AX37" s="26"/>
      <c r="AY37" s="27"/>
    </row>
    <row r="38" spans="34:51" ht="12.75" x14ac:dyDescent="0.2">
      <c r="AH38" s="23"/>
      <c r="AJ38" s="24"/>
      <c r="AW38" s="25"/>
      <c r="AX38" s="26"/>
      <c r="AY38" s="27"/>
    </row>
    <row r="39" spans="34:51" ht="12.75" x14ac:dyDescent="0.2">
      <c r="AH39" s="23"/>
      <c r="AJ39" s="24"/>
      <c r="AW39" s="25"/>
      <c r="AX39" s="26"/>
      <c r="AY39" s="27"/>
    </row>
    <row r="40" spans="34:51" ht="12.75" x14ac:dyDescent="0.2">
      <c r="AH40" s="23"/>
      <c r="AJ40" s="24"/>
      <c r="AW40" s="25"/>
      <c r="AX40" s="26"/>
      <c r="AY40" s="27"/>
    </row>
    <row r="41" spans="34:51" ht="12.75" x14ac:dyDescent="0.2">
      <c r="AH41" s="23"/>
      <c r="AJ41" s="24"/>
      <c r="AW41" s="25"/>
      <c r="AX41" s="26"/>
      <c r="AY41" s="27"/>
    </row>
    <row r="42" spans="34:51" ht="12.75" x14ac:dyDescent="0.2">
      <c r="AH42" s="23"/>
      <c r="AJ42" s="24"/>
      <c r="AW42" s="25"/>
      <c r="AX42" s="26"/>
      <c r="AY42" s="27"/>
    </row>
    <row r="43" spans="34:51" ht="12.75" x14ac:dyDescent="0.2">
      <c r="AH43" s="23"/>
      <c r="AJ43" s="24"/>
      <c r="AW43" s="25"/>
      <c r="AX43" s="26"/>
      <c r="AY43" s="27"/>
    </row>
    <row r="44" spans="34:51" ht="12.75" x14ac:dyDescent="0.2">
      <c r="AH44" s="23"/>
      <c r="AJ44" s="24"/>
      <c r="AW44" s="25"/>
      <c r="AX44" s="26"/>
      <c r="AY44" s="27"/>
    </row>
    <row r="45" spans="34:51" ht="12.75" x14ac:dyDescent="0.2">
      <c r="AH45" s="23"/>
      <c r="AJ45" s="24"/>
      <c r="AW45" s="25"/>
      <c r="AX45" s="26"/>
      <c r="AY45" s="27"/>
    </row>
    <row r="46" spans="34:51" ht="12.75" x14ac:dyDescent="0.2">
      <c r="AH46" s="23"/>
      <c r="AJ46" s="24"/>
      <c r="AW46" s="25"/>
      <c r="AX46" s="26"/>
      <c r="AY46" s="27"/>
    </row>
    <row r="47" spans="34:51" ht="12.75" x14ac:dyDescent="0.2">
      <c r="AH47" s="23"/>
      <c r="AJ47" s="24"/>
      <c r="AW47" s="25"/>
      <c r="AX47" s="26"/>
      <c r="AY47" s="27"/>
    </row>
    <row r="48" spans="34:51" ht="12.75" x14ac:dyDescent="0.2">
      <c r="AH48" s="23"/>
      <c r="AJ48" s="24"/>
      <c r="AW48" s="25"/>
      <c r="AX48" s="26"/>
      <c r="AY48" s="27"/>
    </row>
    <row r="49" spans="34:51" ht="12.75" x14ac:dyDescent="0.2">
      <c r="AH49" s="23"/>
      <c r="AJ49" s="24"/>
      <c r="AW49" s="25"/>
      <c r="AX49" s="26"/>
      <c r="AY49" s="27"/>
    </row>
    <row r="50" spans="34:51" ht="12.75" x14ac:dyDescent="0.2">
      <c r="AH50" s="23"/>
      <c r="AJ50" s="24"/>
      <c r="AW50" s="25"/>
      <c r="AX50" s="26"/>
      <c r="AY50" s="27"/>
    </row>
    <row r="51" spans="34:51" ht="12.75" x14ac:dyDescent="0.2">
      <c r="AH51" s="23"/>
      <c r="AJ51" s="24"/>
      <c r="AW51" s="25"/>
      <c r="AX51" s="26"/>
      <c r="AY51" s="27"/>
    </row>
    <row r="52" spans="34:51" ht="12.75" x14ac:dyDescent="0.2">
      <c r="AH52" s="23"/>
      <c r="AJ52" s="24"/>
      <c r="AW52" s="25"/>
      <c r="AX52" s="26"/>
      <c r="AY52" s="27"/>
    </row>
    <row r="53" spans="34:51" ht="12.75" x14ac:dyDescent="0.2">
      <c r="AH53" s="23"/>
      <c r="AJ53" s="24"/>
      <c r="AW53" s="25"/>
      <c r="AX53" s="26"/>
      <c r="AY53" s="27"/>
    </row>
    <row r="54" spans="34:51" ht="12.75" x14ac:dyDescent="0.2">
      <c r="AH54" s="23"/>
      <c r="AJ54" s="24"/>
      <c r="AW54" s="25"/>
      <c r="AX54" s="26"/>
      <c r="AY54" s="27"/>
    </row>
    <row r="55" spans="34:51" ht="12.75" x14ac:dyDescent="0.2">
      <c r="AH55" s="23"/>
      <c r="AJ55" s="24"/>
      <c r="AW55" s="25"/>
      <c r="AX55" s="26"/>
      <c r="AY55" s="27"/>
    </row>
    <row r="56" spans="34:51" ht="12.75" x14ac:dyDescent="0.2">
      <c r="AH56" s="23"/>
      <c r="AJ56" s="24"/>
      <c r="AW56" s="25"/>
      <c r="AX56" s="26"/>
      <c r="AY56" s="27"/>
    </row>
    <row r="57" spans="34:51" ht="12.75" x14ac:dyDescent="0.2">
      <c r="AH57" s="23"/>
      <c r="AJ57" s="24"/>
      <c r="AW57" s="25"/>
      <c r="AX57" s="26"/>
      <c r="AY57" s="27"/>
    </row>
    <row r="58" spans="34:51" ht="12.75" x14ac:dyDescent="0.2">
      <c r="AH58" s="23"/>
      <c r="AJ58" s="24"/>
      <c r="AW58" s="25"/>
      <c r="AX58" s="26"/>
      <c r="AY58" s="27"/>
    </row>
    <row r="59" spans="34:51" ht="12.75" x14ac:dyDescent="0.2">
      <c r="AH59" s="23"/>
      <c r="AJ59" s="24"/>
      <c r="AW59" s="25"/>
      <c r="AX59" s="26"/>
      <c r="AY59" s="27"/>
    </row>
    <row r="60" spans="34:51" ht="12.75" x14ac:dyDescent="0.2">
      <c r="AH60" s="23"/>
      <c r="AJ60" s="24"/>
      <c r="AW60" s="25"/>
      <c r="AX60" s="26"/>
      <c r="AY60" s="27"/>
    </row>
    <row r="61" spans="34:51" ht="12.75" x14ac:dyDescent="0.2">
      <c r="AH61" s="23"/>
      <c r="AJ61" s="24"/>
      <c r="AW61" s="25"/>
      <c r="AX61" s="26"/>
      <c r="AY61" s="27"/>
    </row>
    <row r="62" spans="34:51" ht="12.75" x14ac:dyDescent="0.2">
      <c r="AH62" s="23"/>
      <c r="AJ62" s="24"/>
      <c r="AW62" s="25"/>
      <c r="AX62" s="26"/>
      <c r="AY62" s="27"/>
    </row>
    <row r="63" spans="34:51" ht="12.75" x14ac:dyDescent="0.2">
      <c r="AH63" s="23"/>
      <c r="AJ63" s="24"/>
      <c r="AW63" s="25"/>
      <c r="AX63" s="26"/>
      <c r="AY63" s="27"/>
    </row>
    <row r="64" spans="34:51" ht="12.75" x14ac:dyDescent="0.2">
      <c r="AH64" s="23"/>
      <c r="AJ64" s="24"/>
      <c r="AW64" s="25"/>
      <c r="AX64" s="26"/>
      <c r="AY64" s="27"/>
    </row>
    <row r="65" spans="34:51" ht="12.75" x14ac:dyDescent="0.2">
      <c r="AH65" s="23"/>
      <c r="AJ65" s="24"/>
      <c r="AW65" s="25"/>
      <c r="AX65" s="26"/>
      <c r="AY65" s="27"/>
    </row>
    <row r="66" spans="34:51" ht="12.75" x14ac:dyDescent="0.2">
      <c r="AH66" s="23"/>
      <c r="AJ66" s="24"/>
      <c r="AW66" s="25"/>
      <c r="AX66" s="26"/>
      <c r="AY66" s="27"/>
    </row>
    <row r="67" spans="34:51" ht="12.75" x14ac:dyDescent="0.2">
      <c r="AH67" s="23"/>
      <c r="AJ67" s="24"/>
      <c r="AW67" s="25"/>
      <c r="AX67" s="26"/>
      <c r="AY67" s="27"/>
    </row>
    <row r="68" spans="34:51" ht="12.75" x14ac:dyDescent="0.2">
      <c r="AH68" s="23"/>
      <c r="AJ68" s="24"/>
      <c r="AW68" s="25"/>
      <c r="AX68" s="26"/>
      <c r="AY68" s="27"/>
    </row>
    <row r="69" spans="34:51" ht="12.75" x14ac:dyDescent="0.2">
      <c r="AH69" s="23"/>
      <c r="AJ69" s="24"/>
      <c r="AW69" s="25"/>
      <c r="AX69" s="26"/>
      <c r="AY69" s="27"/>
    </row>
    <row r="70" spans="34:51" ht="12.75" x14ac:dyDescent="0.2">
      <c r="AH70" s="23"/>
      <c r="AJ70" s="24"/>
      <c r="AW70" s="25"/>
      <c r="AX70" s="26"/>
      <c r="AY70" s="27"/>
    </row>
    <row r="71" spans="34:51" ht="12.75" x14ac:dyDescent="0.2">
      <c r="AH71" s="23"/>
      <c r="AJ71" s="24"/>
      <c r="AW71" s="25"/>
      <c r="AX71" s="26"/>
      <c r="AY71" s="27"/>
    </row>
    <row r="72" spans="34:51" ht="12.75" x14ac:dyDescent="0.2">
      <c r="AH72" s="23"/>
      <c r="AJ72" s="24"/>
      <c r="AW72" s="25"/>
      <c r="AX72" s="26"/>
      <c r="AY72" s="27"/>
    </row>
    <row r="73" spans="34:51" ht="12.75" x14ac:dyDescent="0.2">
      <c r="AH73" s="23"/>
      <c r="AJ73" s="24"/>
      <c r="AW73" s="25"/>
      <c r="AX73" s="26"/>
      <c r="AY73" s="27"/>
    </row>
    <row r="74" spans="34:51" ht="12.75" x14ac:dyDescent="0.2">
      <c r="AH74" s="23"/>
      <c r="AJ74" s="24"/>
      <c r="AW74" s="25"/>
      <c r="AX74" s="26"/>
      <c r="AY74" s="27"/>
    </row>
    <row r="75" spans="34:51" ht="12.75" x14ac:dyDescent="0.2">
      <c r="AH75" s="23"/>
      <c r="AJ75" s="24"/>
      <c r="AW75" s="25"/>
      <c r="AX75" s="26"/>
      <c r="AY75" s="27"/>
    </row>
    <row r="76" spans="34:51" ht="12.75" x14ac:dyDescent="0.2">
      <c r="AH76" s="23"/>
      <c r="AJ76" s="24"/>
      <c r="AW76" s="25"/>
      <c r="AX76" s="26"/>
      <c r="AY76" s="27"/>
    </row>
    <row r="77" spans="34:51" ht="12.75" x14ac:dyDescent="0.2">
      <c r="AH77" s="23"/>
      <c r="AJ77" s="24"/>
      <c r="AW77" s="25"/>
      <c r="AX77" s="26"/>
      <c r="AY77" s="27"/>
    </row>
    <row r="78" spans="34:51" ht="12.75" x14ac:dyDescent="0.2">
      <c r="AH78" s="23"/>
      <c r="AJ78" s="24"/>
      <c r="AW78" s="25"/>
      <c r="AX78" s="26"/>
      <c r="AY78" s="27"/>
    </row>
    <row r="79" spans="34:51" ht="12.75" x14ac:dyDescent="0.2">
      <c r="AH79" s="23"/>
      <c r="AJ79" s="24"/>
      <c r="AW79" s="25"/>
      <c r="AX79" s="26"/>
      <c r="AY79" s="27"/>
    </row>
    <row r="80" spans="34:51" ht="12.75" x14ac:dyDescent="0.2">
      <c r="AH80" s="23"/>
      <c r="AJ80" s="24"/>
      <c r="AW80" s="25"/>
      <c r="AX80" s="26"/>
      <c r="AY80" s="27"/>
    </row>
    <row r="81" spans="34:51" ht="12.75" x14ac:dyDescent="0.2">
      <c r="AH81" s="23"/>
      <c r="AJ81" s="24"/>
      <c r="AW81" s="25"/>
      <c r="AX81" s="26"/>
      <c r="AY81" s="27"/>
    </row>
    <row r="82" spans="34:51" ht="12.75" x14ac:dyDescent="0.2">
      <c r="AH82" s="23"/>
      <c r="AJ82" s="24"/>
      <c r="AW82" s="25"/>
      <c r="AX82" s="26"/>
      <c r="AY82" s="27"/>
    </row>
    <row r="83" spans="34:51" ht="12.75" x14ac:dyDescent="0.2">
      <c r="AH83" s="23"/>
      <c r="AJ83" s="24"/>
      <c r="AW83" s="25"/>
      <c r="AX83" s="26"/>
      <c r="AY83" s="27"/>
    </row>
    <row r="84" spans="34:51" ht="12.75" x14ac:dyDescent="0.2">
      <c r="AH84" s="23"/>
      <c r="AJ84" s="24"/>
      <c r="AW84" s="25"/>
      <c r="AX84" s="26"/>
      <c r="AY84" s="27"/>
    </row>
    <row r="85" spans="34:51" ht="12.75" x14ac:dyDescent="0.2">
      <c r="AH85" s="23"/>
      <c r="AJ85" s="24"/>
      <c r="AW85" s="25"/>
      <c r="AX85" s="26"/>
      <c r="AY85" s="27"/>
    </row>
    <row r="86" spans="34:51" ht="12.75" x14ac:dyDescent="0.2">
      <c r="AH86" s="23"/>
      <c r="AJ86" s="24"/>
      <c r="AW86" s="25"/>
      <c r="AX86" s="26"/>
      <c r="AY86" s="27"/>
    </row>
    <row r="87" spans="34:51" ht="12.75" x14ac:dyDescent="0.2">
      <c r="AH87" s="23"/>
      <c r="AJ87" s="24"/>
      <c r="AW87" s="25"/>
      <c r="AX87" s="26"/>
      <c r="AY87" s="27"/>
    </row>
    <row r="88" spans="34:51" ht="12.75" x14ac:dyDescent="0.2">
      <c r="AH88" s="23"/>
      <c r="AJ88" s="24"/>
      <c r="AW88" s="25"/>
      <c r="AX88" s="26"/>
      <c r="AY88" s="27"/>
    </row>
    <row r="89" spans="34:51" ht="12.75" x14ac:dyDescent="0.2">
      <c r="AH89" s="23"/>
      <c r="AJ89" s="24"/>
      <c r="AW89" s="25"/>
      <c r="AX89" s="26"/>
      <c r="AY89" s="27"/>
    </row>
    <row r="90" spans="34:51" ht="12.75" x14ac:dyDescent="0.2">
      <c r="AH90" s="23"/>
      <c r="AJ90" s="24"/>
      <c r="AW90" s="25"/>
      <c r="AX90" s="26"/>
      <c r="AY90" s="27"/>
    </row>
    <row r="91" spans="34:51" ht="12.75" x14ac:dyDescent="0.2">
      <c r="AH91" s="23"/>
      <c r="AJ91" s="24"/>
      <c r="AW91" s="25"/>
      <c r="AX91" s="26"/>
      <c r="AY91" s="27"/>
    </row>
    <row r="92" spans="34:51" ht="12.75" x14ac:dyDescent="0.2">
      <c r="AH92" s="23"/>
      <c r="AJ92" s="24"/>
      <c r="AW92" s="25"/>
      <c r="AX92" s="26"/>
      <c r="AY92" s="27"/>
    </row>
    <row r="93" spans="34:51" ht="12.75" x14ac:dyDescent="0.2">
      <c r="AH93" s="23"/>
      <c r="AJ93" s="24"/>
      <c r="AW93" s="25"/>
      <c r="AX93" s="26"/>
      <c r="AY93" s="27"/>
    </row>
    <row r="94" spans="34:51" ht="12.75" x14ac:dyDescent="0.2">
      <c r="AH94" s="23"/>
      <c r="AJ94" s="24"/>
      <c r="AW94" s="25"/>
      <c r="AX94" s="26"/>
      <c r="AY94" s="27"/>
    </row>
    <row r="95" spans="34:51" ht="12.75" x14ac:dyDescent="0.2">
      <c r="AH95" s="23"/>
      <c r="AJ95" s="24"/>
      <c r="AW95" s="25"/>
      <c r="AX95" s="26"/>
      <c r="AY95" s="27"/>
    </row>
    <row r="96" spans="34:51" ht="12.75" x14ac:dyDescent="0.2">
      <c r="AH96" s="23"/>
      <c r="AJ96" s="24"/>
      <c r="AW96" s="25"/>
      <c r="AX96" s="26"/>
      <c r="AY96" s="27"/>
    </row>
    <row r="97" spans="34:51" ht="12.75" x14ac:dyDescent="0.2">
      <c r="AH97" s="23"/>
      <c r="AJ97" s="24"/>
      <c r="AW97" s="25"/>
      <c r="AX97" s="26"/>
      <c r="AY97" s="27"/>
    </row>
    <row r="98" spans="34:51" ht="12.75" x14ac:dyDescent="0.2">
      <c r="AH98" s="23"/>
      <c r="AJ98" s="24"/>
      <c r="AW98" s="25"/>
      <c r="AX98" s="26"/>
      <c r="AY98" s="27"/>
    </row>
    <row r="99" spans="34:51" ht="12.75" x14ac:dyDescent="0.2">
      <c r="AH99" s="23"/>
      <c r="AJ99" s="24"/>
      <c r="AW99" s="25"/>
      <c r="AX99" s="26"/>
      <c r="AY99" s="27"/>
    </row>
    <row r="100" spans="34:51" ht="12.75" x14ac:dyDescent="0.2">
      <c r="AH100" s="23"/>
      <c r="AJ100" s="24"/>
      <c r="AW100" s="25"/>
      <c r="AX100" s="26"/>
      <c r="AY100" s="27"/>
    </row>
    <row r="101" spans="34:51" ht="12.75" x14ac:dyDescent="0.2">
      <c r="AH101" s="23"/>
      <c r="AJ101" s="24"/>
      <c r="AW101" s="25"/>
      <c r="AX101" s="26"/>
      <c r="AY101" s="27"/>
    </row>
    <row r="102" spans="34:51" ht="12.75" x14ac:dyDescent="0.2">
      <c r="AH102" s="23"/>
      <c r="AJ102" s="24"/>
      <c r="AW102" s="25"/>
      <c r="AX102" s="26"/>
      <c r="AY102" s="27"/>
    </row>
    <row r="103" spans="34:51" ht="12.75" x14ac:dyDescent="0.2">
      <c r="AH103" s="23"/>
      <c r="AJ103" s="24"/>
      <c r="AW103" s="25"/>
      <c r="AX103" s="26"/>
      <c r="AY103" s="27"/>
    </row>
    <row r="104" spans="34:51" ht="12.75" x14ac:dyDescent="0.2">
      <c r="AH104" s="23"/>
      <c r="AJ104" s="24"/>
      <c r="AW104" s="25"/>
      <c r="AX104" s="26"/>
      <c r="AY104" s="27"/>
    </row>
    <row r="105" spans="34:51" ht="12.75" x14ac:dyDescent="0.2">
      <c r="AH105" s="23"/>
      <c r="AJ105" s="24"/>
      <c r="AW105" s="25"/>
      <c r="AX105" s="26"/>
      <c r="AY105" s="27"/>
    </row>
    <row r="106" spans="34:51" ht="12.75" x14ac:dyDescent="0.2">
      <c r="AH106" s="23"/>
      <c r="AJ106" s="24"/>
      <c r="AW106" s="25"/>
      <c r="AX106" s="26"/>
      <c r="AY106" s="27"/>
    </row>
    <row r="107" spans="34:51" ht="12.75" x14ac:dyDescent="0.2">
      <c r="AH107" s="23"/>
      <c r="AJ107" s="24"/>
      <c r="AW107" s="25"/>
      <c r="AX107" s="26"/>
      <c r="AY107" s="27"/>
    </row>
    <row r="108" spans="34:51" ht="12.75" x14ac:dyDescent="0.2">
      <c r="AH108" s="23"/>
      <c r="AJ108" s="24"/>
      <c r="AW108" s="25"/>
      <c r="AX108" s="26"/>
      <c r="AY108" s="27"/>
    </row>
    <row r="109" spans="34:51" ht="12.75" x14ac:dyDescent="0.2">
      <c r="AH109" s="23"/>
      <c r="AJ109" s="24"/>
      <c r="AW109" s="25"/>
      <c r="AX109" s="26"/>
      <c r="AY109" s="27"/>
    </row>
    <row r="110" spans="34:51" ht="12.75" x14ac:dyDescent="0.2">
      <c r="AH110" s="23"/>
      <c r="AJ110" s="24"/>
      <c r="AW110" s="25"/>
      <c r="AX110" s="26"/>
      <c r="AY110" s="27"/>
    </row>
    <row r="111" spans="34:51" ht="12.75" x14ac:dyDescent="0.2">
      <c r="AH111" s="23"/>
      <c r="AJ111" s="24"/>
      <c r="AW111" s="25"/>
      <c r="AX111" s="26"/>
      <c r="AY111" s="27"/>
    </row>
    <row r="112" spans="34:51" ht="12.75" x14ac:dyDescent="0.2">
      <c r="AH112" s="23"/>
      <c r="AJ112" s="24"/>
      <c r="AW112" s="25"/>
      <c r="AX112" s="26"/>
      <c r="AY112" s="27"/>
    </row>
    <row r="113" spans="34:51" ht="12.75" x14ac:dyDescent="0.2">
      <c r="AH113" s="23"/>
      <c r="AJ113" s="24"/>
      <c r="AW113" s="25"/>
      <c r="AX113" s="26"/>
      <c r="AY113" s="27"/>
    </row>
    <row r="114" spans="34:51" ht="12.75" x14ac:dyDescent="0.2">
      <c r="AH114" s="23"/>
      <c r="AJ114" s="24"/>
      <c r="AW114" s="25"/>
      <c r="AX114" s="26"/>
      <c r="AY114" s="27"/>
    </row>
    <row r="115" spans="34:51" ht="12.75" x14ac:dyDescent="0.2">
      <c r="AH115" s="23"/>
      <c r="AJ115" s="24"/>
      <c r="AW115" s="25"/>
      <c r="AX115" s="26"/>
      <c r="AY115" s="27"/>
    </row>
    <row r="116" spans="34:51" ht="12.75" x14ac:dyDescent="0.2">
      <c r="AH116" s="23"/>
      <c r="AJ116" s="24"/>
      <c r="AW116" s="25"/>
      <c r="AX116" s="26"/>
      <c r="AY116" s="27"/>
    </row>
    <row r="117" spans="34:51" ht="12.75" x14ac:dyDescent="0.2">
      <c r="AH117" s="23"/>
      <c r="AJ117" s="24"/>
      <c r="AW117" s="25"/>
      <c r="AX117" s="26"/>
      <c r="AY117" s="27"/>
    </row>
    <row r="118" spans="34:51" ht="12.75" x14ac:dyDescent="0.2">
      <c r="AH118" s="23"/>
      <c r="AJ118" s="24"/>
      <c r="AW118" s="25"/>
      <c r="AX118" s="26"/>
      <c r="AY118" s="27"/>
    </row>
    <row r="119" spans="34:51" ht="12.75" x14ac:dyDescent="0.2">
      <c r="AH119" s="23"/>
      <c r="AJ119" s="24"/>
      <c r="AW119" s="25"/>
      <c r="AX119" s="26"/>
      <c r="AY119" s="27"/>
    </row>
    <row r="120" spans="34:51" ht="12.75" x14ac:dyDescent="0.2">
      <c r="AH120" s="23"/>
      <c r="AJ120" s="24"/>
      <c r="AW120" s="25"/>
      <c r="AX120" s="26"/>
      <c r="AY120" s="27"/>
    </row>
    <row r="121" spans="34:51" ht="12.75" x14ac:dyDescent="0.2">
      <c r="AH121" s="23"/>
      <c r="AJ121" s="24"/>
      <c r="AW121" s="25"/>
      <c r="AX121" s="26"/>
      <c r="AY121" s="27"/>
    </row>
    <row r="122" spans="34:51" ht="12.75" x14ac:dyDescent="0.2">
      <c r="AH122" s="23"/>
      <c r="AJ122" s="24"/>
      <c r="AW122" s="25"/>
      <c r="AX122" s="26"/>
      <c r="AY122" s="27"/>
    </row>
    <row r="123" spans="34:51" ht="12.75" x14ac:dyDescent="0.2">
      <c r="AH123" s="23"/>
      <c r="AJ123" s="24"/>
      <c r="AW123" s="25"/>
      <c r="AX123" s="26"/>
      <c r="AY123" s="27"/>
    </row>
    <row r="124" spans="34:51" ht="12.75" x14ac:dyDescent="0.2">
      <c r="AH124" s="23"/>
      <c r="AJ124" s="24"/>
      <c r="AW124" s="25"/>
      <c r="AX124" s="26"/>
      <c r="AY124" s="27"/>
    </row>
    <row r="125" spans="34:51" ht="12.75" x14ac:dyDescent="0.2">
      <c r="AH125" s="23"/>
      <c r="AJ125" s="24"/>
      <c r="AW125" s="25"/>
      <c r="AX125" s="26"/>
      <c r="AY125" s="27"/>
    </row>
    <row r="126" spans="34:51" ht="12.75" x14ac:dyDescent="0.2">
      <c r="AH126" s="23"/>
      <c r="AJ126" s="24"/>
      <c r="AW126" s="25"/>
      <c r="AX126" s="26"/>
      <c r="AY126" s="27"/>
    </row>
    <row r="127" spans="34:51" ht="12.75" x14ac:dyDescent="0.2">
      <c r="AH127" s="23"/>
      <c r="AJ127" s="24"/>
      <c r="AW127" s="25"/>
      <c r="AX127" s="26"/>
      <c r="AY127" s="27"/>
    </row>
    <row r="128" spans="34:51" ht="12.75" x14ac:dyDescent="0.2">
      <c r="AH128" s="23"/>
      <c r="AJ128" s="24"/>
      <c r="AW128" s="25"/>
      <c r="AX128" s="26"/>
      <c r="AY128" s="27"/>
    </row>
    <row r="129" spans="34:51" ht="12.75" x14ac:dyDescent="0.2">
      <c r="AH129" s="23"/>
      <c r="AJ129" s="24"/>
      <c r="AW129" s="25"/>
      <c r="AX129" s="26"/>
      <c r="AY129" s="27"/>
    </row>
    <row r="130" spans="34:51" ht="12.75" x14ac:dyDescent="0.2">
      <c r="AH130" s="23"/>
      <c r="AJ130" s="24"/>
      <c r="AW130" s="25"/>
      <c r="AX130" s="26"/>
      <c r="AY130" s="27"/>
    </row>
    <row r="131" spans="34:51" ht="12.75" x14ac:dyDescent="0.2">
      <c r="AH131" s="23"/>
      <c r="AJ131" s="24"/>
      <c r="AW131" s="25"/>
      <c r="AX131" s="26"/>
      <c r="AY131" s="27"/>
    </row>
    <row r="132" spans="34:51" ht="12.75" x14ac:dyDescent="0.2">
      <c r="AH132" s="23"/>
      <c r="AJ132" s="24"/>
      <c r="AW132" s="25"/>
      <c r="AX132" s="26"/>
      <c r="AY132" s="27"/>
    </row>
    <row r="133" spans="34:51" ht="12.75" x14ac:dyDescent="0.2">
      <c r="AH133" s="23"/>
      <c r="AJ133" s="24"/>
      <c r="AW133" s="25"/>
      <c r="AX133" s="26"/>
      <c r="AY133" s="27"/>
    </row>
    <row r="134" spans="34:51" ht="12.75" x14ac:dyDescent="0.2">
      <c r="AH134" s="23"/>
      <c r="AJ134" s="24"/>
      <c r="AW134" s="25"/>
      <c r="AX134" s="26"/>
      <c r="AY134" s="27"/>
    </row>
    <row r="135" spans="34:51" ht="12.75" x14ac:dyDescent="0.2">
      <c r="AH135" s="23"/>
      <c r="AJ135" s="24"/>
      <c r="AW135" s="25"/>
      <c r="AX135" s="26"/>
      <c r="AY135" s="27"/>
    </row>
    <row r="136" spans="34:51" ht="12.75" x14ac:dyDescent="0.2">
      <c r="AH136" s="23"/>
      <c r="AJ136" s="24"/>
      <c r="AW136" s="25"/>
      <c r="AX136" s="26"/>
      <c r="AY136" s="27"/>
    </row>
    <row r="137" spans="34:51" ht="12.75" x14ac:dyDescent="0.2">
      <c r="AH137" s="23"/>
      <c r="AJ137" s="24"/>
      <c r="AW137" s="25"/>
      <c r="AX137" s="26"/>
      <c r="AY137" s="27"/>
    </row>
    <row r="138" spans="34:51" ht="12.75" x14ac:dyDescent="0.2">
      <c r="AH138" s="23"/>
      <c r="AJ138" s="24"/>
      <c r="AW138" s="25"/>
      <c r="AX138" s="26"/>
      <c r="AY138" s="27"/>
    </row>
    <row r="139" spans="34:51" ht="12.75" x14ac:dyDescent="0.2">
      <c r="AH139" s="23"/>
      <c r="AJ139" s="24"/>
      <c r="AW139" s="25"/>
      <c r="AX139" s="26"/>
      <c r="AY139" s="27"/>
    </row>
    <row r="140" spans="34:51" ht="12.75" x14ac:dyDescent="0.2">
      <c r="AH140" s="23"/>
      <c r="AJ140" s="24"/>
      <c r="AW140" s="25"/>
      <c r="AX140" s="26"/>
      <c r="AY140" s="27"/>
    </row>
    <row r="141" spans="34:51" ht="12.75" x14ac:dyDescent="0.2">
      <c r="AH141" s="23"/>
      <c r="AJ141" s="24"/>
      <c r="AW141" s="25"/>
      <c r="AX141" s="26"/>
      <c r="AY141" s="27"/>
    </row>
    <row r="142" spans="34:51" ht="12.75" x14ac:dyDescent="0.2">
      <c r="AH142" s="23"/>
      <c r="AJ142" s="24"/>
      <c r="AW142" s="25"/>
      <c r="AX142" s="26"/>
      <c r="AY142" s="27"/>
    </row>
    <row r="143" spans="34:51" ht="12.75" x14ac:dyDescent="0.2">
      <c r="AH143" s="23"/>
      <c r="AJ143" s="24"/>
      <c r="AW143" s="25"/>
      <c r="AX143" s="26"/>
      <c r="AY143" s="27"/>
    </row>
    <row r="144" spans="34:51" ht="12.75" x14ac:dyDescent="0.2">
      <c r="AH144" s="23"/>
      <c r="AJ144" s="24"/>
      <c r="AW144" s="25"/>
      <c r="AX144" s="26"/>
      <c r="AY144" s="27"/>
    </row>
    <row r="145" spans="34:51" ht="12.75" x14ac:dyDescent="0.2">
      <c r="AH145" s="23"/>
      <c r="AJ145" s="24"/>
      <c r="AW145" s="25"/>
      <c r="AX145" s="26"/>
      <c r="AY145" s="27"/>
    </row>
    <row r="146" spans="34:51" ht="12.75" x14ac:dyDescent="0.2">
      <c r="AH146" s="23"/>
      <c r="AJ146" s="24"/>
      <c r="AW146" s="25"/>
      <c r="AX146" s="26"/>
      <c r="AY146" s="27"/>
    </row>
    <row r="147" spans="34:51" ht="12.75" x14ac:dyDescent="0.2">
      <c r="AH147" s="23"/>
      <c r="AJ147" s="24"/>
      <c r="AW147" s="25"/>
      <c r="AX147" s="26"/>
      <c r="AY147" s="27"/>
    </row>
    <row r="148" spans="34:51" ht="12.75" x14ac:dyDescent="0.2">
      <c r="AH148" s="23"/>
      <c r="AJ148" s="24"/>
      <c r="AW148" s="25"/>
      <c r="AX148" s="26"/>
      <c r="AY148" s="27"/>
    </row>
    <row r="149" spans="34:51" ht="12.75" x14ac:dyDescent="0.2">
      <c r="AH149" s="23"/>
      <c r="AJ149" s="24"/>
      <c r="AW149" s="25"/>
      <c r="AX149" s="26"/>
      <c r="AY149" s="27"/>
    </row>
    <row r="150" spans="34:51" ht="12.75" x14ac:dyDescent="0.2">
      <c r="AH150" s="23"/>
      <c r="AJ150" s="24"/>
      <c r="AW150" s="25"/>
      <c r="AX150" s="26"/>
      <c r="AY150" s="27"/>
    </row>
    <row r="151" spans="34:51" ht="12.75" x14ac:dyDescent="0.2">
      <c r="AH151" s="23"/>
      <c r="AJ151" s="24"/>
      <c r="AW151" s="25"/>
      <c r="AX151" s="26"/>
      <c r="AY151" s="27"/>
    </row>
    <row r="152" spans="34:51" ht="12.75" x14ac:dyDescent="0.2">
      <c r="AH152" s="23"/>
      <c r="AJ152" s="24"/>
      <c r="AW152" s="25"/>
      <c r="AX152" s="26"/>
      <c r="AY152" s="27"/>
    </row>
    <row r="153" spans="34:51" ht="12.75" x14ac:dyDescent="0.2">
      <c r="AH153" s="23"/>
      <c r="AJ153" s="24"/>
      <c r="AW153" s="25"/>
      <c r="AX153" s="26"/>
      <c r="AY153" s="27"/>
    </row>
    <row r="154" spans="34:51" ht="12.75" x14ac:dyDescent="0.2">
      <c r="AH154" s="23"/>
      <c r="AJ154" s="24"/>
      <c r="AW154" s="25"/>
      <c r="AX154" s="26"/>
      <c r="AY154" s="27"/>
    </row>
    <row r="155" spans="34:51" ht="12.75" x14ac:dyDescent="0.2">
      <c r="AH155" s="23"/>
      <c r="AJ155" s="24"/>
      <c r="AW155" s="25"/>
      <c r="AX155" s="26"/>
      <c r="AY155" s="27"/>
    </row>
    <row r="156" spans="34:51" ht="12.75" x14ac:dyDescent="0.2">
      <c r="AH156" s="23"/>
      <c r="AJ156" s="24"/>
      <c r="AW156" s="25"/>
      <c r="AX156" s="26"/>
      <c r="AY156" s="27"/>
    </row>
    <row r="157" spans="34:51" ht="12.75" x14ac:dyDescent="0.2">
      <c r="AH157" s="23"/>
      <c r="AJ157" s="24"/>
      <c r="AW157" s="25"/>
      <c r="AX157" s="26"/>
      <c r="AY157" s="27"/>
    </row>
    <row r="158" spans="34:51" ht="12.75" x14ac:dyDescent="0.2">
      <c r="AH158" s="23"/>
      <c r="AJ158" s="24"/>
      <c r="AW158" s="25"/>
      <c r="AX158" s="26"/>
      <c r="AY158" s="27"/>
    </row>
    <row r="159" spans="34:51" ht="12.75" x14ac:dyDescent="0.2">
      <c r="AH159" s="23"/>
      <c r="AJ159" s="24"/>
      <c r="AW159" s="25"/>
      <c r="AX159" s="26"/>
      <c r="AY159" s="27"/>
    </row>
    <row r="160" spans="34:51" ht="12.75" x14ac:dyDescent="0.2">
      <c r="AH160" s="23"/>
      <c r="AJ160" s="24"/>
      <c r="AW160" s="25"/>
      <c r="AX160" s="26"/>
      <c r="AY160" s="27"/>
    </row>
    <row r="161" spans="34:51" ht="12.75" x14ac:dyDescent="0.2">
      <c r="AH161" s="23"/>
      <c r="AJ161" s="24"/>
      <c r="AW161" s="25"/>
      <c r="AX161" s="26"/>
      <c r="AY161" s="27"/>
    </row>
    <row r="162" spans="34:51" ht="12.75" x14ac:dyDescent="0.2">
      <c r="AH162" s="23"/>
      <c r="AJ162" s="24"/>
      <c r="AW162" s="25"/>
      <c r="AX162" s="26"/>
      <c r="AY162" s="27"/>
    </row>
    <row r="163" spans="34:51" ht="12.75" x14ac:dyDescent="0.2">
      <c r="AH163" s="23"/>
      <c r="AJ163" s="24"/>
      <c r="AW163" s="25"/>
      <c r="AX163" s="26"/>
      <c r="AY163" s="27"/>
    </row>
    <row r="164" spans="34:51" ht="12.75" x14ac:dyDescent="0.2">
      <c r="AH164" s="23"/>
      <c r="AJ164" s="24"/>
      <c r="AW164" s="25"/>
      <c r="AX164" s="26"/>
      <c r="AY164" s="27"/>
    </row>
    <row r="165" spans="34:51" ht="12.75" x14ac:dyDescent="0.2">
      <c r="AH165" s="23"/>
      <c r="AJ165" s="24"/>
      <c r="AW165" s="25"/>
      <c r="AX165" s="26"/>
      <c r="AY165" s="27"/>
    </row>
    <row r="166" spans="34:51" ht="12.75" x14ac:dyDescent="0.2">
      <c r="AH166" s="23"/>
      <c r="AJ166" s="24"/>
      <c r="AW166" s="25"/>
      <c r="AX166" s="26"/>
      <c r="AY166" s="27"/>
    </row>
    <row r="167" spans="34:51" ht="12.75" x14ac:dyDescent="0.2">
      <c r="AH167" s="23"/>
      <c r="AJ167" s="24"/>
      <c r="AW167" s="25"/>
      <c r="AX167" s="26"/>
      <c r="AY167" s="27"/>
    </row>
    <row r="168" spans="34:51" ht="12.75" x14ac:dyDescent="0.2">
      <c r="AH168" s="23"/>
      <c r="AJ168" s="24"/>
      <c r="AW168" s="25"/>
      <c r="AX168" s="26"/>
      <c r="AY168" s="27"/>
    </row>
    <row r="169" spans="34:51" ht="12.75" x14ac:dyDescent="0.2">
      <c r="AH169" s="23"/>
      <c r="AJ169" s="24"/>
      <c r="AW169" s="25"/>
      <c r="AX169" s="26"/>
      <c r="AY169" s="27"/>
    </row>
    <row r="170" spans="34:51" ht="12.75" x14ac:dyDescent="0.2">
      <c r="AH170" s="23"/>
      <c r="AJ170" s="24"/>
      <c r="AW170" s="25"/>
      <c r="AX170" s="26"/>
      <c r="AY170" s="27"/>
    </row>
    <row r="171" spans="34:51" ht="12.75" x14ac:dyDescent="0.2">
      <c r="AH171" s="23"/>
      <c r="AJ171" s="24"/>
      <c r="AW171" s="25"/>
      <c r="AX171" s="26"/>
      <c r="AY171" s="27"/>
    </row>
    <row r="172" spans="34:51" ht="12.75" x14ac:dyDescent="0.2">
      <c r="AH172" s="23"/>
      <c r="AJ172" s="24"/>
      <c r="AW172" s="25"/>
      <c r="AX172" s="26"/>
      <c r="AY172" s="27"/>
    </row>
    <row r="173" spans="34:51" ht="12.75" x14ac:dyDescent="0.2">
      <c r="AH173" s="23"/>
      <c r="AJ173" s="24"/>
      <c r="AW173" s="25"/>
      <c r="AX173" s="26"/>
      <c r="AY173" s="27"/>
    </row>
    <row r="174" spans="34:51" ht="12.75" x14ac:dyDescent="0.2">
      <c r="AH174" s="23"/>
      <c r="AJ174" s="24"/>
      <c r="AW174" s="25"/>
      <c r="AX174" s="26"/>
      <c r="AY174" s="27"/>
    </row>
    <row r="175" spans="34:51" ht="12.75" x14ac:dyDescent="0.2">
      <c r="AH175" s="23"/>
      <c r="AJ175" s="24"/>
      <c r="AW175" s="25"/>
      <c r="AX175" s="26"/>
      <c r="AY175" s="27"/>
    </row>
    <row r="176" spans="34:51" ht="12.75" x14ac:dyDescent="0.2">
      <c r="AH176" s="23"/>
      <c r="AJ176" s="24"/>
      <c r="AW176" s="25"/>
      <c r="AX176" s="26"/>
      <c r="AY176" s="27"/>
    </row>
    <row r="177" spans="34:51" ht="12.75" x14ac:dyDescent="0.2">
      <c r="AH177" s="23"/>
      <c r="AJ177" s="24"/>
      <c r="AW177" s="25"/>
      <c r="AX177" s="26"/>
      <c r="AY177" s="27"/>
    </row>
    <row r="178" spans="34:51" ht="12.75" x14ac:dyDescent="0.2">
      <c r="AH178" s="23"/>
      <c r="AJ178" s="24"/>
      <c r="AW178" s="25"/>
      <c r="AX178" s="26"/>
      <c r="AY178" s="27"/>
    </row>
    <row r="179" spans="34:51" ht="12.75" x14ac:dyDescent="0.2">
      <c r="AH179" s="23"/>
      <c r="AJ179" s="24"/>
      <c r="AW179" s="25"/>
      <c r="AX179" s="26"/>
      <c r="AY179" s="27"/>
    </row>
    <row r="180" spans="34:51" ht="12.75" x14ac:dyDescent="0.2">
      <c r="AH180" s="23"/>
      <c r="AJ180" s="24"/>
      <c r="AW180" s="25"/>
      <c r="AX180" s="26"/>
      <c r="AY180" s="27"/>
    </row>
    <row r="181" spans="34:51" ht="12.75" x14ac:dyDescent="0.2">
      <c r="AH181" s="23"/>
      <c r="AJ181" s="24"/>
      <c r="AW181" s="25"/>
      <c r="AX181" s="26"/>
      <c r="AY181" s="27"/>
    </row>
    <row r="182" spans="34:51" ht="12.75" x14ac:dyDescent="0.2">
      <c r="AH182" s="23"/>
      <c r="AJ182" s="24"/>
      <c r="AW182" s="25"/>
      <c r="AX182" s="26"/>
      <c r="AY182" s="27"/>
    </row>
    <row r="183" spans="34:51" ht="12.75" x14ac:dyDescent="0.2">
      <c r="AH183" s="23"/>
      <c r="AJ183" s="24"/>
      <c r="AW183" s="25"/>
      <c r="AX183" s="26"/>
      <c r="AY183" s="27"/>
    </row>
    <row r="184" spans="34:51" ht="12.75" x14ac:dyDescent="0.2">
      <c r="AH184" s="23"/>
      <c r="AJ184" s="24"/>
      <c r="AW184" s="25"/>
      <c r="AX184" s="26"/>
      <c r="AY184" s="27"/>
    </row>
    <row r="185" spans="34:51" ht="12.75" x14ac:dyDescent="0.2">
      <c r="AH185" s="23"/>
      <c r="AJ185" s="24"/>
      <c r="AW185" s="25"/>
      <c r="AX185" s="26"/>
      <c r="AY185" s="27"/>
    </row>
    <row r="186" spans="34:51" ht="12.75" x14ac:dyDescent="0.2">
      <c r="AH186" s="23"/>
      <c r="AJ186" s="24"/>
      <c r="AW186" s="25"/>
      <c r="AX186" s="26"/>
      <c r="AY186" s="27"/>
    </row>
    <row r="187" spans="34:51" ht="12.75" x14ac:dyDescent="0.2">
      <c r="AH187" s="23"/>
      <c r="AJ187" s="24"/>
      <c r="AW187" s="25"/>
      <c r="AX187" s="26"/>
      <c r="AY187" s="27"/>
    </row>
    <row r="188" spans="34:51" ht="12.75" x14ac:dyDescent="0.2">
      <c r="AH188" s="23"/>
      <c r="AJ188" s="24"/>
      <c r="AW188" s="25"/>
      <c r="AX188" s="26"/>
      <c r="AY188" s="27"/>
    </row>
    <row r="189" spans="34:51" ht="12.75" x14ac:dyDescent="0.2">
      <c r="AH189" s="23"/>
      <c r="AJ189" s="24"/>
      <c r="AW189" s="25"/>
      <c r="AX189" s="26"/>
      <c r="AY189" s="27"/>
    </row>
    <row r="190" spans="34:51" ht="12.75" x14ac:dyDescent="0.2">
      <c r="AH190" s="23"/>
      <c r="AJ190" s="24"/>
      <c r="AW190" s="25"/>
      <c r="AX190" s="26"/>
      <c r="AY190" s="27"/>
    </row>
    <row r="191" spans="34:51" ht="12.75" x14ac:dyDescent="0.2">
      <c r="AH191" s="23"/>
      <c r="AJ191" s="24"/>
      <c r="AW191" s="25"/>
      <c r="AX191" s="26"/>
      <c r="AY191" s="27"/>
    </row>
    <row r="192" spans="34:51" ht="12.75" x14ac:dyDescent="0.2">
      <c r="AH192" s="23"/>
      <c r="AJ192" s="24"/>
      <c r="AW192" s="25"/>
      <c r="AX192" s="26"/>
      <c r="AY192" s="27"/>
    </row>
    <row r="193" spans="34:51" ht="12.75" x14ac:dyDescent="0.2">
      <c r="AH193" s="23"/>
      <c r="AJ193" s="24"/>
      <c r="AW193" s="25"/>
      <c r="AX193" s="26"/>
      <c r="AY193" s="27"/>
    </row>
    <row r="194" spans="34:51" ht="12.75" x14ac:dyDescent="0.2">
      <c r="AH194" s="23"/>
      <c r="AJ194" s="24"/>
      <c r="AW194" s="25"/>
      <c r="AX194" s="26"/>
      <c r="AY194" s="27"/>
    </row>
    <row r="195" spans="34:51" ht="12.75" x14ac:dyDescent="0.2">
      <c r="AH195" s="23"/>
      <c r="AJ195" s="24"/>
      <c r="AW195" s="25"/>
      <c r="AX195" s="26"/>
      <c r="AY195" s="27"/>
    </row>
    <row r="196" spans="34:51" ht="12.75" x14ac:dyDescent="0.2">
      <c r="AH196" s="23"/>
      <c r="AJ196" s="24"/>
      <c r="AW196" s="25"/>
      <c r="AX196" s="26"/>
      <c r="AY196" s="27"/>
    </row>
    <row r="197" spans="34:51" ht="12.75" x14ac:dyDescent="0.2">
      <c r="AH197" s="23"/>
      <c r="AJ197" s="24"/>
      <c r="AW197" s="25"/>
      <c r="AX197" s="26"/>
      <c r="AY197" s="27"/>
    </row>
    <row r="198" spans="34:51" ht="12.75" x14ac:dyDescent="0.2">
      <c r="AH198" s="23"/>
      <c r="AJ198" s="24"/>
      <c r="AW198" s="25"/>
      <c r="AX198" s="26"/>
      <c r="AY198" s="27"/>
    </row>
    <row r="199" spans="34:51" ht="12.75" x14ac:dyDescent="0.2">
      <c r="AH199" s="23"/>
      <c r="AJ199" s="24"/>
      <c r="AW199" s="25"/>
      <c r="AX199" s="26"/>
      <c r="AY199" s="27"/>
    </row>
    <row r="200" spans="34:51" ht="12.75" x14ac:dyDescent="0.2">
      <c r="AH200" s="23"/>
      <c r="AJ200" s="24"/>
      <c r="AW200" s="25"/>
      <c r="AX200" s="26"/>
      <c r="AY200" s="27"/>
    </row>
    <row r="201" spans="34:51" ht="12.75" x14ac:dyDescent="0.2">
      <c r="AH201" s="23"/>
      <c r="AJ201" s="24"/>
      <c r="AW201" s="25"/>
      <c r="AX201" s="26"/>
      <c r="AY201" s="27"/>
    </row>
    <row r="202" spans="34:51" ht="12.75" x14ac:dyDescent="0.2">
      <c r="AH202" s="23"/>
      <c r="AJ202" s="24"/>
      <c r="AW202" s="25"/>
      <c r="AX202" s="26"/>
      <c r="AY202" s="27"/>
    </row>
    <row r="203" spans="34:51" ht="12.75" x14ac:dyDescent="0.2">
      <c r="AH203" s="23"/>
      <c r="AJ203" s="24"/>
      <c r="AW203" s="25"/>
      <c r="AX203" s="26"/>
      <c r="AY203" s="27"/>
    </row>
    <row r="204" spans="34:51" ht="12.75" x14ac:dyDescent="0.2">
      <c r="AH204" s="23"/>
      <c r="AJ204" s="24"/>
      <c r="AW204" s="25"/>
      <c r="AX204" s="26"/>
      <c r="AY204" s="27"/>
    </row>
    <row r="205" spans="34:51" ht="12.75" x14ac:dyDescent="0.2">
      <c r="AH205" s="23"/>
      <c r="AJ205" s="24"/>
      <c r="AW205" s="25"/>
      <c r="AX205" s="26"/>
      <c r="AY205" s="27"/>
    </row>
    <row r="206" spans="34:51" ht="12.75" x14ac:dyDescent="0.2">
      <c r="AH206" s="23"/>
      <c r="AJ206" s="24"/>
      <c r="AW206" s="25"/>
      <c r="AX206" s="26"/>
      <c r="AY206" s="27"/>
    </row>
    <row r="207" spans="34:51" ht="12.75" x14ac:dyDescent="0.2">
      <c r="AH207" s="23"/>
      <c r="AJ207" s="24"/>
      <c r="AW207" s="25"/>
      <c r="AX207" s="26"/>
      <c r="AY207" s="27"/>
    </row>
    <row r="208" spans="34:51" ht="12.75" x14ac:dyDescent="0.2">
      <c r="AH208" s="23"/>
      <c r="AJ208" s="24"/>
      <c r="AW208" s="25"/>
      <c r="AX208" s="26"/>
      <c r="AY208" s="27"/>
    </row>
    <row r="209" spans="34:51" ht="12.75" x14ac:dyDescent="0.2">
      <c r="AH209" s="23"/>
      <c r="AJ209" s="24"/>
      <c r="AW209" s="25"/>
      <c r="AX209" s="26"/>
      <c r="AY209" s="27"/>
    </row>
    <row r="210" spans="34:51" ht="12.75" x14ac:dyDescent="0.2">
      <c r="AH210" s="23"/>
      <c r="AJ210" s="24"/>
      <c r="AW210" s="25"/>
      <c r="AX210" s="26"/>
      <c r="AY210" s="27"/>
    </row>
    <row r="211" spans="34:51" ht="12.75" x14ac:dyDescent="0.2">
      <c r="AH211" s="23"/>
      <c r="AJ211" s="24"/>
      <c r="AW211" s="25"/>
      <c r="AX211" s="26"/>
      <c r="AY211" s="27"/>
    </row>
    <row r="212" spans="34:51" ht="12.75" x14ac:dyDescent="0.2">
      <c r="AH212" s="23"/>
      <c r="AJ212" s="24"/>
      <c r="AW212" s="25"/>
      <c r="AX212" s="26"/>
      <c r="AY212" s="27"/>
    </row>
    <row r="213" spans="34:51" ht="12.75" x14ac:dyDescent="0.2">
      <c r="AH213" s="23"/>
      <c r="AJ213" s="24"/>
      <c r="AW213" s="25"/>
      <c r="AX213" s="26"/>
      <c r="AY213" s="27"/>
    </row>
    <row r="214" spans="34:51" ht="12.75" x14ac:dyDescent="0.2">
      <c r="AH214" s="23"/>
      <c r="AJ214" s="24"/>
      <c r="AW214" s="25"/>
      <c r="AX214" s="26"/>
      <c r="AY214" s="27"/>
    </row>
    <row r="215" spans="34:51" ht="12.75" x14ac:dyDescent="0.2">
      <c r="AH215" s="23"/>
      <c r="AJ215" s="24"/>
      <c r="AW215" s="25"/>
      <c r="AX215" s="26"/>
      <c r="AY215" s="27"/>
    </row>
    <row r="216" spans="34:51" ht="12.75" x14ac:dyDescent="0.2">
      <c r="AH216" s="23"/>
      <c r="AJ216" s="24"/>
      <c r="AW216" s="25"/>
      <c r="AX216" s="26"/>
      <c r="AY216" s="27"/>
    </row>
    <row r="217" spans="34:51" ht="12.75" x14ac:dyDescent="0.2">
      <c r="AH217" s="23"/>
      <c r="AJ217" s="24"/>
      <c r="AW217" s="25"/>
      <c r="AX217" s="26"/>
      <c r="AY217" s="27"/>
    </row>
    <row r="218" spans="34:51" ht="12.75" x14ac:dyDescent="0.2">
      <c r="AH218" s="23"/>
      <c r="AJ218" s="24"/>
      <c r="AW218" s="25"/>
      <c r="AX218" s="26"/>
      <c r="AY218" s="27"/>
    </row>
    <row r="219" spans="34:51" ht="12.75" x14ac:dyDescent="0.2">
      <c r="AH219" s="23"/>
      <c r="AJ219" s="24"/>
      <c r="AW219" s="25"/>
      <c r="AX219" s="26"/>
      <c r="AY219" s="27"/>
    </row>
    <row r="220" spans="34:51" ht="12.75" x14ac:dyDescent="0.2">
      <c r="AH220" s="23"/>
      <c r="AJ220" s="24"/>
      <c r="AW220" s="25"/>
      <c r="AX220" s="26"/>
      <c r="AY220" s="27"/>
    </row>
    <row r="221" spans="34:51" ht="12.75" x14ac:dyDescent="0.2">
      <c r="AH221" s="23"/>
      <c r="AJ221" s="24"/>
      <c r="AW221" s="25"/>
      <c r="AX221" s="26"/>
      <c r="AY221" s="27"/>
    </row>
    <row r="222" spans="34:51" ht="12.75" x14ac:dyDescent="0.2">
      <c r="AH222" s="23"/>
      <c r="AJ222" s="24"/>
      <c r="AW222" s="25"/>
      <c r="AX222" s="26"/>
      <c r="AY222" s="27"/>
    </row>
    <row r="223" spans="34:51" ht="12.75" x14ac:dyDescent="0.2">
      <c r="AH223" s="23"/>
      <c r="AJ223" s="24"/>
      <c r="AW223" s="25"/>
      <c r="AX223" s="26"/>
      <c r="AY223" s="27"/>
    </row>
    <row r="224" spans="34:51" ht="12.75" x14ac:dyDescent="0.2">
      <c r="AH224" s="23"/>
      <c r="AJ224" s="24"/>
      <c r="AW224" s="25"/>
      <c r="AX224" s="26"/>
      <c r="AY224" s="27"/>
    </row>
    <row r="225" spans="34:51" ht="12.75" x14ac:dyDescent="0.2">
      <c r="AH225" s="23"/>
      <c r="AJ225" s="24"/>
      <c r="AW225" s="25"/>
      <c r="AX225" s="26"/>
      <c r="AY225" s="27"/>
    </row>
    <row r="226" spans="34:51" ht="12.75" x14ac:dyDescent="0.2">
      <c r="AH226" s="23"/>
      <c r="AJ226" s="24"/>
      <c r="AW226" s="25"/>
      <c r="AX226" s="26"/>
      <c r="AY226" s="27"/>
    </row>
    <row r="227" spans="34:51" ht="12.75" x14ac:dyDescent="0.2">
      <c r="AH227" s="23"/>
      <c r="AJ227" s="24"/>
      <c r="AW227" s="25"/>
      <c r="AX227" s="26"/>
      <c r="AY227" s="27"/>
    </row>
    <row r="228" spans="34:51" ht="12.75" x14ac:dyDescent="0.2">
      <c r="AH228" s="23"/>
      <c r="AJ228" s="24"/>
      <c r="AW228" s="25"/>
      <c r="AX228" s="26"/>
      <c r="AY228" s="27"/>
    </row>
    <row r="229" spans="34:51" ht="12.75" x14ac:dyDescent="0.2">
      <c r="AH229" s="23"/>
      <c r="AJ229" s="24"/>
      <c r="AW229" s="25"/>
      <c r="AX229" s="26"/>
      <c r="AY229" s="27"/>
    </row>
    <row r="230" spans="34:51" ht="12.75" x14ac:dyDescent="0.2">
      <c r="AH230" s="23"/>
      <c r="AJ230" s="24"/>
      <c r="AW230" s="25"/>
      <c r="AX230" s="26"/>
      <c r="AY230" s="27"/>
    </row>
    <row r="231" spans="34:51" ht="12.75" x14ac:dyDescent="0.2">
      <c r="AH231" s="23"/>
      <c r="AJ231" s="24"/>
      <c r="AW231" s="25"/>
      <c r="AX231" s="26"/>
      <c r="AY231" s="27"/>
    </row>
    <row r="232" spans="34:51" ht="12.75" x14ac:dyDescent="0.2">
      <c r="AH232" s="23"/>
      <c r="AJ232" s="24"/>
      <c r="AW232" s="25"/>
      <c r="AX232" s="26"/>
      <c r="AY232" s="27"/>
    </row>
    <row r="233" spans="34:51" ht="12.75" x14ac:dyDescent="0.2">
      <c r="AH233" s="23"/>
      <c r="AJ233" s="24"/>
      <c r="AW233" s="25"/>
      <c r="AX233" s="26"/>
      <c r="AY233" s="27"/>
    </row>
    <row r="234" spans="34:51" ht="12.75" x14ac:dyDescent="0.2">
      <c r="AH234" s="23"/>
      <c r="AJ234" s="24"/>
      <c r="AW234" s="25"/>
      <c r="AX234" s="26"/>
      <c r="AY234" s="27"/>
    </row>
    <row r="235" spans="34:51" ht="12.75" x14ac:dyDescent="0.2">
      <c r="AH235" s="23"/>
      <c r="AJ235" s="24"/>
      <c r="AW235" s="25"/>
      <c r="AX235" s="26"/>
      <c r="AY235" s="27"/>
    </row>
    <row r="236" spans="34:51" ht="12.75" x14ac:dyDescent="0.2">
      <c r="AH236" s="23"/>
      <c r="AJ236" s="24"/>
      <c r="AW236" s="25"/>
      <c r="AX236" s="26"/>
      <c r="AY236" s="27"/>
    </row>
    <row r="237" spans="34:51" ht="12.75" x14ac:dyDescent="0.2">
      <c r="AH237" s="23"/>
      <c r="AJ237" s="24"/>
      <c r="AW237" s="25"/>
      <c r="AX237" s="26"/>
      <c r="AY237" s="27"/>
    </row>
    <row r="238" spans="34:51" ht="12.75" x14ac:dyDescent="0.2">
      <c r="AH238" s="23"/>
      <c r="AJ238" s="24"/>
      <c r="AW238" s="25"/>
      <c r="AX238" s="26"/>
      <c r="AY238" s="27"/>
    </row>
    <row r="239" spans="34:51" ht="12.75" x14ac:dyDescent="0.2">
      <c r="AH239" s="23"/>
      <c r="AJ239" s="24"/>
      <c r="AW239" s="25"/>
      <c r="AX239" s="26"/>
      <c r="AY239" s="27"/>
    </row>
    <row r="240" spans="34:51" ht="12.75" x14ac:dyDescent="0.2">
      <c r="AH240" s="23"/>
      <c r="AJ240" s="24"/>
      <c r="AW240" s="25"/>
      <c r="AX240" s="26"/>
      <c r="AY240" s="27"/>
    </row>
    <row r="241" spans="34:51" ht="12.75" x14ac:dyDescent="0.2">
      <c r="AH241" s="23"/>
      <c r="AJ241" s="24"/>
      <c r="AW241" s="25"/>
      <c r="AX241" s="26"/>
      <c r="AY241" s="27"/>
    </row>
    <row r="242" spans="34:51" ht="12.75" x14ac:dyDescent="0.2">
      <c r="AH242" s="23"/>
      <c r="AJ242" s="24"/>
      <c r="AW242" s="25"/>
      <c r="AX242" s="26"/>
      <c r="AY242" s="27"/>
    </row>
    <row r="243" spans="34:51" ht="12.75" x14ac:dyDescent="0.2">
      <c r="AH243" s="23"/>
      <c r="AJ243" s="24"/>
      <c r="AW243" s="25"/>
      <c r="AX243" s="26"/>
      <c r="AY243" s="27"/>
    </row>
    <row r="244" spans="34:51" ht="12.75" x14ac:dyDescent="0.2">
      <c r="AH244" s="23"/>
      <c r="AJ244" s="24"/>
      <c r="AW244" s="25"/>
      <c r="AX244" s="26"/>
      <c r="AY244" s="27"/>
    </row>
    <row r="245" spans="34:51" ht="12.75" x14ac:dyDescent="0.2">
      <c r="AH245" s="23"/>
      <c r="AJ245" s="24"/>
      <c r="AW245" s="25"/>
      <c r="AX245" s="26"/>
      <c r="AY245" s="27"/>
    </row>
    <row r="246" spans="34:51" ht="12.75" x14ac:dyDescent="0.2">
      <c r="AH246" s="23"/>
      <c r="AJ246" s="24"/>
      <c r="AW246" s="25"/>
      <c r="AX246" s="26"/>
      <c r="AY246" s="27"/>
    </row>
    <row r="247" spans="34:51" ht="12.75" x14ac:dyDescent="0.2">
      <c r="AH247" s="23"/>
      <c r="AJ247" s="24"/>
      <c r="AW247" s="25"/>
      <c r="AX247" s="26"/>
      <c r="AY247" s="27"/>
    </row>
    <row r="248" spans="34:51" ht="12.75" x14ac:dyDescent="0.2">
      <c r="AH248" s="23"/>
      <c r="AJ248" s="24"/>
      <c r="AW248" s="25"/>
      <c r="AX248" s="26"/>
      <c r="AY248" s="27"/>
    </row>
    <row r="249" spans="34:51" ht="12.75" x14ac:dyDescent="0.2">
      <c r="AH249" s="23"/>
      <c r="AJ249" s="24"/>
      <c r="AW249" s="25"/>
      <c r="AX249" s="26"/>
      <c r="AY249" s="27"/>
    </row>
    <row r="250" spans="34:51" ht="12.75" x14ac:dyDescent="0.2">
      <c r="AH250" s="23"/>
      <c r="AJ250" s="24"/>
      <c r="AW250" s="25"/>
      <c r="AX250" s="26"/>
      <c r="AY250" s="27"/>
    </row>
    <row r="251" spans="34:51" ht="12.75" x14ac:dyDescent="0.2">
      <c r="AH251" s="23"/>
      <c r="AJ251" s="24"/>
      <c r="AW251" s="25"/>
      <c r="AX251" s="26"/>
      <c r="AY251" s="27"/>
    </row>
    <row r="252" spans="34:51" ht="12.75" x14ac:dyDescent="0.2">
      <c r="AH252" s="23"/>
      <c r="AJ252" s="24"/>
      <c r="AW252" s="25"/>
      <c r="AX252" s="26"/>
      <c r="AY252" s="27"/>
    </row>
    <row r="253" spans="34:51" ht="12.75" x14ac:dyDescent="0.2">
      <c r="AH253" s="23"/>
      <c r="AJ253" s="24"/>
      <c r="AW253" s="25"/>
      <c r="AX253" s="26"/>
      <c r="AY253" s="27"/>
    </row>
    <row r="254" spans="34:51" ht="12.75" x14ac:dyDescent="0.2">
      <c r="AH254" s="23"/>
      <c r="AJ254" s="24"/>
      <c r="AW254" s="25"/>
      <c r="AX254" s="26"/>
      <c r="AY254" s="27"/>
    </row>
    <row r="255" spans="34:51" ht="12.75" x14ac:dyDescent="0.2">
      <c r="AH255" s="23"/>
      <c r="AJ255" s="24"/>
      <c r="AW255" s="25"/>
      <c r="AX255" s="26"/>
      <c r="AY255" s="27"/>
    </row>
    <row r="256" spans="34:51" ht="12.75" x14ac:dyDescent="0.2">
      <c r="AH256" s="23"/>
      <c r="AJ256" s="24"/>
      <c r="AW256" s="25"/>
      <c r="AX256" s="26"/>
      <c r="AY256" s="27"/>
    </row>
    <row r="257" spans="34:51" ht="12.75" x14ac:dyDescent="0.2">
      <c r="AH257" s="23"/>
      <c r="AJ257" s="24"/>
      <c r="AW257" s="25"/>
      <c r="AX257" s="26"/>
      <c r="AY257" s="27"/>
    </row>
    <row r="258" spans="34:51" ht="12.75" x14ac:dyDescent="0.2">
      <c r="AH258" s="23"/>
      <c r="AJ258" s="24"/>
      <c r="AW258" s="25"/>
      <c r="AX258" s="26"/>
      <c r="AY258" s="27"/>
    </row>
    <row r="259" spans="34:51" ht="12.75" x14ac:dyDescent="0.2">
      <c r="AH259" s="23"/>
      <c r="AJ259" s="24"/>
      <c r="AW259" s="25"/>
      <c r="AX259" s="26"/>
      <c r="AY259" s="27"/>
    </row>
    <row r="260" spans="34:51" ht="12.75" x14ac:dyDescent="0.2">
      <c r="AH260" s="23"/>
      <c r="AJ260" s="24"/>
      <c r="AW260" s="25"/>
      <c r="AX260" s="26"/>
      <c r="AY260" s="27"/>
    </row>
    <row r="261" spans="34:51" ht="12.75" x14ac:dyDescent="0.2">
      <c r="AH261" s="23"/>
      <c r="AJ261" s="24"/>
      <c r="AW261" s="25"/>
      <c r="AX261" s="26"/>
      <c r="AY261" s="27"/>
    </row>
    <row r="262" spans="34:51" ht="12.75" x14ac:dyDescent="0.2">
      <c r="AH262" s="23"/>
      <c r="AJ262" s="24"/>
      <c r="AW262" s="25"/>
      <c r="AX262" s="26"/>
      <c r="AY262" s="27"/>
    </row>
    <row r="263" spans="34:51" ht="12.75" x14ac:dyDescent="0.2">
      <c r="AH263" s="23"/>
      <c r="AJ263" s="24"/>
      <c r="AW263" s="25"/>
      <c r="AX263" s="26"/>
      <c r="AY263" s="27"/>
    </row>
    <row r="264" spans="34:51" ht="12.75" x14ac:dyDescent="0.2">
      <c r="AH264" s="23"/>
      <c r="AJ264" s="24"/>
      <c r="AW264" s="25"/>
      <c r="AX264" s="26"/>
      <c r="AY264" s="27"/>
    </row>
    <row r="265" spans="34:51" ht="12.75" x14ac:dyDescent="0.2">
      <c r="AH265" s="23"/>
      <c r="AJ265" s="24"/>
      <c r="AW265" s="25"/>
      <c r="AX265" s="26"/>
      <c r="AY265" s="27"/>
    </row>
    <row r="266" spans="34:51" ht="12.75" x14ac:dyDescent="0.2">
      <c r="AH266" s="23"/>
      <c r="AJ266" s="24"/>
      <c r="AW266" s="25"/>
      <c r="AX266" s="26"/>
      <c r="AY266" s="27"/>
    </row>
    <row r="267" spans="34:51" ht="12.75" x14ac:dyDescent="0.2">
      <c r="AH267" s="23"/>
      <c r="AJ267" s="24"/>
      <c r="AW267" s="25"/>
      <c r="AX267" s="26"/>
      <c r="AY267" s="27"/>
    </row>
    <row r="268" spans="34:51" ht="12.75" x14ac:dyDescent="0.2">
      <c r="AH268" s="23"/>
      <c r="AJ268" s="24"/>
      <c r="AW268" s="25"/>
      <c r="AX268" s="26"/>
      <c r="AY268" s="27"/>
    </row>
    <row r="269" spans="34:51" ht="12.75" x14ac:dyDescent="0.2">
      <c r="AH269" s="23"/>
      <c r="AJ269" s="24"/>
      <c r="AW269" s="25"/>
      <c r="AX269" s="26"/>
      <c r="AY269" s="27"/>
    </row>
    <row r="270" spans="34:51" ht="12.75" x14ac:dyDescent="0.2">
      <c r="AH270" s="23"/>
      <c r="AJ270" s="24"/>
      <c r="AW270" s="25"/>
      <c r="AX270" s="26"/>
      <c r="AY270" s="27"/>
    </row>
    <row r="271" spans="34:51" ht="12.75" x14ac:dyDescent="0.2">
      <c r="AH271" s="23"/>
      <c r="AJ271" s="24"/>
      <c r="AW271" s="25"/>
      <c r="AX271" s="26"/>
      <c r="AY271" s="27"/>
    </row>
    <row r="272" spans="34:51" ht="12.75" x14ac:dyDescent="0.2">
      <c r="AH272" s="23"/>
      <c r="AJ272" s="24"/>
      <c r="AW272" s="25"/>
      <c r="AX272" s="26"/>
      <c r="AY272" s="27"/>
    </row>
    <row r="273" spans="34:51" ht="12.75" x14ac:dyDescent="0.2">
      <c r="AH273" s="23"/>
      <c r="AJ273" s="24"/>
      <c r="AW273" s="25"/>
      <c r="AX273" s="26"/>
      <c r="AY273" s="27"/>
    </row>
    <row r="274" spans="34:51" ht="12.75" x14ac:dyDescent="0.2">
      <c r="AH274" s="23"/>
      <c r="AJ274" s="24"/>
      <c r="AW274" s="25"/>
      <c r="AX274" s="26"/>
      <c r="AY274" s="27"/>
    </row>
    <row r="275" spans="34:51" ht="12.75" x14ac:dyDescent="0.2">
      <c r="AH275" s="23"/>
      <c r="AJ275" s="24"/>
      <c r="AW275" s="25"/>
      <c r="AX275" s="26"/>
      <c r="AY275" s="27"/>
    </row>
    <row r="276" spans="34:51" ht="12.75" x14ac:dyDescent="0.2">
      <c r="AH276" s="23"/>
      <c r="AJ276" s="24"/>
      <c r="AW276" s="25"/>
      <c r="AX276" s="26"/>
      <c r="AY276" s="27"/>
    </row>
    <row r="277" spans="34:51" ht="12.75" x14ac:dyDescent="0.2">
      <c r="AH277" s="23"/>
      <c r="AJ277" s="24"/>
      <c r="AW277" s="25"/>
      <c r="AX277" s="26"/>
      <c r="AY277" s="27"/>
    </row>
    <row r="278" spans="34:51" ht="12.75" x14ac:dyDescent="0.2">
      <c r="AH278" s="23"/>
      <c r="AJ278" s="24"/>
      <c r="AW278" s="25"/>
      <c r="AX278" s="26"/>
      <c r="AY278" s="27"/>
    </row>
    <row r="279" spans="34:51" ht="12.75" x14ac:dyDescent="0.2">
      <c r="AH279" s="23"/>
      <c r="AJ279" s="24"/>
      <c r="AW279" s="25"/>
      <c r="AX279" s="26"/>
      <c r="AY279" s="27"/>
    </row>
    <row r="280" spans="34:51" ht="12.75" x14ac:dyDescent="0.2">
      <c r="AH280" s="23"/>
      <c r="AJ280" s="24"/>
      <c r="AW280" s="25"/>
      <c r="AX280" s="26"/>
      <c r="AY280" s="27"/>
    </row>
    <row r="281" spans="34:51" ht="12.75" x14ac:dyDescent="0.2">
      <c r="AH281" s="23"/>
      <c r="AJ281" s="24"/>
      <c r="AW281" s="25"/>
      <c r="AX281" s="26"/>
      <c r="AY281" s="27"/>
    </row>
    <row r="282" spans="34:51" ht="12.75" x14ac:dyDescent="0.2">
      <c r="AH282" s="23"/>
      <c r="AJ282" s="24"/>
      <c r="AW282" s="25"/>
      <c r="AX282" s="26"/>
      <c r="AY282" s="27"/>
    </row>
    <row r="283" spans="34:51" ht="12.75" x14ac:dyDescent="0.2">
      <c r="AH283" s="23"/>
      <c r="AJ283" s="24"/>
      <c r="AW283" s="25"/>
      <c r="AX283" s="26"/>
      <c r="AY283" s="27"/>
    </row>
    <row r="284" spans="34:51" ht="12.75" x14ac:dyDescent="0.2">
      <c r="AH284" s="23"/>
      <c r="AJ284" s="24"/>
      <c r="AW284" s="25"/>
      <c r="AX284" s="26"/>
      <c r="AY284" s="27"/>
    </row>
    <row r="285" spans="34:51" ht="12.75" x14ac:dyDescent="0.2">
      <c r="AH285" s="23"/>
      <c r="AJ285" s="24"/>
      <c r="AW285" s="25"/>
      <c r="AX285" s="26"/>
      <c r="AY285" s="27"/>
    </row>
    <row r="286" spans="34:51" ht="12.75" x14ac:dyDescent="0.2">
      <c r="AH286" s="23"/>
      <c r="AJ286" s="24"/>
      <c r="AW286" s="25"/>
      <c r="AX286" s="26"/>
      <c r="AY286" s="27"/>
    </row>
    <row r="287" spans="34:51" ht="12.75" x14ac:dyDescent="0.2">
      <c r="AH287" s="23"/>
      <c r="AJ287" s="24"/>
      <c r="AW287" s="25"/>
      <c r="AX287" s="26"/>
      <c r="AY287" s="27"/>
    </row>
    <row r="288" spans="34:51" ht="12.75" x14ac:dyDescent="0.2">
      <c r="AH288" s="23"/>
      <c r="AJ288" s="24"/>
      <c r="AW288" s="25"/>
      <c r="AX288" s="26"/>
      <c r="AY288" s="27"/>
    </row>
    <row r="289" spans="34:51" ht="12.75" x14ac:dyDescent="0.2">
      <c r="AH289" s="23"/>
      <c r="AJ289" s="24"/>
      <c r="AW289" s="25"/>
      <c r="AX289" s="26"/>
      <c r="AY289" s="27"/>
    </row>
    <row r="290" spans="34:51" ht="12.75" x14ac:dyDescent="0.2">
      <c r="AH290" s="23"/>
      <c r="AJ290" s="24"/>
      <c r="AW290" s="25"/>
      <c r="AX290" s="26"/>
      <c r="AY290" s="27"/>
    </row>
    <row r="291" spans="34:51" ht="12.75" x14ac:dyDescent="0.2">
      <c r="AH291" s="23"/>
      <c r="AJ291" s="24"/>
      <c r="AW291" s="25"/>
      <c r="AX291" s="26"/>
      <c r="AY291" s="27"/>
    </row>
    <row r="292" spans="34:51" ht="12.75" x14ac:dyDescent="0.2">
      <c r="AH292" s="23"/>
      <c r="AJ292" s="24"/>
      <c r="AW292" s="25"/>
      <c r="AX292" s="26"/>
      <c r="AY292" s="27"/>
    </row>
    <row r="293" spans="34:51" ht="12.75" x14ac:dyDescent="0.2">
      <c r="AH293" s="23"/>
      <c r="AJ293" s="24"/>
      <c r="AW293" s="25"/>
      <c r="AX293" s="26"/>
      <c r="AY293" s="27"/>
    </row>
    <row r="294" spans="34:51" ht="12.75" x14ac:dyDescent="0.2">
      <c r="AH294" s="23"/>
      <c r="AJ294" s="24"/>
      <c r="AW294" s="25"/>
      <c r="AX294" s="26"/>
      <c r="AY294" s="27"/>
    </row>
    <row r="295" spans="34:51" ht="12.75" x14ac:dyDescent="0.2">
      <c r="AH295" s="23"/>
      <c r="AJ295" s="24"/>
      <c r="AW295" s="25"/>
      <c r="AX295" s="26"/>
      <c r="AY295" s="27"/>
    </row>
    <row r="296" spans="34:51" ht="12.75" x14ac:dyDescent="0.2">
      <c r="AH296" s="23"/>
      <c r="AJ296" s="24"/>
      <c r="AW296" s="25"/>
      <c r="AX296" s="26"/>
      <c r="AY296" s="27"/>
    </row>
    <row r="297" spans="34:51" ht="12.75" x14ac:dyDescent="0.2">
      <c r="AH297" s="23"/>
      <c r="AJ297" s="24"/>
      <c r="AW297" s="25"/>
      <c r="AX297" s="26"/>
      <c r="AY297" s="27"/>
    </row>
    <row r="298" spans="34:51" ht="12.75" x14ac:dyDescent="0.2">
      <c r="AH298" s="23"/>
      <c r="AJ298" s="24"/>
      <c r="AW298" s="25"/>
      <c r="AX298" s="26"/>
      <c r="AY298" s="27"/>
    </row>
    <row r="299" spans="34:51" ht="12.75" x14ac:dyDescent="0.2">
      <c r="AH299" s="23"/>
      <c r="AJ299" s="24"/>
      <c r="AW299" s="25"/>
      <c r="AX299" s="26"/>
      <c r="AY299" s="27"/>
    </row>
    <row r="300" spans="34:51" ht="12.75" x14ac:dyDescent="0.2">
      <c r="AH300" s="23"/>
      <c r="AJ300" s="24"/>
      <c r="AW300" s="25"/>
      <c r="AX300" s="26"/>
      <c r="AY300" s="27"/>
    </row>
    <row r="301" spans="34:51" ht="12.75" x14ac:dyDescent="0.2">
      <c r="AH301" s="23"/>
      <c r="AJ301" s="24"/>
      <c r="AW301" s="25"/>
      <c r="AX301" s="26"/>
      <c r="AY301" s="27"/>
    </row>
    <row r="302" spans="34:51" ht="12.75" x14ac:dyDescent="0.2">
      <c r="AH302" s="23"/>
      <c r="AJ302" s="24"/>
      <c r="AW302" s="25"/>
      <c r="AX302" s="26"/>
      <c r="AY302" s="27"/>
    </row>
    <row r="303" spans="34:51" ht="12.75" x14ac:dyDescent="0.2">
      <c r="AH303" s="23"/>
      <c r="AJ303" s="24"/>
      <c r="AW303" s="25"/>
      <c r="AX303" s="26"/>
      <c r="AY303" s="27"/>
    </row>
    <row r="304" spans="34:51" ht="12.75" x14ac:dyDescent="0.2">
      <c r="AH304" s="23"/>
      <c r="AJ304" s="24"/>
      <c r="AW304" s="25"/>
      <c r="AX304" s="26"/>
      <c r="AY304" s="27"/>
    </row>
    <row r="305" spans="34:51" ht="12.75" x14ac:dyDescent="0.2">
      <c r="AH305" s="23"/>
      <c r="AJ305" s="24"/>
      <c r="AW305" s="25"/>
      <c r="AX305" s="26"/>
      <c r="AY305" s="27"/>
    </row>
    <row r="306" spans="34:51" ht="12.75" x14ac:dyDescent="0.2">
      <c r="AH306" s="23"/>
      <c r="AJ306" s="24"/>
      <c r="AW306" s="25"/>
      <c r="AX306" s="26"/>
      <c r="AY306" s="27"/>
    </row>
    <row r="307" spans="34:51" ht="12.75" x14ac:dyDescent="0.2">
      <c r="AH307" s="23"/>
      <c r="AJ307" s="24"/>
      <c r="AW307" s="25"/>
      <c r="AX307" s="26"/>
      <c r="AY307" s="27"/>
    </row>
    <row r="308" spans="34:51" ht="12.75" x14ac:dyDescent="0.2">
      <c r="AH308" s="23"/>
      <c r="AJ308" s="24"/>
      <c r="AW308" s="25"/>
      <c r="AX308" s="26"/>
      <c r="AY308" s="27"/>
    </row>
    <row r="309" spans="34:51" ht="12.75" x14ac:dyDescent="0.2">
      <c r="AH309" s="23"/>
      <c r="AJ309" s="24"/>
      <c r="AW309" s="25"/>
      <c r="AX309" s="26"/>
      <c r="AY309" s="27"/>
    </row>
    <row r="310" spans="34:51" ht="12.75" x14ac:dyDescent="0.2">
      <c r="AH310" s="23"/>
      <c r="AJ310" s="24"/>
      <c r="AW310" s="25"/>
      <c r="AX310" s="26"/>
      <c r="AY310" s="27"/>
    </row>
    <row r="311" spans="34:51" ht="12.75" x14ac:dyDescent="0.2">
      <c r="AH311" s="23"/>
      <c r="AJ311" s="24"/>
      <c r="AW311" s="25"/>
      <c r="AX311" s="26"/>
      <c r="AY311" s="27"/>
    </row>
    <row r="312" spans="34:51" ht="12.75" x14ac:dyDescent="0.2">
      <c r="AH312" s="23"/>
      <c r="AJ312" s="24"/>
      <c r="AW312" s="25"/>
      <c r="AX312" s="26"/>
      <c r="AY312" s="27"/>
    </row>
    <row r="313" spans="34:51" ht="12.75" x14ac:dyDescent="0.2">
      <c r="AH313" s="23"/>
      <c r="AJ313" s="24"/>
      <c r="AW313" s="25"/>
      <c r="AX313" s="26"/>
      <c r="AY313" s="27"/>
    </row>
    <row r="314" spans="34:51" ht="12.75" x14ac:dyDescent="0.2">
      <c r="AH314" s="23"/>
      <c r="AJ314" s="24"/>
      <c r="AW314" s="25"/>
      <c r="AX314" s="26"/>
      <c r="AY314" s="27"/>
    </row>
    <row r="315" spans="34:51" ht="12.75" x14ac:dyDescent="0.2">
      <c r="AH315" s="23"/>
      <c r="AJ315" s="24"/>
      <c r="AW315" s="25"/>
      <c r="AX315" s="26"/>
      <c r="AY315" s="27"/>
    </row>
    <row r="316" spans="34:51" ht="12.75" x14ac:dyDescent="0.2">
      <c r="AH316" s="23"/>
      <c r="AJ316" s="24"/>
      <c r="AW316" s="25"/>
      <c r="AX316" s="26"/>
      <c r="AY316" s="27"/>
    </row>
    <row r="317" spans="34:51" ht="12.75" x14ac:dyDescent="0.2">
      <c r="AH317" s="23"/>
      <c r="AJ317" s="24"/>
      <c r="AW317" s="25"/>
      <c r="AX317" s="26"/>
      <c r="AY317" s="27"/>
    </row>
    <row r="318" spans="34:51" ht="12.75" x14ac:dyDescent="0.2">
      <c r="AH318" s="23"/>
      <c r="AJ318" s="24"/>
      <c r="AW318" s="25"/>
      <c r="AX318" s="26"/>
      <c r="AY318" s="27"/>
    </row>
    <row r="319" spans="34:51" ht="12.75" x14ac:dyDescent="0.2">
      <c r="AH319" s="23"/>
      <c r="AJ319" s="24"/>
      <c r="AW319" s="25"/>
      <c r="AX319" s="26"/>
      <c r="AY319" s="27"/>
    </row>
    <row r="320" spans="34:51" ht="12.75" x14ac:dyDescent="0.2">
      <c r="AH320" s="23"/>
      <c r="AJ320" s="24"/>
      <c r="AW320" s="25"/>
      <c r="AX320" s="26"/>
      <c r="AY320" s="27"/>
    </row>
    <row r="321" spans="34:51" ht="12.75" x14ac:dyDescent="0.2">
      <c r="AH321" s="23"/>
      <c r="AJ321" s="24"/>
      <c r="AW321" s="25"/>
      <c r="AX321" s="26"/>
      <c r="AY321" s="27"/>
    </row>
    <row r="322" spans="34:51" ht="12.75" x14ac:dyDescent="0.2">
      <c r="AH322" s="23"/>
      <c r="AJ322" s="24"/>
      <c r="AW322" s="25"/>
      <c r="AX322" s="26"/>
      <c r="AY322" s="27"/>
    </row>
    <row r="323" spans="34:51" ht="12.75" x14ac:dyDescent="0.2">
      <c r="AH323" s="23"/>
      <c r="AJ323" s="24"/>
      <c r="AW323" s="25"/>
      <c r="AX323" s="26"/>
      <c r="AY323" s="27"/>
    </row>
    <row r="324" spans="34:51" ht="12.75" x14ac:dyDescent="0.2">
      <c r="AH324" s="23"/>
      <c r="AJ324" s="24"/>
      <c r="AW324" s="25"/>
      <c r="AX324" s="26"/>
      <c r="AY324" s="27"/>
    </row>
    <row r="325" spans="34:51" ht="12.75" x14ac:dyDescent="0.2">
      <c r="AH325" s="23"/>
      <c r="AJ325" s="24"/>
      <c r="AW325" s="25"/>
      <c r="AX325" s="26"/>
      <c r="AY325" s="27"/>
    </row>
    <row r="326" spans="34:51" ht="12.75" x14ac:dyDescent="0.2">
      <c r="AH326" s="23"/>
      <c r="AJ326" s="24"/>
      <c r="AW326" s="25"/>
      <c r="AX326" s="26"/>
      <c r="AY326" s="27"/>
    </row>
    <row r="327" spans="34:51" ht="12.75" x14ac:dyDescent="0.2">
      <c r="AH327" s="23"/>
      <c r="AJ327" s="24"/>
      <c r="AW327" s="25"/>
      <c r="AX327" s="26"/>
      <c r="AY327" s="27"/>
    </row>
    <row r="328" spans="34:51" ht="12.75" x14ac:dyDescent="0.2">
      <c r="AH328" s="23"/>
      <c r="AJ328" s="24"/>
      <c r="AW328" s="25"/>
      <c r="AX328" s="26"/>
      <c r="AY328" s="27"/>
    </row>
    <row r="329" spans="34:51" ht="12.75" x14ac:dyDescent="0.2">
      <c r="AH329" s="23"/>
      <c r="AJ329" s="24"/>
      <c r="AW329" s="25"/>
      <c r="AX329" s="26"/>
      <c r="AY329" s="27"/>
    </row>
    <row r="330" spans="34:51" ht="12.75" x14ac:dyDescent="0.2">
      <c r="AH330" s="23"/>
      <c r="AJ330" s="24"/>
      <c r="AW330" s="25"/>
      <c r="AX330" s="26"/>
      <c r="AY330" s="27"/>
    </row>
    <row r="331" spans="34:51" ht="12.75" x14ac:dyDescent="0.2">
      <c r="AH331" s="23"/>
      <c r="AJ331" s="24"/>
      <c r="AW331" s="25"/>
      <c r="AX331" s="26"/>
      <c r="AY331" s="27"/>
    </row>
    <row r="332" spans="34:51" ht="12.75" x14ac:dyDescent="0.2">
      <c r="AH332" s="23"/>
      <c r="AJ332" s="24"/>
      <c r="AW332" s="25"/>
      <c r="AX332" s="26"/>
      <c r="AY332" s="27"/>
    </row>
    <row r="333" spans="34:51" ht="12.75" x14ac:dyDescent="0.2">
      <c r="AH333" s="23"/>
      <c r="AJ333" s="24"/>
      <c r="AW333" s="25"/>
      <c r="AX333" s="26"/>
      <c r="AY333" s="27"/>
    </row>
    <row r="334" spans="34:51" ht="12.75" x14ac:dyDescent="0.2">
      <c r="AH334" s="23"/>
      <c r="AJ334" s="24"/>
      <c r="AW334" s="25"/>
      <c r="AX334" s="26"/>
      <c r="AY334" s="27"/>
    </row>
    <row r="335" spans="34:51" ht="12.75" x14ac:dyDescent="0.2">
      <c r="AH335" s="23"/>
      <c r="AJ335" s="24"/>
      <c r="AW335" s="25"/>
      <c r="AX335" s="26"/>
      <c r="AY335" s="27"/>
    </row>
    <row r="336" spans="34:51" ht="12.75" x14ac:dyDescent="0.2">
      <c r="AH336" s="23"/>
      <c r="AJ336" s="24"/>
      <c r="AW336" s="25"/>
      <c r="AX336" s="26"/>
      <c r="AY336" s="27"/>
    </row>
    <row r="337" spans="34:51" ht="12.75" x14ac:dyDescent="0.2">
      <c r="AH337" s="23"/>
      <c r="AJ337" s="24"/>
      <c r="AW337" s="25"/>
      <c r="AX337" s="26"/>
      <c r="AY337" s="27"/>
    </row>
    <row r="338" spans="34:51" ht="12.75" x14ac:dyDescent="0.2">
      <c r="AH338" s="23"/>
      <c r="AJ338" s="24"/>
      <c r="AW338" s="25"/>
      <c r="AX338" s="26"/>
      <c r="AY338" s="27"/>
    </row>
    <row r="339" spans="34:51" ht="12.75" x14ac:dyDescent="0.2">
      <c r="AH339" s="23"/>
      <c r="AJ339" s="24"/>
      <c r="AW339" s="25"/>
      <c r="AX339" s="26"/>
      <c r="AY339" s="27"/>
    </row>
    <row r="340" spans="34:51" ht="12.75" x14ac:dyDescent="0.2">
      <c r="AH340" s="23"/>
      <c r="AJ340" s="24"/>
      <c r="AW340" s="25"/>
      <c r="AX340" s="26"/>
      <c r="AY340" s="27"/>
    </row>
    <row r="341" spans="34:51" ht="12.75" x14ac:dyDescent="0.2">
      <c r="AH341" s="23"/>
      <c r="AJ341" s="24"/>
      <c r="AW341" s="25"/>
      <c r="AX341" s="26"/>
      <c r="AY341" s="27"/>
    </row>
    <row r="342" spans="34:51" ht="12.75" x14ac:dyDescent="0.2">
      <c r="AH342" s="23"/>
      <c r="AJ342" s="24"/>
      <c r="AW342" s="25"/>
      <c r="AX342" s="26"/>
      <c r="AY342" s="27"/>
    </row>
    <row r="343" spans="34:51" ht="12.75" x14ac:dyDescent="0.2">
      <c r="AH343" s="23"/>
      <c r="AJ343" s="24"/>
      <c r="AW343" s="25"/>
      <c r="AX343" s="26"/>
      <c r="AY343" s="27"/>
    </row>
    <row r="344" spans="34:51" ht="12.75" x14ac:dyDescent="0.2">
      <c r="AH344" s="23"/>
      <c r="AJ344" s="24"/>
      <c r="AW344" s="25"/>
      <c r="AX344" s="26"/>
      <c r="AY344" s="27"/>
    </row>
    <row r="345" spans="34:51" ht="12.75" x14ac:dyDescent="0.2">
      <c r="AH345" s="23"/>
      <c r="AJ345" s="24"/>
      <c r="AW345" s="25"/>
      <c r="AX345" s="26"/>
      <c r="AY345" s="27"/>
    </row>
    <row r="346" spans="34:51" ht="12.75" x14ac:dyDescent="0.2">
      <c r="AH346" s="23"/>
      <c r="AJ346" s="24"/>
      <c r="AW346" s="25"/>
      <c r="AX346" s="26"/>
      <c r="AY346" s="27"/>
    </row>
    <row r="347" spans="34:51" ht="12.75" x14ac:dyDescent="0.2">
      <c r="AH347" s="23"/>
      <c r="AJ347" s="24"/>
      <c r="AW347" s="25"/>
      <c r="AX347" s="26"/>
      <c r="AY347" s="27"/>
    </row>
    <row r="348" spans="34:51" ht="12.75" x14ac:dyDescent="0.2">
      <c r="AH348" s="23"/>
      <c r="AJ348" s="24"/>
      <c r="AW348" s="25"/>
      <c r="AX348" s="26"/>
      <c r="AY348" s="27"/>
    </row>
    <row r="349" spans="34:51" ht="12.75" x14ac:dyDescent="0.2">
      <c r="AH349" s="23"/>
      <c r="AJ349" s="24"/>
      <c r="AW349" s="25"/>
      <c r="AX349" s="26"/>
      <c r="AY349" s="27"/>
    </row>
    <row r="350" spans="34:51" ht="12.75" x14ac:dyDescent="0.2">
      <c r="AH350" s="23"/>
      <c r="AJ350" s="24"/>
      <c r="AW350" s="25"/>
      <c r="AX350" s="26"/>
      <c r="AY350" s="27"/>
    </row>
    <row r="351" spans="34:51" ht="12.75" x14ac:dyDescent="0.2">
      <c r="AH351" s="23"/>
      <c r="AJ351" s="24"/>
      <c r="AW351" s="25"/>
      <c r="AX351" s="26"/>
      <c r="AY351" s="27"/>
    </row>
    <row r="352" spans="34:51" ht="12.75" x14ac:dyDescent="0.2">
      <c r="AH352" s="23"/>
      <c r="AJ352" s="24"/>
      <c r="AW352" s="25"/>
      <c r="AX352" s="26"/>
      <c r="AY352" s="27"/>
    </row>
    <row r="353" spans="34:51" ht="12.75" x14ac:dyDescent="0.2">
      <c r="AH353" s="23"/>
      <c r="AJ353" s="24"/>
      <c r="AW353" s="25"/>
      <c r="AX353" s="26"/>
      <c r="AY353" s="27"/>
    </row>
    <row r="354" spans="34:51" ht="12.75" x14ac:dyDescent="0.2">
      <c r="AH354" s="23"/>
      <c r="AJ354" s="24"/>
      <c r="AW354" s="25"/>
      <c r="AX354" s="26"/>
      <c r="AY354" s="27"/>
    </row>
    <row r="355" spans="34:51" ht="12.75" x14ac:dyDescent="0.2">
      <c r="AH355" s="23"/>
      <c r="AJ355" s="24"/>
      <c r="AW355" s="25"/>
      <c r="AX355" s="26"/>
      <c r="AY355" s="27"/>
    </row>
    <row r="356" spans="34:51" ht="12.75" x14ac:dyDescent="0.2">
      <c r="AH356" s="23"/>
      <c r="AJ356" s="24"/>
      <c r="AW356" s="25"/>
      <c r="AX356" s="26"/>
      <c r="AY356" s="27"/>
    </row>
    <row r="357" spans="34:51" ht="12.75" x14ac:dyDescent="0.2">
      <c r="AH357" s="23"/>
      <c r="AJ357" s="24"/>
      <c r="AW357" s="25"/>
      <c r="AX357" s="26"/>
      <c r="AY357" s="27"/>
    </row>
    <row r="358" spans="34:51" ht="12.75" x14ac:dyDescent="0.2">
      <c r="AH358" s="23"/>
      <c r="AJ358" s="24"/>
      <c r="AW358" s="25"/>
      <c r="AX358" s="26"/>
      <c r="AY358" s="27"/>
    </row>
    <row r="359" spans="34:51" ht="12.75" x14ac:dyDescent="0.2">
      <c r="AH359" s="23"/>
      <c r="AJ359" s="24"/>
      <c r="AW359" s="25"/>
      <c r="AX359" s="26"/>
      <c r="AY359" s="27"/>
    </row>
    <row r="360" spans="34:51" ht="12.75" x14ac:dyDescent="0.2">
      <c r="AH360" s="23"/>
      <c r="AJ360" s="24"/>
      <c r="AW360" s="25"/>
      <c r="AX360" s="26"/>
      <c r="AY360" s="27"/>
    </row>
    <row r="361" spans="34:51" ht="12.75" x14ac:dyDescent="0.2">
      <c r="AH361" s="23"/>
      <c r="AJ361" s="24"/>
      <c r="AW361" s="25"/>
      <c r="AX361" s="26"/>
      <c r="AY361" s="27"/>
    </row>
    <row r="362" spans="34:51" ht="12.75" x14ac:dyDescent="0.2">
      <c r="AH362" s="23"/>
      <c r="AJ362" s="24"/>
      <c r="AW362" s="25"/>
      <c r="AX362" s="26"/>
      <c r="AY362" s="27"/>
    </row>
    <row r="363" spans="34:51" ht="12.75" x14ac:dyDescent="0.2">
      <c r="AH363" s="23"/>
      <c r="AJ363" s="24"/>
      <c r="AW363" s="25"/>
      <c r="AX363" s="26"/>
      <c r="AY363" s="27"/>
    </row>
    <row r="364" spans="34:51" ht="12.75" x14ac:dyDescent="0.2">
      <c r="AH364" s="23"/>
      <c r="AJ364" s="24"/>
      <c r="AW364" s="25"/>
      <c r="AX364" s="26"/>
      <c r="AY364" s="27"/>
    </row>
    <row r="365" spans="34:51" ht="12.75" x14ac:dyDescent="0.2">
      <c r="AH365" s="23"/>
      <c r="AJ365" s="24"/>
      <c r="AW365" s="25"/>
      <c r="AX365" s="26"/>
      <c r="AY365" s="27"/>
    </row>
    <row r="366" spans="34:51" ht="12.75" x14ac:dyDescent="0.2">
      <c r="AH366" s="23"/>
      <c r="AJ366" s="24"/>
      <c r="AW366" s="25"/>
      <c r="AX366" s="26"/>
      <c r="AY366" s="27"/>
    </row>
    <row r="367" spans="34:51" ht="12.75" x14ac:dyDescent="0.2">
      <c r="AH367" s="23"/>
      <c r="AJ367" s="24"/>
      <c r="AW367" s="25"/>
      <c r="AX367" s="26"/>
      <c r="AY367" s="27"/>
    </row>
    <row r="368" spans="34:51" ht="12.75" x14ac:dyDescent="0.2">
      <c r="AH368" s="23"/>
      <c r="AJ368" s="24"/>
      <c r="AW368" s="25"/>
      <c r="AX368" s="26"/>
      <c r="AY368" s="27"/>
    </row>
    <row r="369" spans="34:51" ht="12.75" x14ac:dyDescent="0.2">
      <c r="AH369" s="23"/>
      <c r="AJ369" s="24"/>
      <c r="AW369" s="25"/>
      <c r="AX369" s="26"/>
      <c r="AY369" s="27"/>
    </row>
    <row r="370" spans="34:51" ht="12.75" x14ac:dyDescent="0.2">
      <c r="AH370" s="23"/>
      <c r="AJ370" s="24"/>
      <c r="AW370" s="25"/>
      <c r="AX370" s="26"/>
      <c r="AY370" s="27"/>
    </row>
    <row r="371" spans="34:51" ht="12.75" x14ac:dyDescent="0.2">
      <c r="AH371" s="23"/>
      <c r="AJ371" s="24"/>
      <c r="AW371" s="25"/>
      <c r="AX371" s="26"/>
      <c r="AY371" s="27"/>
    </row>
    <row r="372" spans="34:51" ht="12.75" x14ac:dyDescent="0.2">
      <c r="AH372" s="23"/>
      <c r="AJ372" s="24"/>
      <c r="AW372" s="25"/>
      <c r="AX372" s="26"/>
      <c r="AY372" s="27"/>
    </row>
    <row r="373" spans="34:51" ht="12.75" x14ac:dyDescent="0.2">
      <c r="AH373" s="23"/>
      <c r="AJ373" s="24"/>
      <c r="AW373" s="25"/>
      <c r="AX373" s="26"/>
      <c r="AY373" s="27"/>
    </row>
    <row r="374" spans="34:51" ht="12.75" x14ac:dyDescent="0.2">
      <c r="AH374" s="23"/>
      <c r="AJ374" s="24"/>
      <c r="AW374" s="25"/>
      <c r="AX374" s="26"/>
      <c r="AY374" s="27"/>
    </row>
    <row r="375" spans="34:51" ht="12.75" x14ac:dyDescent="0.2">
      <c r="AH375" s="23"/>
      <c r="AJ375" s="24"/>
      <c r="AW375" s="25"/>
      <c r="AX375" s="26"/>
      <c r="AY375" s="27"/>
    </row>
    <row r="376" spans="34:51" ht="12.75" x14ac:dyDescent="0.2">
      <c r="AH376" s="23"/>
      <c r="AJ376" s="24"/>
      <c r="AW376" s="25"/>
      <c r="AX376" s="26"/>
      <c r="AY376" s="27"/>
    </row>
    <row r="377" spans="34:51" ht="12.75" x14ac:dyDescent="0.2">
      <c r="AH377" s="23"/>
      <c r="AJ377" s="24"/>
      <c r="AW377" s="25"/>
      <c r="AX377" s="26"/>
      <c r="AY377" s="27"/>
    </row>
    <row r="378" spans="34:51" ht="12.75" x14ac:dyDescent="0.2">
      <c r="AH378" s="23"/>
      <c r="AJ378" s="24"/>
      <c r="AW378" s="25"/>
      <c r="AX378" s="26"/>
      <c r="AY378" s="27"/>
    </row>
    <row r="379" spans="34:51" ht="12.75" x14ac:dyDescent="0.2">
      <c r="AH379" s="23"/>
      <c r="AJ379" s="24"/>
      <c r="AW379" s="25"/>
      <c r="AX379" s="26"/>
      <c r="AY379" s="27"/>
    </row>
    <row r="380" spans="34:51" ht="12.75" x14ac:dyDescent="0.2">
      <c r="AH380" s="23"/>
      <c r="AJ380" s="24"/>
      <c r="AW380" s="25"/>
      <c r="AX380" s="26"/>
      <c r="AY380" s="27"/>
    </row>
    <row r="381" spans="34:51" ht="12.75" x14ac:dyDescent="0.2">
      <c r="AH381" s="23"/>
      <c r="AJ381" s="24"/>
      <c r="AW381" s="25"/>
      <c r="AX381" s="26"/>
      <c r="AY381" s="27"/>
    </row>
    <row r="382" spans="34:51" ht="12.75" x14ac:dyDescent="0.2">
      <c r="AH382" s="23"/>
      <c r="AJ382" s="24"/>
      <c r="AW382" s="25"/>
      <c r="AX382" s="26"/>
      <c r="AY382" s="27"/>
    </row>
    <row r="383" spans="34:51" ht="12.75" x14ac:dyDescent="0.2">
      <c r="AH383" s="23"/>
      <c r="AJ383" s="24"/>
      <c r="AW383" s="25"/>
      <c r="AX383" s="26"/>
      <c r="AY383" s="27"/>
    </row>
    <row r="384" spans="34:51" ht="12.75" x14ac:dyDescent="0.2">
      <c r="AH384" s="23"/>
      <c r="AJ384" s="24"/>
      <c r="AW384" s="25"/>
      <c r="AX384" s="26"/>
      <c r="AY384" s="27"/>
    </row>
    <row r="385" spans="34:51" ht="12.75" x14ac:dyDescent="0.2">
      <c r="AH385" s="23"/>
      <c r="AJ385" s="24"/>
      <c r="AW385" s="25"/>
      <c r="AX385" s="26"/>
      <c r="AY385" s="27"/>
    </row>
    <row r="386" spans="34:51" ht="12.75" x14ac:dyDescent="0.2">
      <c r="AH386" s="23"/>
      <c r="AJ386" s="24"/>
      <c r="AW386" s="25"/>
      <c r="AX386" s="26"/>
      <c r="AY386" s="27"/>
    </row>
    <row r="387" spans="34:51" ht="12.75" x14ac:dyDescent="0.2">
      <c r="AH387" s="23"/>
      <c r="AJ387" s="24"/>
      <c r="AW387" s="25"/>
      <c r="AX387" s="26"/>
      <c r="AY387" s="27"/>
    </row>
    <row r="388" spans="34:51" ht="12.75" x14ac:dyDescent="0.2">
      <c r="AH388" s="23"/>
      <c r="AJ388" s="24"/>
      <c r="AW388" s="25"/>
      <c r="AX388" s="26"/>
      <c r="AY388" s="27"/>
    </row>
    <row r="389" spans="34:51" ht="12.75" x14ac:dyDescent="0.2">
      <c r="AH389" s="23"/>
      <c r="AJ389" s="24"/>
      <c r="AW389" s="25"/>
      <c r="AX389" s="26"/>
      <c r="AY389" s="27"/>
    </row>
    <row r="390" spans="34:51" ht="12.75" x14ac:dyDescent="0.2">
      <c r="AH390" s="23"/>
      <c r="AJ390" s="24"/>
      <c r="AW390" s="25"/>
      <c r="AX390" s="26"/>
      <c r="AY390" s="27"/>
    </row>
    <row r="391" spans="34:51" ht="12.75" x14ac:dyDescent="0.2">
      <c r="AH391" s="23"/>
      <c r="AJ391" s="24"/>
      <c r="AW391" s="25"/>
      <c r="AX391" s="26"/>
      <c r="AY391" s="27"/>
    </row>
    <row r="392" spans="34:51" ht="12.75" x14ac:dyDescent="0.2">
      <c r="AH392" s="23"/>
      <c r="AJ392" s="24"/>
      <c r="AW392" s="25"/>
      <c r="AX392" s="26"/>
      <c r="AY392" s="27"/>
    </row>
    <row r="393" spans="34:51" ht="12.75" x14ac:dyDescent="0.2">
      <c r="AH393" s="23"/>
      <c r="AJ393" s="24"/>
      <c r="AW393" s="25"/>
      <c r="AX393" s="26"/>
      <c r="AY393" s="27"/>
    </row>
    <row r="394" spans="34:51" ht="12.75" x14ac:dyDescent="0.2">
      <c r="AH394" s="23"/>
      <c r="AJ394" s="24"/>
      <c r="AW394" s="25"/>
      <c r="AX394" s="26"/>
      <c r="AY394" s="27"/>
    </row>
    <row r="395" spans="34:51" ht="12.75" x14ac:dyDescent="0.2">
      <c r="AH395" s="23"/>
      <c r="AJ395" s="24"/>
      <c r="AW395" s="25"/>
      <c r="AX395" s="26"/>
      <c r="AY395" s="27"/>
    </row>
    <row r="396" spans="34:51" ht="12.75" x14ac:dyDescent="0.2">
      <c r="AH396" s="23"/>
      <c r="AJ396" s="24"/>
      <c r="AW396" s="25"/>
      <c r="AX396" s="26"/>
      <c r="AY396" s="27"/>
    </row>
    <row r="397" spans="34:51" ht="12.75" x14ac:dyDescent="0.2">
      <c r="AH397" s="23"/>
      <c r="AJ397" s="24"/>
      <c r="AW397" s="25"/>
      <c r="AX397" s="26"/>
      <c r="AY397" s="27"/>
    </row>
    <row r="398" spans="34:51" ht="12.75" x14ac:dyDescent="0.2">
      <c r="AH398" s="23"/>
      <c r="AJ398" s="24"/>
      <c r="AW398" s="25"/>
      <c r="AX398" s="26"/>
      <c r="AY398" s="27"/>
    </row>
    <row r="399" spans="34:51" ht="12.75" x14ac:dyDescent="0.2">
      <c r="AH399" s="23"/>
      <c r="AJ399" s="24"/>
      <c r="AW399" s="25"/>
      <c r="AX399" s="26"/>
      <c r="AY399" s="27"/>
    </row>
    <row r="400" spans="34:51" ht="12.75" x14ac:dyDescent="0.2">
      <c r="AH400" s="23"/>
      <c r="AJ400" s="24"/>
      <c r="AW400" s="25"/>
      <c r="AX400" s="26"/>
      <c r="AY400" s="27"/>
    </row>
    <row r="401" spans="34:51" ht="12.75" x14ac:dyDescent="0.2">
      <c r="AH401" s="23"/>
      <c r="AJ401" s="24"/>
      <c r="AW401" s="25"/>
      <c r="AX401" s="26"/>
      <c r="AY401" s="27"/>
    </row>
    <row r="402" spans="34:51" ht="12.75" x14ac:dyDescent="0.2">
      <c r="AH402" s="23"/>
      <c r="AJ402" s="24"/>
      <c r="AW402" s="25"/>
      <c r="AX402" s="26"/>
      <c r="AY402" s="27"/>
    </row>
    <row r="403" spans="34:51" ht="12.75" x14ac:dyDescent="0.2">
      <c r="AH403" s="23"/>
      <c r="AJ403" s="24"/>
      <c r="AW403" s="25"/>
      <c r="AX403" s="26"/>
      <c r="AY403" s="27"/>
    </row>
    <row r="404" spans="34:51" ht="12.75" x14ac:dyDescent="0.2">
      <c r="AH404" s="23"/>
      <c r="AJ404" s="24"/>
      <c r="AW404" s="25"/>
      <c r="AX404" s="26"/>
      <c r="AY404" s="27"/>
    </row>
    <row r="405" spans="34:51" ht="12.75" x14ac:dyDescent="0.2">
      <c r="AH405" s="23"/>
      <c r="AJ405" s="24"/>
      <c r="AW405" s="25"/>
      <c r="AX405" s="26"/>
      <c r="AY405" s="27"/>
    </row>
    <row r="406" spans="34:51" ht="12.75" x14ac:dyDescent="0.2">
      <c r="AH406" s="23"/>
      <c r="AJ406" s="24"/>
      <c r="AW406" s="25"/>
      <c r="AX406" s="26"/>
      <c r="AY406" s="27"/>
    </row>
    <row r="407" spans="34:51" ht="12.75" x14ac:dyDescent="0.2">
      <c r="AH407" s="23"/>
      <c r="AJ407" s="24"/>
      <c r="AW407" s="25"/>
      <c r="AX407" s="26"/>
      <c r="AY407" s="27"/>
    </row>
    <row r="408" spans="34:51" ht="12.75" x14ac:dyDescent="0.2">
      <c r="AH408" s="23"/>
      <c r="AJ408" s="24"/>
      <c r="AW408" s="25"/>
      <c r="AX408" s="26"/>
      <c r="AY408" s="27"/>
    </row>
    <row r="409" spans="34:51" ht="12.75" x14ac:dyDescent="0.2">
      <c r="AH409" s="23"/>
      <c r="AJ409" s="24"/>
      <c r="AW409" s="25"/>
      <c r="AX409" s="26"/>
      <c r="AY409" s="27"/>
    </row>
    <row r="410" spans="34:51" ht="12.75" x14ac:dyDescent="0.2">
      <c r="AH410" s="23"/>
      <c r="AJ410" s="24"/>
      <c r="AW410" s="25"/>
      <c r="AX410" s="26"/>
      <c r="AY410" s="27"/>
    </row>
    <row r="411" spans="34:51" ht="12.75" x14ac:dyDescent="0.2">
      <c r="AH411" s="23"/>
      <c r="AJ411" s="24"/>
      <c r="AW411" s="25"/>
      <c r="AX411" s="26"/>
      <c r="AY411" s="27"/>
    </row>
    <row r="412" spans="34:51" ht="12.75" x14ac:dyDescent="0.2">
      <c r="AH412" s="23"/>
      <c r="AJ412" s="24"/>
      <c r="AW412" s="25"/>
      <c r="AX412" s="26"/>
      <c r="AY412" s="27"/>
    </row>
    <row r="413" spans="34:51" ht="12.75" x14ac:dyDescent="0.2">
      <c r="AH413" s="23"/>
      <c r="AJ413" s="24"/>
      <c r="AW413" s="25"/>
      <c r="AX413" s="26"/>
      <c r="AY413" s="27"/>
    </row>
    <row r="414" spans="34:51" ht="12.75" x14ac:dyDescent="0.2">
      <c r="AH414" s="23"/>
      <c r="AJ414" s="24"/>
      <c r="AW414" s="25"/>
      <c r="AX414" s="26"/>
      <c r="AY414" s="27"/>
    </row>
    <row r="415" spans="34:51" ht="12.75" x14ac:dyDescent="0.2">
      <c r="AH415" s="23"/>
      <c r="AJ415" s="24"/>
      <c r="AW415" s="25"/>
      <c r="AX415" s="26"/>
      <c r="AY415" s="27"/>
    </row>
    <row r="416" spans="34:51" ht="12.75" x14ac:dyDescent="0.2">
      <c r="AH416" s="23"/>
      <c r="AJ416" s="24"/>
      <c r="AW416" s="25"/>
      <c r="AX416" s="26"/>
      <c r="AY416" s="27"/>
    </row>
    <row r="417" spans="34:51" ht="12.75" x14ac:dyDescent="0.2">
      <c r="AH417" s="23"/>
      <c r="AJ417" s="24"/>
      <c r="AW417" s="25"/>
      <c r="AX417" s="26"/>
      <c r="AY417" s="27"/>
    </row>
    <row r="418" spans="34:51" ht="12.75" x14ac:dyDescent="0.2">
      <c r="AH418" s="23"/>
      <c r="AJ418" s="24"/>
      <c r="AW418" s="25"/>
      <c r="AX418" s="26"/>
      <c r="AY418" s="27"/>
    </row>
    <row r="419" spans="34:51" ht="12.75" x14ac:dyDescent="0.2">
      <c r="AH419" s="23"/>
      <c r="AJ419" s="24"/>
      <c r="AW419" s="25"/>
      <c r="AX419" s="26"/>
      <c r="AY419" s="27"/>
    </row>
    <row r="420" spans="34:51" ht="12.75" x14ac:dyDescent="0.2">
      <c r="AH420" s="23"/>
      <c r="AJ420" s="24"/>
      <c r="AW420" s="25"/>
      <c r="AX420" s="26"/>
      <c r="AY420" s="27"/>
    </row>
    <row r="421" spans="34:51" ht="12.75" x14ac:dyDescent="0.2">
      <c r="AH421" s="23"/>
      <c r="AJ421" s="24"/>
      <c r="AW421" s="25"/>
      <c r="AX421" s="26"/>
      <c r="AY421" s="27"/>
    </row>
    <row r="422" spans="34:51" ht="12.75" x14ac:dyDescent="0.2">
      <c r="AH422" s="23"/>
      <c r="AJ422" s="24"/>
      <c r="AW422" s="25"/>
      <c r="AX422" s="26"/>
      <c r="AY422" s="27"/>
    </row>
    <row r="423" spans="34:51" ht="12.75" x14ac:dyDescent="0.2">
      <c r="AH423" s="23"/>
      <c r="AJ423" s="24"/>
      <c r="AW423" s="25"/>
      <c r="AX423" s="26"/>
      <c r="AY423" s="27"/>
    </row>
    <row r="424" spans="34:51" ht="12.75" x14ac:dyDescent="0.2">
      <c r="AH424" s="23"/>
      <c r="AJ424" s="24"/>
      <c r="AW424" s="25"/>
      <c r="AX424" s="26"/>
      <c r="AY424" s="27"/>
    </row>
    <row r="425" spans="34:51" ht="12.75" x14ac:dyDescent="0.2">
      <c r="AH425" s="23"/>
      <c r="AJ425" s="24"/>
      <c r="AW425" s="25"/>
      <c r="AX425" s="26"/>
      <c r="AY425" s="27"/>
    </row>
    <row r="426" spans="34:51" ht="12.75" x14ac:dyDescent="0.2">
      <c r="AH426" s="23"/>
      <c r="AJ426" s="24"/>
      <c r="AW426" s="25"/>
      <c r="AX426" s="26"/>
      <c r="AY426" s="27"/>
    </row>
    <row r="427" spans="34:51" ht="12.75" x14ac:dyDescent="0.2">
      <c r="AH427" s="23"/>
      <c r="AJ427" s="24"/>
      <c r="AW427" s="25"/>
      <c r="AX427" s="26"/>
      <c r="AY427" s="27"/>
    </row>
    <row r="428" spans="34:51" ht="12.75" x14ac:dyDescent="0.2">
      <c r="AH428" s="23"/>
      <c r="AJ428" s="24"/>
      <c r="AW428" s="25"/>
      <c r="AX428" s="26"/>
      <c r="AY428" s="27"/>
    </row>
    <row r="429" spans="34:51" ht="12.75" x14ac:dyDescent="0.2">
      <c r="AH429" s="23"/>
      <c r="AJ429" s="24"/>
      <c r="AW429" s="25"/>
      <c r="AX429" s="26"/>
      <c r="AY429" s="27"/>
    </row>
    <row r="430" spans="34:51" ht="12.75" x14ac:dyDescent="0.2">
      <c r="AH430" s="23"/>
      <c r="AJ430" s="24"/>
      <c r="AW430" s="25"/>
      <c r="AX430" s="26"/>
      <c r="AY430" s="27"/>
    </row>
    <row r="431" spans="34:51" ht="12.75" x14ac:dyDescent="0.2">
      <c r="AH431" s="23"/>
      <c r="AJ431" s="24"/>
      <c r="AW431" s="25"/>
      <c r="AX431" s="26"/>
      <c r="AY431" s="27"/>
    </row>
    <row r="432" spans="34:51" ht="12.75" x14ac:dyDescent="0.2">
      <c r="AH432" s="23"/>
      <c r="AJ432" s="24"/>
      <c r="AW432" s="25"/>
      <c r="AX432" s="26"/>
      <c r="AY432" s="27"/>
    </row>
    <row r="433" spans="34:51" ht="12.75" x14ac:dyDescent="0.2">
      <c r="AH433" s="23"/>
      <c r="AJ433" s="24"/>
      <c r="AW433" s="25"/>
      <c r="AX433" s="26"/>
      <c r="AY433" s="27"/>
    </row>
    <row r="434" spans="34:51" ht="12.75" x14ac:dyDescent="0.2">
      <c r="AH434" s="23"/>
      <c r="AJ434" s="24"/>
      <c r="AW434" s="25"/>
      <c r="AX434" s="26"/>
      <c r="AY434" s="27"/>
    </row>
    <row r="435" spans="34:51" ht="12.75" x14ac:dyDescent="0.2">
      <c r="AH435" s="23"/>
      <c r="AJ435" s="24"/>
      <c r="AW435" s="25"/>
      <c r="AX435" s="26"/>
      <c r="AY435" s="27"/>
    </row>
    <row r="436" spans="34:51" ht="12.75" x14ac:dyDescent="0.2">
      <c r="AH436" s="23"/>
      <c r="AJ436" s="24"/>
      <c r="AW436" s="25"/>
      <c r="AX436" s="26"/>
      <c r="AY436" s="27"/>
    </row>
    <row r="437" spans="34:51" ht="12.75" x14ac:dyDescent="0.2">
      <c r="AH437" s="23"/>
      <c r="AJ437" s="24"/>
      <c r="AW437" s="25"/>
      <c r="AX437" s="26"/>
      <c r="AY437" s="27"/>
    </row>
    <row r="438" spans="34:51" ht="12.75" x14ac:dyDescent="0.2">
      <c r="AH438" s="23"/>
      <c r="AJ438" s="24"/>
      <c r="AW438" s="25"/>
      <c r="AX438" s="26"/>
      <c r="AY438" s="27"/>
    </row>
    <row r="439" spans="34:51" ht="12.75" x14ac:dyDescent="0.2">
      <c r="AH439" s="23"/>
      <c r="AJ439" s="24"/>
      <c r="AW439" s="25"/>
      <c r="AX439" s="26"/>
      <c r="AY439" s="27"/>
    </row>
    <row r="440" spans="34:51" ht="12.75" x14ac:dyDescent="0.2">
      <c r="AH440" s="23"/>
      <c r="AJ440" s="24"/>
      <c r="AW440" s="25"/>
      <c r="AX440" s="26"/>
      <c r="AY440" s="27"/>
    </row>
    <row r="441" spans="34:51" ht="12.75" x14ac:dyDescent="0.2">
      <c r="AH441" s="23"/>
      <c r="AJ441" s="24"/>
      <c r="AW441" s="25"/>
      <c r="AX441" s="26"/>
      <c r="AY441" s="27"/>
    </row>
    <row r="442" spans="34:51" ht="12.75" x14ac:dyDescent="0.2">
      <c r="AH442" s="23"/>
      <c r="AJ442" s="24"/>
      <c r="AW442" s="25"/>
      <c r="AX442" s="26"/>
      <c r="AY442" s="27"/>
    </row>
    <row r="443" spans="34:51" ht="12.75" x14ac:dyDescent="0.2">
      <c r="AH443" s="23"/>
      <c r="AJ443" s="24"/>
      <c r="AW443" s="25"/>
      <c r="AX443" s="26"/>
      <c r="AY443" s="27"/>
    </row>
    <row r="444" spans="34:51" ht="12.75" x14ac:dyDescent="0.2">
      <c r="AH444" s="23"/>
      <c r="AJ444" s="24"/>
      <c r="AW444" s="25"/>
      <c r="AX444" s="26"/>
      <c r="AY444" s="27"/>
    </row>
    <row r="445" spans="34:51" ht="12.75" x14ac:dyDescent="0.2">
      <c r="AH445" s="23"/>
      <c r="AJ445" s="24"/>
      <c r="AW445" s="25"/>
      <c r="AX445" s="26"/>
      <c r="AY445" s="27"/>
    </row>
    <row r="446" spans="34:51" ht="12.75" x14ac:dyDescent="0.2">
      <c r="AH446" s="23"/>
      <c r="AJ446" s="24"/>
      <c r="AW446" s="25"/>
      <c r="AX446" s="26"/>
      <c r="AY446" s="27"/>
    </row>
    <row r="447" spans="34:51" ht="12.75" x14ac:dyDescent="0.2">
      <c r="AH447" s="23"/>
      <c r="AJ447" s="24"/>
      <c r="AW447" s="25"/>
      <c r="AX447" s="26"/>
      <c r="AY447" s="27"/>
    </row>
    <row r="448" spans="34:51" ht="12.75" x14ac:dyDescent="0.2">
      <c r="AH448" s="23"/>
      <c r="AJ448" s="24"/>
      <c r="AW448" s="25"/>
      <c r="AX448" s="26"/>
      <c r="AY448" s="27"/>
    </row>
    <row r="449" spans="34:51" ht="12.75" x14ac:dyDescent="0.2">
      <c r="AH449" s="23"/>
      <c r="AJ449" s="24"/>
      <c r="AW449" s="25"/>
      <c r="AX449" s="26"/>
      <c r="AY449" s="27"/>
    </row>
    <row r="450" spans="34:51" ht="12.75" x14ac:dyDescent="0.2">
      <c r="AH450" s="23"/>
      <c r="AJ450" s="24"/>
      <c r="AW450" s="25"/>
      <c r="AX450" s="26"/>
      <c r="AY450" s="27"/>
    </row>
    <row r="451" spans="34:51" ht="12.75" x14ac:dyDescent="0.2">
      <c r="AH451" s="23"/>
      <c r="AJ451" s="24"/>
      <c r="AW451" s="25"/>
      <c r="AX451" s="26"/>
      <c r="AY451" s="27"/>
    </row>
    <row r="452" spans="34:51" ht="12.75" x14ac:dyDescent="0.2">
      <c r="AH452" s="23"/>
      <c r="AJ452" s="24"/>
      <c r="AW452" s="25"/>
      <c r="AX452" s="26"/>
      <c r="AY452" s="27"/>
    </row>
    <row r="453" spans="34:51" ht="12.75" x14ac:dyDescent="0.2">
      <c r="AH453" s="23"/>
      <c r="AJ453" s="24"/>
      <c r="AW453" s="25"/>
      <c r="AX453" s="26"/>
      <c r="AY453" s="27"/>
    </row>
    <row r="454" spans="34:51" ht="12.75" x14ac:dyDescent="0.2">
      <c r="AH454" s="23"/>
      <c r="AJ454" s="24"/>
      <c r="AW454" s="25"/>
      <c r="AX454" s="26"/>
      <c r="AY454" s="27"/>
    </row>
    <row r="455" spans="34:51" ht="12.75" x14ac:dyDescent="0.2">
      <c r="AH455" s="23"/>
      <c r="AJ455" s="24"/>
      <c r="AW455" s="25"/>
      <c r="AX455" s="26"/>
      <c r="AY455" s="27"/>
    </row>
    <row r="456" spans="34:51" ht="12.75" x14ac:dyDescent="0.2">
      <c r="AH456" s="23"/>
      <c r="AJ456" s="24"/>
      <c r="AW456" s="25"/>
      <c r="AX456" s="26"/>
      <c r="AY456" s="27"/>
    </row>
    <row r="457" spans="34:51" ht="12.75" x14ac:dyDescent="0.2">
      <c r="AH457" s="23"/>
      <c r="AJ457" s="24"/>
      <c r="AW457" s="25"/>
      <c r="AX457" s="26"/>
      <c r="AY457" s="27"/>
    </row>
    <row r="458" spans="34:51" ht="12.75" x14ac:dyDescent="0.2">
      <c r="AH458" s="23"/>
      <c r="AJ458" s="24"/>
      <c r="AW458" s="25"/>
      <c r="AX458" s="26"/>
      <c r="AY458" s="27"/>
    </row>
    <row r="459" spans="34:51" ht="12.75" x14ac:dyDescent="0.2">
      <c r="AH459" s="23"/>
      <c r="AJ459" s="24"/>
      <c r="AW459" s="25"/>
      <c r="AX459" s="26"/>
      <c r="AY459" s="27"/>
    </row>
    <row r="460" spans="34:51" ht="12.75" x14ac:dyDescent="0.2">
      <c r="AH460" s="23"/>
      <c r="AJ460" s="24"/>
      <c r="AW460" s="25"/>
      <c r="AX460" s="26"/>
      <c r="AY460" s="27"/>
    </row>
    <row r="461" spans="34:51" ht="12.75" x14ac:dyDescent="0.2">
      <c r="AH461" s="23"/>
      <c r="AJ461" s="24"/>
      <c r="AW461" s="25"/>
      <c r="AX461" s="26"/>
      <c r="AY461" s="27"/>
    </row>
    <row r="462" spans="34:51" ht="12.75" x14ac:dyDescent="0.2">
      <c r="AH462" s="23"/>
      <c r="AJ462" s="24"/>
      <c r="AW462" s="25"/>
      <c r="AX462" s="26"/>
      <c r="AY462" s="27"/>
    </row>
    <row r="463" spans="34:51" ht="12.75" x14ac:dyDescent="0.2">
      <c r="AH463" s="23"/>
      <c r="AJ463" s="24"/>
      <c r="AW463" s="25"/>
      <c r="AX463" s="26"/>
      <c r="AY463" s="27"/>
    </row>
    <row r="464" spans="34:51" ht="12.75" x14ac:dyDescent="0.2">
      <c r="AH464" s="23"/>
      <c r="AJ464" s="24"/>
      <c r="AW464" s="25"/>
      <c r="AX464" s="26"/>
      <c r="AY464" s="27"/>
    </row>
    <row r="465" spans="34:51" ht="12.75" x14ac:dyDescent="0.2">
      <c r="AH465" s="23"/>
      <c r="AJ465" s="24"/>
      <c r="AW465" s="25"/>
      <c r="AX465" s="26"/>
      <c r="AY465" s="27"/>
    </row>
    <row r="466" spans="34:51" ht="12.75" x14ac:dyDescent="0.2">
      <c r="AH466" s="23"/>
      <c r="AJ466" s="24"/>
      <c r="AW466" s="25"/>
      <c r="AX466" s="26"/>
      <c r="AY466" s="27"/>
    </row>
    <row r="467" spans="34:51" ht="12.75" x14ac:dyDescent="0.2">
      <c r="AH467" s="23"/>
      <c r="AJ467" s="24"/>
      <c r="AW467" s="25"/>
      <c r="AX467" s="26"/>
      <c r="AY467" s="27"/>
    </row>
    <row r="468" spans="34:51" ht="12.75" x14ac:dyDescent="0.2">
      <c r="AH468" s="23"/>
      <c r="AJ468" s="24"/>
      <c r="AW468" s="25"/>
      <c r="AX468" s="26"/>
      <c r="AY468" s="27"/>
    </row>
    <row r="469" spans="34:51" ht="12.75" x14ac:dyDescent="0.2">
      <c r="AH469" s="23"/>
      <c r="AJ469" s="24"/>
      <c r="AW469" s="25"/>
      <c r="AX469" s="26"/>
      <c r="AY469" s="27"/>
    </row>
    <row r="470" spans="34:51" ht="12.75" x14ac:dyDescent="0.2">
      <c r="AH470" s="23"/>
      <c r="AJ470" s="24"/>
      <c r="AW470" s="25"/>
      <c r="AX470" s="26"/>
      <c r="AY470" s="27"/>
    </row>
    <row r="471" spans="34:51" ht="12.75" x14ac:dyDescent="0.2">
      <c r="AH471" s="23"/>
      <c r="AJ471" s="24"/>
      <c r="AW471" s="25"/>
      <c r="AX471" s="26"/>
      <c r="AY471" s="27"/>
    </row>
    <row r="472" spans="34:51" ht="12.75" x14ac:dyDescent="0.2">
      <c r="AH472" s="23"/>
      <c r="AJ472" s="24"/>
      <c r="AW472" s="25"/>
      <c r="AX472" s="26"/>
      <c r="AY472" s="27"/>
    </row>
    <row r="473" spans="34:51" ht="12.75" x14ac:dyDescent="0.2">
      <c r="AH473" s="23"/>
      <c r="AJ473" s="24"/>
      <c r="AW473" s="25"/>
      <c r="AX473" s="26"/>
      <c r="AY473" s="27"/>
    </row>
    <row r="474" spans="34:51" ht="12.75" x14ac:dyDescent="0.2">
      <c r="AH474" s="23"/>
      <c r="AJ474" s="24"/>
      <c r="AW474" s="25"/>
      <c r="AX474" s="26"/>
      <c r="AY474" s="27"/>
    </row>
    <row r="475" spans="34:51" ht="12.75" x14ac:dyDescent="0.2">
      <c r="AH475" s="23"/>
      <c r="AJ475" s="24"/>
      <c r="AW475" s="25"/>
      <c r="AX475" s="26"/>
      <c r="AY475" s="27"/>
    </row>
    <row r="476" spans="34:51" ht="12.75" x14ac:dyDescent="0.2">
      <c r="AH476" s="23"/>
      <c r="AJ476" s="24"/>
      <c r="AW476" s="25"/>
      <c r="AX476" s="26"/>
      <c r="AY476" s="27"/>
    </row>
    <row r="477" spans="34:51" ht="12.75" x14ac:dyDescent="0.2">
      <c r="AH477" s="23"/>
      <c r="AJ477" s="24"/>
      <c r="AW477" s="25"/>
      <c r="AX477" s="26"/>
      <c r="AY477" s="27"/>
    </row>
    <row r="478" spans="34:51" ht="12.75" x14ac:dyDescent="0.2">
      <c r="AH478" s="23"/>
      <c r="AJ478" s="24"/>
      <c r="AW478" s="25"/>
      <c r="AX478" s="26"/>
      <c r="AY478" s="27"/>
    </row>
    <row r="479" spans="34:51" ht="12.75" x14ac:dyDescent="0.2">
      <c r="AH479" s="23"/>
      <c r="AJ479" s="24"/>
      <c r="AW479" s="25"/>
      <c r="AX479" s="26"/>
      <c r="AY479" s="27"/>
    </row>
    <row r="480" spans="34:51" ht="12.75" x14ac:dyDescent="0.2">
      <c r="AH480" s="23"/>
      <c r="AJ480" s="24"/>
      <c r="AW480" s="25"/>
      <c r="AX480" s="26"/>
      <c r="AY480" s="27"/>
    </row>
    <row r="481" spans="34:51" ht="12.75" x14ac:dyDescent="0.2">
      <c r="AH481" s="23"/>
      <c r="AJ481" s="24"/>
      <c r="AW481" s="25"/>
      <c r="AX481" s="26"/>
      <c r="AY481" s="27"/>
    </row>
    <row r="482" spans="34:51" ht="12.75" x14ac:dyDescent="0.2">
      <c r="AH482" s="23"/>
      <c r="AJ482" s="24"/>
      <c r="AW482" s="25"/>
      <c r="AX482" s="26"/>
      <c r="AY482" s="27"/>
    </row>
    <row r="483" spans="34:51" ht="12.75" x14ac:dyDescent="0.2">
      <c r="AH483" s="23"/>
      <c r="AJ483" s="24"/>
      <c r="AW483" s="25"/>
      <c r="AX483" s="26"/>
      <c r="AY483" s="27"/>
    </row>
    <row r="484" spans="34:51" ht="12.75" x14ac:dyDescent="0.2">
      <c r="AH484" s="23"/>
      <c r="AJ484" s="24"/>
      <c r="AW484" s="25"/>
      <c r="AX484" s="26"/>
      <c r="AY484" s="27"/>
    </row>
    <row r="485" spans="34:51" ht="12.75" x14ac:dyDescent="0.2">
      <c r="AH485" s="23"/>
      <c r="AJ485" s="24"/>
      <c r="AW485" s="25"/>
      <c r="AX485" s="26"/>
      <c r="AY485" s="27"/>
    </row>
    <row r="486" spans="34:51" ht="12.75" x14ac:dyDescent="0.2">
      <c r="AH486" s="23"/>
      <c r="AJ486" s="24"/>
      <c r="AW486" s="25"/>
      <c r="AX486" s="26"/>
      <c r="AY486" s="27"/>
    </row>
    <row r="487" spans="34:51" ht="12.75" x14ac:dyDescent="0.2">
      <c r="AH487" s="23"/>
      <c r="AJ487" s="24"/>
      <c r="AW487" s="25"/>
      <c r="AX487" s="26"/>
      <c r="AY487" s="27"/>
    </row>
    <row r="488" spans="34:51" ht="12.75" x14ac:dyDescent="0.2">
      <c r="AH488" s="23"/>
      <c r="AJ488" s="24"/>
      <c r="AW488" s="25"/>
      <c r="AX488" s="26"/>
      <c r="AY488" s="27"/>
    </row>
    <row r="489" spans="34:51" ht="12.75" x14ac:dyDescent="0.2">
      <c r="AH489" s="23"/>
      <c r="AJ489" s="24"/>
      <c r="AW489" s="25"/>
      <c r="AX489" s="26"/>
      <c r="AY489" s="27"/>
    </row>
    <row r="490" spans="34:51" ht="12.75" x14ac:dyDescent="0.2">
      <c r="AH490" s="23"/>
      <c r="AJ490" s="24"/>
      <c r="AW490" s="25"/>
      <c r="AX490" s="26"/>
      <c r="AY490" s="27"/>
    </row>
    <row r="491" spans="34:51" ht="12.75" x14ac:dyDescent="0.2">
      <c r="AH491" s="23"/>
      <c r="AJ491" s="24"/>
      <c r="AW491" s="25"/>
      <c r="AX491" s="26"/>
      <c r="AY491" s="27"/>
    </row>
    <row r="492" spans="34:51" ht="12.75" x14ac:dyDescent="0.2">
      <c r="AH492" s="23"/>
      <c r="AJ492" s="24"/>
      <c r="AW492" s="25"/>
      <c r="AX492" s="26"/>
      <c r="AY492" s="27"/>
    </row>
    <row r="493" spans="34:51" ht="12.75" x14ac:dyDescent="0.2">
      <c r="AH493" s="23"/>
      <c r="AJ493" s="24"/>
      <c r="AW493" s="25"/>
      <c r="AX493" s="26"/>
      <c r="AY493" s="27"/>
    </row>
    <row r="494" spans="34:51" ht="12.75" x14ac:dyDescent="0.2">
      <c r="AH494" s="23"/>
      <c r="AJ494" s="24"/>
      <c r="AW494" s="25"/>
      <c r="AX494" s="26"/>
      <c r="AY494" s="27"/>
    </row>
    <row r="495" spans="34:51" ht="12.75" x14ac:dyDescent="0.2">
      <c r="AH495" s="23"/>
      <c r="AJ495" s="24"/>
      <c r="AW495" s="25"/>
      <c r="AX495" s="26"/>
      <c r="AY495" s="27"/>
    </row>
    <row r="496" spans="34:51" ht="12.75" x14ac:dyDescent="0.2">
      <c r="AH496" s="23"/>
      <c r="AJ496" s="24"/>
      <c r="AW496" s="25"/>
      <c r="AX496" s="26"/>
      <c r="AY496" s="27"/>
    </row>
    <row r="497" spans="34:51" ht="12.75" x14ac:dyDescent="0.2">
      <c r="AH497" s="23"/>
      <c r="AJ497" s="24"/>
      <c r="AW497" s="25"/>
      <c r="AX497" s="26"/>
      <c r="AY497" s="27"/>
    </row>
    <row r="498" spans="34:51" ht="12.75" x14ac:dyDescent="0.2">
      <c r="AH498" s="23"/>
      <c r="AJ498" s="24"/>
      <c r="AW498" s="25"/>
      <c r="AX498" s="26"/>
      <c r="AY498" s="27"/>
    </row>
    <row r="499" spans="34:51" ht="12.75" x14ac:dyDescent="0.2">
      <c r="AH499" s="23"/>
      <c r="AJ499" s="24"/>
      <c r="AW499" s="25"/>
      <c r="AX499" s="26"/>
      <c r="AY499" s="27"/>
    </row>
    <row r="500" spans="34:51" ht="12.75" x14ac:dyDescent="0.2">
      <c r="AH500" s="23"/>
      <c r="AJ500" s="24"/>
      <c r="AW500" s="25"/>
      <c r="AX500" s="26"/>
      <c r="AY500" s="27"/>
    </row>
    <row r="501" spans="34:51" ht="12.75" x14ac:dyDescent="0.2">
      <c r="AH501" s="23"/>
      <c r="AJ501" s="24"/>
      <c r="AW501" s="25"/>
      <c r="AX501" s="26"/>
      <c r="AY501" s="27"/>
    </row>
    <row r="502" spans="34:51" ht="12.75" x14ac:dyDescent="0.2">
      <c r="AH502" s="23"/>
      <c r="AJ502" s="24"/>
      <c r="AW502" s="25"/>
      <c r="AX502" s="26"/>
      <c r="AY502" s="27"/>
    </row>
    <row r="503" spans="34:51" ht="12.75" x14ac:dyDescent="0.2">
      <c r="AH503" s="23"/>
      <c r="AJ503" s="24"/>
      <c r="AW503" s="25"/>
      <c r="AX503" s="26"/>
      <c r="AY503" s="27"/>
    </row>
    <row r="504" spans="34:51" ht="12.75" x14ac:dyDescent="0.2">
      <c r="AH504" s="23"/>
      <c r="AJ504" s="24"/>
      <c r="AW504" s="25"/>
      <c r="AX504" s="26"/>
      <c r="AY504" s="27"/>
    </row>
    <row r="505" spans="34:51" ht="12.75" x14ac:dyDescent="0.2">
      <c r="AH505" s="23"/>
      <c r="AJ505" s="24"/>
      <c r="AW505" s="25"/>
      <c r="AX505" s="26"/>
      <c r="AY505" s="27"/>
    </row>
    <row r="506" spans="34:51" ht="12.75" x14ac:dyDescent="0.2">
      <c r="AH506" s="23"/>
      <c r="AJ506" s="24"/>
      <c r="AW506" s="25"/>
      <c r="AX506" s="26"/>
      <c r="AY506" s="27"/>
    </row>
    <row r="507" spans="34:51" ht="12.75" x14ac:dyDescent="0.2">
      <c r="AH507" s="23"/>
      <c r="AJ507" s="24"/>
      <c r="AW507" s="25"/>
      <c r="AX507" s="26"/>
      <c r="AY507" s="27"/>
    </row>
    <row r="508" spans="34:51" ht="12.75" x14ac:dyDescent="0.2">
      <c r="AH508" s="23"/>
      <c r="AJ508" s="24"/>
      <c r="AW508" s="25"/>
      <c r="AX508" s="26"/>
      <c r="AY508" s="27"/>
    </row>
    <row r="509" spans="34:51" ht="12.75" x14ac:dyDescent="0.2">
      <c r="AH509" s="23"/>
      <c r="AJ509" s="24"/>
      <c r="AW509" s="25"/>
      <c r="AX509" s="26"/>
      <c r="AY509" s="27"/>
    </row>
    <row r="510" spans="34:51" ht="12.75" x14ac:dyDescent="0.2">
      <c r="AH510" s="23"/>
      <c r="AJ510" s="24"/>
      <c r="AW510" s="25"/>
      <c r="AX510" s="26"/>
      <c r="AY510" s="27"/>
    </row>
    <row r="511" spans="34:51" ht="12.75" x14ac:dyDescent="0.2">
      <c r="AH511" s="23"/>
      <c r="AJ511" s="24"/>
      <c r="AW511" s="25"/>
      <c r="AX511" s="26"/>
      <c r="AY511" s="27"/>
    </row>
    <row r="512" spans="34:51" ht="12.75" x14ac:dyDescent="0.2">
      <c r="AH512" s="23"/>
      <c r="AJ512" s="24"/>
      <c r="AW512" s="25"/>
      <c r="AX512" s="26"/>
      <c r="AY512" s="27"/>
    </row>
    <row r="513" spans="34:51" ht="12.75" x14ac:dyDescent="0.2">
      <c r="AH513" s="23"/>
      <c r="AJ513" s="24"/>
      <c r="AW513" s="25"/>
      <c r="AX513" s="26"/>
      <c r="AY513" s="27"/>
    </row>
    <row r="514" spans="34:51" ht="12.75" x14ac:dyDescent="0.2">
      <c r="AH514" s="23"/>
      <c r="AJ514" s="24"/>
      <c r="AW514" s="25"/>
      <c r="AX514" s="26"/>
      <c r="AY514" s="27"/>
    </row>
    <row r="515" spans="34:51" ht="12.75" x14ac:dyDescent="0.2">
      <c r="AH515" s="23"/>
      <c r="AJ515" s="24"/>
      <c r="AW515" s="25"/>
      <c r="AX515" s="26"/>
      <c r="AY515" s="27"/>
    </row>
    <row r="516" spans="34:51" ht="12.75" x14ac:dyDescent="0.2">
      <c r="AH516" s="23"/>
      <c r="AJ516" s="24"/>
      <c r="AW516" s="25"/>
      <c r="AX516" s="26"/>
      <c r="AY516" s="27"/>
    </row>
    <row r="517" spans="34:51" ht="12.75" x14ac:dyDescent="0.2">
      <c r="AH517" s="23"/>
      <c r="AJ517" s="24"/>
      <c r="AW517" s="25"/>
      <c r="AX517" s="26"/>
      <c r="AY517" s="27"/>
    </row>
    <row r="518" spans="34:51" ht="12.75" x14ac:dyDescent="0.2">
      <c r="AH518" s="23"/>
      <c r="AJ518" s="24"/>
      <c r="AW518" s="25"/>
      <c r="AX518" s="26"/>
      <c r="AY518" s="27"/>
    </row>
    <row r="519" spans="34:51" ht="12.75" x14ac:dyDescent="0.2">
      <c r="AH519" s="23"/>
      <c r="AJ519" s="24"/>
      <c r="AW519" s="25"/>
      <c r="AX519" s="26"/>
      <c r="AY519" s="27"/>
    </row>
    <row r="520" spans="34:51" ht="12.75" x14ac:dyDescent="0.2">
      <c r="AH520" s="23"/>
      <c r="AJ520" s="24"/>
      <c r="AW520" s="25"/>
      <c r="AX520" s="26"/>
      <c r="AY520" s="27"/>
    </row>
    <row r="521" spans="34:51" ht="12.75" x14ac:dyDescent="0.2">
      <c r="AH521" s="23"/>
      <c r="AJ521" s="24"/>
      <c r="AW521" s="25"/>
      <c r="AX521" s="26"/>
      <c r="AY521" s="27"/>
    </row>
    <row r="522" spans="34:51" ht="12.75" x14ac:dyDescent="0.2">
      <c r="AH522" s="23"/>
      <c r="AJ522" s="24"/>
      <c r="AW522" s="25"/>
      <c r="AX522" s="26"/>
      <c r="AY522" s="27"/>
    </row>
    <row r="523" spans="34:51" ht="12.75" x14ac:dyDescent="0.2">
      <c r="AH523" s="23"/>
      <c r="AJ523" s="24"/>
      <c r="AW523" s="25"/>
      <c r="AX523" s="26"/>
      <c r="AY523" s="27"/>
    </row>
    <row r="524" spans="34:51" ht="12.75" x14ac:dyDescent="0.2">
      <c r="AH524" s="23"/>
      <c r="AJ524" s="24"/>
      <c r="AW524" s="25"/>
      <c r="AX524" s="26"/>
      <c r="AY524" s="27"/>
    </row>
    <row r="525" spans="34:51" ht="12.75" x14ac:dyDescent="0.2">
      <c r="AH525" s="23"/>
      <c r="AJ525" s="24"/>
      <c r="AW525" s="25"/>
      <c r="AX525" s="26"/>
      <c r="AY525" s="27"/>
    </row>
    <row r="526" spans="34:51" ht="12.75" x14ac:dyDescent="0.2">
      <c r="AH526" s="23"/>
      <c r="AJ526" s="24"/>
      <c r="AW526" s="25"/>
      <c r="AX526" s="26"/>
      <c r="AY526" s="27"/>
    </row>
    <row r="527" spans="34:51" ht="12.75" x14ac:dyDescent="0.2">
      <c r="AH527" s="23"/>
      <c r="AJ527" s="24"/>
      <c r="AW527" s="25"/>
      <c r="AX527" s="26"/>
      <c r="AY527" s="27"/>
    </row>
    <row r="528" spans="34:51" ht="12.75" x14ac:dyDescent="0.2">
      <c r="AH528" s="23"/>
      <c r="AJ528" s="24"/>
      <c r="AW528" s="25"/>
      <c r="AX528" s="26"/>
      <c r="AY528" s="27"/>
    </row>
    <row r="529" spans="34:51" ht="12.75" x14ac:dyDescent="0.2">
      <c r="AH529" s="23"/>
      <c r="AJ529" s="24"/>
      <c r="AW529" s="25"/>
      <c r="AX529" s="26"/>
      <c r="AY529" s="27"/>
    </row>
    <row r="530" spans="34:51" ht="12.75" x14ac:dyDescent="0.2">
      <c r="AH530" s="23"/>
      <c r="AJ530" s="24"/>
      <c r="AW530" s="25"/>
      <c r="AX530" s="26"/>
      <c r="AY530" s="27"/>
    </row>
    <row r="531" spans="34:51" ht="12.75" x14ac:dyDescent="0.2">
      <c r="AH531" s="23"/>
      <c r="AJ531" s="24"/>
      <c r="AW531" s="25"/>
      <c r="AX531" s="26"/>
      <c r="AY531" s="27"/>
    </row>
    <row r="532" spans="34:51" ht="12.75" x14ac:dyDescent="0.2">
      <c r="AH532" s="23"/>
      <c r="AJ532" s="24"/>
      <c r="AW532" s="25"/>
      <c r="AX532" s="26"/>
      <c r="AY532" s="27"/>
    </row>
    <row r="533" spans="34:51" ht="12.75" x14ac:dyDescent="0.2">
      <c r="AH533" s="23"/>
      <c r="AJ533" s="24"/>
      <c r="AW533" s="25"/>
      <c r="AX533" s="26"/>
      <c r="AY533" s="27"/>
    </row>
    <row r="534" spans="34:51" ht="12.75" x14ac:dyDescent="0.2">
      <c r="AH534" s="23"/>
      <c r="AJ534" s="24"/>
      <c r="AW534" s="25"/>
      <c r="AX534" s="26"/>
      <c r="AY534" s="27"/>
    </row>
    <row r="535" spans="34:51" ht="12.75" x14ac:dyDescent="0.2">
      <c r="AH535" s="23"/>
      <c r="AJ535" s="24"/>
      <c r="AW535" s="25"/>
      <c r="AX535" s="26"/>
      <c r="AY535" s="27"/>
    </row>
    <row r="536" spans="34:51" ht="12.75" x14ac:dyDescent="0.2">
      <c r="AH536" s="23"/>
      <c r="AJ536" s="24"/>
      <c r="AW536" s="25"/>
      <c r="AX536" s="26"/>
      <c r="AY536" s="27"/>
    </row>
    <row r="537" spans="34:51" ht="12.75" x14ac:dyDescent="0.2">
      <c r="AH537" s="23"/>
      <c r="AJ537" s="24"/>
      <c r="AW537" s="25"/>
      <c r="AX537" s="26"/>
      <c r="AY537" s="27"/>
    </row>
    <row r="538" spans="34:51" ht="12.75" x14ac:dyDescent="0.2">
      <c r="AH538" s="23"/>
      <c r="AJ538" s="24"/>
      <c r="AW538" s="25"/>
      <c r="AX538" s="26"/>
      <c r="AY538" s="27"/>
    </row>
    <row r="539" spans="34:51" ht="12.75" x14ac:dyDescent="0.2">
      <c r="AH539" s="23"/>
      <c r="AJ539" s="24"/>
      <c r="AW539" s="25"/>
      <c r="AX539" s="26"/>
      <c r="AY539" s="27"/>
    </row>
    <row r="540" spans="34:51" ht="12.75" x14ac:dyDescent="0.2">
      <c r="AH540" s="23"/>
      <c r="AJ540" s="24"/>
      <c r="AW540" s="25"/>
      <c r="AX540" s="26"/>
      <c r="AY540" s="27"/>
    </row>
    <row r="541" spans="34:51" ht="12.75" x14ac:dyDescent="0.2">
      <c r="AH541" s="23"/>
      <c r="AJ541" s="24"/>
      <c r="AW541" s="25"/>
      <c r="AX541" s="26"/>
      <c r="AY541" s="27"/>
    </row>
    <row r="542" spans="34:51" ht="12.75" x14ac:dyDescent="0.2">
      <c r="AH542" s="23"/>
      <c r="AJ542" s="24"/>
      <c r="AW542" s="25"/>
      <c r="AX542" s="26"/>
      <c r="AY542" s="27"/>
    </row>
    <row r="543" spans="34:51" ht="12.75" x14ac:dyDescent="0.2">
      <c r="AH543" s="23"/>
      <c r="AJ543" s="24"/>
      <c r="AW543" s="25"/>
      <c r="AX543" s="26"/>
      <c r="AY543" s="27"/>
    </row>
    <row r="544" spans="34:51" ht="12.75" x14ac:dyDescent="0.2">
      <c r="AH544" s="23"/>
      <c r="AJ544" s="24"/>
      <c r="AW544" s="25"/>
      <c r="AX544" s="26"/>
      <c r="AY544" s="27"/>
    </row>
    <row r="545" spans="34:51" ht="12.75" x14ac:dyDescent="0.2">
      <c r="AH545" s="23"/>
      <c r="AJ545" s="24"/>
      <c r="AW545" s="25"/>
      <c r="AX545" s="26"/>
      <c r="AY545" s="27"/>
    </row>
    <row r="546" spans="34:51" ht="12.75" x14ac:dyDescent="0.2">
      <c r="AH546" s="23"/>
      <c r="AJ546" s="24"/>
      <c r="AW546" s="25"/>
      <c r="AX546" s="26"/>
      <c r="AY546" s="27"/>
    </row>
    <row r="547" spans="34:51" ht="12.75" x14ac:dyDescent="0.2">
      <c r="AH547" s="23"/>
      <c r="AJ547" s="24"/>
      <c r="AW547" s="25"/>
      <c r="AX547" s="26"/>
      <c r="AY547" s="27"/>
    </row>
    <row r="548" spans="34:51" ht="12.75" x14ac:dyDescent="0.2">
      <c r="AH548" s="23"/>
      <c r="AJ548" s="24"/>
      <c r="AW548" s="25"/>
      <c r="AX548" s="26"/>
      <c r="AY548" s="27"/>
    </row>
    <row r="549" spans="34:51" ht="12.75" x14ac:dyDescent="0.2">
      <c r="AH549" s="23"/>
      <c r="AJ549" s="24"/>
      <c r="AW549" s="25"/>
      <c r="AX549" s="26"/>
      <c r="AY549" s="27"/>
    </row>
    <row r="550" spans="34:51" ht="12.75" x14ac:dyDescent="0.2">
      <c r="AH550" s="23"/>
      <c r="AJ550" s="24"/>
      <c r="AW550" s="25"/>
      <c r="AX550" s="26"/>
      <c r="AY550" s="27"/>
    </row>
    <row r="551" spans="34:51" ht="12.75" x14ac:dyDescent="0.2">
      <c r="AH551" s="23"/>
      <c r="AJ551" s="24"/>
      <c r="AW551" s="25"/>
      <c r="AX551" s="26"/>
      <c r="AY551" s="27"/>
    </row>
    <row r="552" spans="34:51" ht="12.75" x14ac:dyDescent="0.2">
      <c r="AH552" s="23"/>
      <c r="AJ552" s="24"/>
      <c r="AW552" s="25"/>
      <c r="AX552" s="26"/>
      <c r="AY552" s="27"/>
    </row>
    <row r="553" spans="34:51" ht="12.75" x14ac:dyDescent="0.2">
      <c r="AH553" s="23"/>
      <c r="AJ553" s="24"/>
      <c r="AW553" s="25"/>
      <c r="AX553" s="26"/>
      <c r="AY553" s="27"/>
    </row>
    <row r="554" spans="34:51" ht="12.75" x14ac:dyDescent="0.2">
      <c r="AH554" s="23"/>
      <c r="AJ554" s="24"/>
      <c r="AW554" s="25"/>
      <c r="AX554" s="26"/>
      <c r="AY554" s="27"/>
    </row>
    <row r="555" spans="34:51" ht="12.75" x14ac:dyDescent="0.2">
      <c r="AH555" s="23"/>
      <c r="AJ555" s="24"/>
      <c r="AW555" s="25"/>
      <c r="AX555" s="26"/>
      <c r="AY555" s="27"/>
    </row>
    <row r="556" spans="34:51" ht="12.75" x14ac:dyDescent="0.2">
      <c r="AH556" s="23"/>
      <c r="AJ556" s="24"/>
      <c r="AW556" s="25"/>
      <c r="AX556" s="26"/>
      <c r="AY556" s="27"/>
    </row>
    <row r="557" spans="34:51" ht="12.75" x14ac:dyDescent="0.2">
      <c r="AH557" s="23"/>
      <c r="AJ557" s="24"/>
      <c r="AW557" s="25"/>
      <c r="AX557" s="26"/>
      <c r="AY557" s="27"/>
    </row>
    <row r="558" spans="34:51" ht="12.75" x14ac:dyDescent="0.2">
      <c r="AH558" s="23"/>
      <c r="AJ558" s="24"/>
      <c r="AW558" s="25"/>
      <c r="AX558" s="26"/>
      <c r="AY558" s="27"/>
    </row>
    <row r="559" spans="34:51" ht="12.75" x14ac:dyDescent="0.2">
      <c r="AH559" s="23"/>
      <c r="AJ559" s="24"/>
      <c r="AW559" s="25"/>
      <c r="AX559" s="26"/>
      <c r="AY559" s="27"/>
    </row>
    <row r="560" spans="34:51" ht="12.75" x14ac:dyDescent="0.2">
      <c r="AH560" s="23"/>
      <c r="AJ560" s="24"/>
      <c r="AW560" s="25"/>
      <c r="AX560" s="26"/>
      <c r="AY560" s="27"/>
    </row>
    <row r="561" spans="34:51" ht="12.75" x14ac:dyDescent="0.2">
      <c r="AH561" s="23"/>
      <c r="AJ561" s="24"/>
      <c r="AW561" s="25"/>
      <c r="AX561" s="26"/>
      <c r="AY561" s="27"/>
    </row>
    <row r="562" spans="34:51" ht="12.75" x14ac:dyDescent="0.2">
      <c r="AH562" s="23"/>
      <c r="AJ562" s="24"/>
      <c r="AW562" s="25"/>
      <c r="AX562" s="26"/>
      <c r="AY562" s="27"/>
    </row>
    <row r="563" spans="34:51" ht="12.75" x14ac:dyDescent="0.2">
      <c r="AH563" s="23"/>
      <c r="AJ563" s="24"/>
      <c r="AW563" s="25"/>
      <c r="AX563" s="26"/>
      <c r="AY563" s="27"/>
    </row>
    <row r="564" spans="34:51" ht="12.75" x14ac:dyDescent="0.2">
      <c r="AH564" s="23"/>
      <c r="AJ564" s="24"/>
      <c r="AW564" s="25"/>
      <c r="AX564" s="26"/>
      <c r="AY564" s="27"/>
    </row>
    <row r="565" spans="34:51" ht="12.75" x14ac:dyDescent="0.2">
      <c r="AH565" s="23"/>
      <c r="AJ565" s="24"/>
      <c r="AW565" s="25"/>
      <c r="AX565" s="26"/>
      <c r="AY565" s="27"/>
    </row>
    <row r="566" spans="34:51" ht="12.75" x14ac:dyDescent="0.2">
      <c r="AH566" s="23"/>
      <c r="AJ566" s="24"/>
      <c r="AW566" s="25"/>
      <c r="AX566" s="26"/>
      <c r="AY566" s="27"/>
    </row>
    <row r="567" spans="34:51" ht="12.75" x14ac:dyDescent="0.2">
      <c r="AH567" s="23"/>
      <c r="AJ567" s="24"/>
      <c r="AW567" s="25"/>
      <c r="AX567" s="26"/>
      <c r="AY567" s="27"/>
    </row>
    <row r="568" spans="34:51" ht="12.75" x14ac:dyDescent="0.2">
      <c r="AH568" s="23"/>
      <c r="AJ568" s="24"/>
      <c r="AW568" s="25"/>
      <c r="AX568" s="26"/>
      <c r="AY568" s="27"/>
    </row>
    <row r="569" spans="34:51" ht="12.75" x14ac:dyDescent="0.2">
      <c r="AH569" s="23"/>
      <c r="AJ569" s="24"/>
      <c r="AW569" s="25"/>
      <c r="AX569" s="26"/>
      <c r="AY569" s="27"/>
    </row>
    <row r="570" spans="34:51" ht="12.75" x14ac:dyDescent="0.2">
      <c r="AH570" s="23"/>
      <c r="AJ570" s="24"/>
      <c r="AW570" s="25"/>
      <c r="AX570" s="26"/>
      <c r="AY570" s="27"/>
    </row>
    <row r="571" spans="34:51" ht="12.75" x14ac:dyDescent="0.2">
      <c r="AH571" s="23"/>
      <c r="AJ571" s="24"/>
      <c r="AW571" s="25"/>
      <c r="AX571" s="26"/>
      <c r="AY571" s="27"/>
    </row>
    <row r="572" spans="34:51" ht="12.75" x14ac:dyDescent="0.2">
      <c r="AH572" s="23"/>
      <c r="AJ572" s="24"/>
      <c r="AW572" s="25"/>
      <c r="AX572" s="26"/>
      <c r="AY572" s="27"/>
    </row>
    <row r="573" spans="34:51" ht="12.75" x14ac:dyDescent="0.2">
      <c r="AH573" s="23"/>
      <c r="AJ573" s="24"/>
      <c r="AW573" s="25"/>
      <c r="AX573" s="26"/>
      <c r="AY573" s="27"/>
    </row>
    <row r="574" spans="34:51" ht="12.75" x14ac:dyDescent="0.2">
      <c r="AH574" s="23"/>
      <c r="AJ574" s="24"/>
      <c r="AW574" s="25"/>
      <c r="AX574" s="26"/>
      <c r="AY574" s="27"/>
    </row>
    <row r="575" spans="34:51" ht="12.75" x14ac:dyDescent="0.2">
      <c r="AH575" s="23"/>
      <c r="AJ575" s="24"/>
      <c r="AW575" s="25"/>
      <c r="AX575" s="26"/>
      <c r="AY575" s="27"/>
    </row>
    <row r="576" spans="34:51" ht="12.75" x14ac:dyDescent="0.2">
      <c r="AH576" s="23"/>
      <c r="AJ576" s="24"/>
      <c r="AW576" s="25"/>
      <c r="AX576" s="26"/>
      <c r="AY576" s="27"/>
    </row>
    <row r="577" spans="34:51" ht="12.75" x14ac:dyDescent="0.2">
      <c r="AH577" s="23"/>
      <c r="AJ577" s="24"/>
      <c r="AW577" s="25"/>
      <c r="AX577" s="26"/>
      <c r="AY577" s="27"/>
    </row>
    <row r="578" spans="34:51" ht="12.75" x14ac:dyDescent="0.2">
      <c r="AH578" s="23"/>
      <c r="AJ578" s="24"/>
      <c r="AW578" s="25"/>
      <c r="AX578" s="26"/>
      <c r="AY578" s="27"/>
    </row>
    <row r="579" spans="34:51" ht="12.75" x14ac:dyDescent="0.2">
      <c r="AH579" s="23"/>
      <c r="AJ579" s="24"/>
      <c r="AW579" s="25"/>
      <c r="AX579" s="26"/>
      <c r="AY579" s="27"/>
    </row>
    <row r="580" spans="34:51" ht="12.75" x14ac:dyDescent="0.2">
      <c r="AH580" s="23"/>
      <c r="AJ580" s="24"/>
      <c r="AW580" s="25"/>
      <c r="AX580" s="26"/>
      <c r="AY580" s="27"/>
    </row>
    <row r="581" spans="34:51" ht="12.75" x14ac:dyDescent="0.2">
      <c r="AH581" s="23"/>
      <c r="AJ581" s="24"/>
      <c r="AW581" s="25"/>
      <c r="AX581" s="26"/>
      <c r="AY581" s="27"/>
    </row>
    <row r="582" spans="34:51" ht="12.75" x14ac:dyDescent="0.2">
      <c r="AH582" s="23"/>
      <c r="AJ582" s="24"/>
      <c r="AW582" s="25"/>
      <c r="AX582" s="26"/>
      <c r="AY582" s="27"/>
    </row>
    <row r="583" spans="34:51" ht="12.75" x14ac:dyDescent="0.2">
      <c r="AH583" s="23"/>
      <c r="AJ583" s="24"/>
      <c r="AW583" s="25"/>
      <c r="AX583" s="26"/>
      <c r="AY583" s="27"/>
    </row>
    <row r="584" spans="34:51" ht="12.75" x14ac:dyDescent="0.2">
      <c r="AH584" s="23"/>
      <c r="AJ584" s="24"/>
      <c r="AW584" s="25"/>
      <c r="AX584" s="26"/>
      <c r="AY584" s="27"/>
    </row>
    <row r="585" spans="34:51" ht="12.75" x14ac:dyDescent="0.2">
      <c r="AH585" s="23"/>
      <c r="AJ585" s="24"/>
      <c r="AW585" s="25"/>
      <c r="AX585" s="26"/>
      <c r="AY585" s="27"/>
    </row>
    <row r="586" spans="34:51" ht="12.75" x14ac:dyDescent="0.2">
      <c r="AH586" s="23"/>
      <c r="AJ586" s="24"/>
      <c r="AW586" s="25"/>
      <c r="AX586" s="26"/>
      <c r="AY586" s="27"/>
    </row>
    <row r="587" spans="34:51" ht="12.75" x14ac:dyDescent="0.2">
      <c r="AH587" s="23"/>
      <c r="AJ587" s="24"/>
      <c r="AW587" s="25"/>
      <c r="AX587" s="26"/>
      <c r="AY587" s="27"/>
    </row>
    <row r="588" spans="34:51" ht="12.75" x14ac:dyDescent="0.2">
      <c r="AH588" s="23"/>
      <c r="AJ588" s="24"/>
      <c r="AW588" s="25"/>
      <c r="AX588" s="26"/>
      <c r="AY588" s="27"/>
    </row>
    <row r="589" spans="34:51" ht="12.75" x14ac:dyDescent="0.2">
      <c r="AH589" s="23"/>
      <c r="AJ589" s="24"/>
      <c r="AW589" s="25"/>
      <c r="AX589" s="26"/>
      <c r="AY589" s="27"/>
    </row>
    <row r="590" spans="34:51" ht="12.75" x14ac:dyDescent="0.2">
      <c r="AH590" s="23"/>
      <c r="AJ590" s="24"/>
      <c r="AW590" s="25"/>
      <c r="AX590" s="26"/>
      <c r="AY590" s="27"/>
    </row>
    <row r="591" spans="34:51" ht="12.75" x14ac:dyDescent="0.2">
      <c r="AH591" s="23"/>
      <c r="AJ591" s="24"/>
      <c r="AW591" s="25"/>
      <c r="AX591" s="26"/>
      <c r="AY591" s="27"/>
    </row>
    <row r="592" spans="34:51" ht="12.75" x14ac:dyDescent="0.2">
      <c r="AH592" s="23"/>
      <c r="AJ592" s="24"/>
      <c r="AW592" s="25"/>
      <c r="AX592" s="26"/>
      <c r="AY592" s="27"/>
    </row>
    <row r="593" spans="34:51" ht="12.75" x14ac:dyDescent="0.2">
      <c r="AH593" s="23"/>
      <c r="AJ593" s="24"/>
      <c r="AW593" s="25"/>
      <c r="AX593" s="26"/>
      <c r="AY593" s="27"/>
    </row>
    <row r="594" spans="34:51" ht="12.75" x14ac:dyDescent="0.2">
      <c r="AH594" s="23"/>
      <c r="AJ594" s="24"/>
      <c r="AW594" s="25"/>
      <c r="AX594" s="26"/>
      <c r="AY594" s="27"/>
    </row>
    <row r="595" spans="34:51" ht="12.75" x14ac:dyDescent="0.2">
      <c r="AH595" s="23"/>
      <c r="AJ595" s="24"/>
      <c r="AW595" s="25"/>
      <c r="AX595" s="26"/>
      <c r="AY595" s="27"/>
    </row>
    <row r="596" spans="34:51" ht="12.75" x14ac:dyDescent="0.2">
      <c r="AH596" s="23"/>
      <c r="AJ596" s="24"/>
      <c r="AW596" s="25"/>
      <c r="AX596" s="26"/>
      <c r="AY596" s="27"/>
    </row>
    <row r="597" spans="34:51" ht="12.75" x14ac:dyDescent="0.2">
      <c r="AH597" s="23"/>
      <c r="AJ597" s="24"/>
      <c r="AW597" s="25"/>
      <c r="AX597" s="26"/>
      <c r="AY597" s="27"/>
    </row>
    <row r="598" spans="34:51" ht="12.75" x14ac:dyDescent="0.2">
      <c r="AH598" s="23"/>
      <c r="AJ598" s="24"/>
      <c r="AW598" s="25"/>
      <c r="AX598" s="26"/>
      <c r="AY598" s="27"/>
    </row>
    <row r="599" spans="34:51" ht="12.75" x14ac:dyDescent="0.2">
      <c r="AH599" s="23"/>
      <c r="AJ599" s="24"/>
      <c r="AW599" s="25"/>
      <c r="AX599" s="26"/>
      <c r="AY599" s="27"/>
    </row>
    <row r="600" spans="34:51" ht="12.75" x14ac:dyDescent="0.2">
      <c r="AH600" s="23"/>
      <c r="AJ600" s="24"/>
      <c r="AW600" s="25"/>
      <c r="AX600" s="26"/>
      <c r="AY600" s="27"/>
    </row>
    <row r="601" spans="34:51" ht="12.75" x14ac:dyDescent="0.2">
      <c r="AH601" s="23"/>
      <c r="AJ601" s="24"/>
      <c r="AW601" s="25"/>
      <c r="AX601" s="26"/>
      <c r="AY601" s="27"/>
    </row>
    <row r="602" spans="34:51" ht="12.75" x14ac:dyDescent="0.2">
      <c r="AH602" s="23"/>
      <c r="AJ602" s="24"/>
      <c r="AW602" s="25"/>
      <c r="AX602" s="26"/>
      <c r="AY602" s="27"/>
    </row>
    <row r="603" spans="34:51" ht="12.75" x14ac:dyDescent="0.2">
      <c r="AH603" s="23"/>
      <c r="AJ603" s="24"/>
      <c r="AW603" s="25"/>
      <c r="AX603" s="26"/>
      <c r="AY603" s="27"/>
    </row>
    <row r="604" spans="34:51" ht="12.75" x14ac:dyDescent="0.2">
      <c r="AH604" s="23"/>
      <c r="AJ604" s="24"/>
      <c r="AW604" s="25"/>
      <c r="AX604" s="26"/>
      <c r="AY604" s="27"/>
    </row>
    <row r="605" spans="34:51" ht="12.75" x14ac:dyDescent="0.2">
      <c r="AH605" s="23"/>
      <c r="AJ605" s="24"/>
      <c r="AW605" s="25"/>
      <c r="AX605" s="26"/>
      <c r="AY605" s="27"/>
    </row>
    <row r="606" spans="34:51" ht="12.75" x14ac:dyDescent="0.2">
      <c r="AH606" s="23"/>
      <c r="AJ606" s="24"/>
      <c r="AW606" s="25"/>
      <c r="AX606" s="26"/>
      <c r="AY606" s="27"/>
    </row>
    <row r="607" spans="34:51" ht="12.75" x14ac:dyDescent="0.2">
      <c r="AH607" s="23"/>
      <c r="AJ607" s="24"/>
      <c r="AW607" s="25"/>
      <c r="AX607" s="26"/>
      <c r="AY607" s="27"/>
    </row>
    <row r="608" spans="34:51" ht="12.75" x14ac:dyDescent="0.2">
      <c r="AH608" s="23"/>
      <c r="AJ608" s="24"/>
      <c r="AW608" s="25"/>
      <c r="AX608" s="26"/>
      <c r="AY608" s="27"/>
    </row>
    <row r="609" spans="34:51" ht="12.75" x14ac:dyDescent="0.2">
      <c r="AH609" s="23"/>
      <c r="AJ609" s="24"/>
      <c r="AW609" s="25"/>
      <c r="AX609" s="26"/>
      <c r="AY609" s="27"/>
    </row>
    <row r="610" spans="34:51" ht="12.75" x14ac:dyDescent="0.2">
      <c r="AH610" s="23"/>
      <c r="AJ610" s="24"/>
      <c r="AW610" s="25"/>
      <c r="AX610" s="26"/>
      <c r="AY610" s="27"/>
    </row>
    <row r="611" spans="34:51" ht="12.75" x14ac:dyDescent="0.2">
      <c r="AH611" s="23"/>
      <c r="AJ611" s="24"/>
      <c r="AW611" s="25"/>
      <c r="AX611" s="26"/>
      <c r="AY611" s="27"/>
    </row>
    <row r="612" spans="34:51" ht="12.75" x14ac:dyDescent="0.2">
      <c r="AH612" s="23"/>
      <c r="AJ612" s="24"/>
      <c r="AW612" s="25"/>
      <c r="AX612" s="26"/>
      <c r="AY612" s="27"/>
    </row>
    <row r="613" spans="34:51" ht="12.75" x14ac:dyDescent="0.2">
      <c r="AH613" s="23"/>
      <c r="AJ613" s="24"/>
      <c r="AW613" s="25"/>
      <c r="AX613" s="26"/>
      <c r="AY613" s="27"/>
    </row>
    <row r="614" spans="34:51" ht="12.75" x14ac:dyDescent="0.2">
      <c r="AH614" s="23"/>
      <c r="AJ614" s="24"/>
      <c r="AW614" s="25"/>
      <c r="AX614" s="26"/>
      <c r="AY614" s="27"/>
    </row>
    <row r="615" spans="34:51" ht="12.75" x14ac:dyDescent="0.2">
      <c r="AH615" s="23"/>
      <c r="AJ615" s="24"/>
      <c r="AW615" s="25"/>
      <c r="AX615" s="26"/>
      <c r="AY615" s="27"/>
    </row>
    <row r="616" spans="34:51" ht="12.75" x14ac:dyDescent="0.2">
      <c r="AH616" s="23"/>
      <c r="AJ616" s="24"/>
      <c r="AW616" s="25"/>
      <c r="AX616" s="26"/>
      <c r="AY616" s="27"/>
    </row>
    <row r="617" spans="34:51" ht="12.75" x14ac:dyDescent="0.2">
      <c r="AH617" s="23"/>
      <c r="AJ617" s="24"/>
      <c r="AW617" s="25"/>
      <c r="AX617" s="26"/>
      <c r="AY617" s="27"/>
    </row>
    <row r="618" spans="34:51" ht="12.75" x14ac:dyDescent="0.2">
      <c r="AH618" s="23"/>
      <c r="AJ618" s="24"/>
      <c r="AW618" s="25"/>
      <c r="AX618" s="26"/>
      <c r="AY618" s="27"/>
    </row>
    <row r="619" spans="34:51" ht="12.75" x14ac:dyDescent="0.2">
      <c r="AH619" s="23"/>
      <c r="AJ619" s="24"/>
      <c r="AW619" s="25"/>
      <c r="AX619" s="26"/>
      <c r="AY619" s="27"/>
    </row>
    <row r="620" spans="34:51" ht="12.75" x14ac:dyDescent="0.2">
      <c r="AH620" s="23"/>
      <c r="AJ620" s="24"/>
      <c r="AW620" s="25"/>
      <c r="AX620" s="26"/>
      <c r="AY620" s="27"/>
    </row>
    <row r="621" spans="34:51" ht="12.75" x14ac:dyDescent="0.2">
      <c r="AH621" s="23"/>
      <c r="AJ621" s="24"/>
      <c r="AW621" s="25"/>
      <c r="AX621" s="26"/>
      <c r="AY621" s="27"/>
    </row>
    <row r="622" spans="34:51" ht="12.75" x14ac:dyDescent="0.2">
      <c r="AH622" s="23"/>
      <c r="AJ622" s="24"/>
      <c r="AW622" s="25"/>
      <c r="AX622" s="26"/>
      <c r="AY622" s="27"/>
    </row>
    <row r="623" spans="34:51" ht="12.75" x14ac:dyDescent="0.2">
      <c r="AH623" s="23"/>
      <c r="AJ623" s="24"/>
      <c r="AW623" s="25"/>
      <c r="AX623" s="26"/>
      <c r="AY623" s="27"/>
    </row>
    <row r="624" spans="34:51" ht="12.75" x14ac:dyDescent="0.2">
      <c r="AH624" s="23"/>
      <c r="AJ624" s="24"/>
      <c r="AW624" s="25"/>
      <c r="AX624" s="26"/>
      <c r="AY624" s="27"/>
    </row>
    <row r="625" spans="34:51" ht="12.75" x14ac:dyDescent="0.2">
      <c r="AH625" s="23"/>
      <c r="AJ625" s="24"/>
      <c r="AW625" s="25"/>
      <c r="AX625" s="26"/>
      <c r="AY625" s="27"/>
    </row>
    <row r="626" spans="34:51" ht="12.75" x14ac:dyDescent="0.2">
      <c r="AH626" s="23"/>
      <c r="AJ626" s="24"/>
      <c r="AW626" s="25"/>
      <c r="AX626" s="26"/>
      <c r="AY626" s="27"/>
    </row>
    <row r="627" spans="34:51" ht="12.75" x14ac:dyDescent="0.2">
      <c r="AH627" s="23"/>
      <c r="AJ627" s="24"/>
      <c r="AW627" s="25"/>
      <c r="AX627" s="26"/>
      <c r="AY627" s="27"/>
    </row>
    <row r="628" spans="34:51" ht="12.75" x14ac:dyDescent="0.2">
      <c r="AH628" s="23"/>
      <c r="AJ628" s="24"/>
      <c r="AW628" s="25"/>
      <c r="AX628" s="26"/>
      <c r="AY628" s="27"/>
    </row>
    <row r="629" spans="34:51" ht="12.75" x14ac:dyDescent="0.2">
      <c r="AH629" s="23"/>
      <c r="AJ629" s="24"/>
      <c r="AW629" s="25"/>
      <c r="AX629" s="26"/>
      <c r="AY629" s="27"/>
    </row>
    <row r="630" spans="34:51" ht="12.75" x14ac:dyDescent="0.2">
      <c r="AH630" s="23"/>
      <c r="AJ630" s="24"/>
      <c r="AW630" s="25"/>
      <c r="AX630" s="26"/>
      <c r="AY630" s="27"/>
    </row>
    <row r="631" spans="34:51" ht="12.75" x14ac:dyDescent="0.2">
      <c r="AH631" s="23"/>
      <c r="AJ631" s="24"/>
      <c r="AW631" s="25"/>
      <c r="AX631" s="26"/>
      <c r="AY631" s="27"/>
    </row>
    <row r="632" spans="34:51" ht="12.75" x14ac:dyDescent="0.2">
      <c r="AH632" s="23"/>
      <c r="AJ632" s="24"/>
      <c r="AW632" s="25"/>
      <c r="AX632" s="26"/>
      <c r="AY632" s="27"/>
    </row>
    <row r="633" spans="34:51" ht="12.75" x14ac:dyDescent="0.2">
      <c r="AH633" s="23"/>
      <c r="AJ633" s="24"/>
      <c r="AW633" s="25"/>
      <c r="AX633" s="26"/>
      <c r="AY633" s="27"/>
    </row>
    <row r="634" spans="34:51" ht="12.75" x14ac:dyDescent="0.2">
      <c r="AH634" s="23"/>
      <c r="AJ634" s="24"/>
      <c r="AW634" s="25"/>
      <c r="AX634" s="26"/>
      <c r="AY634" s="27"/>
    </row>
    <row r="635" spans="34:51" ht="12.75" x14ac:dyDescent="0.2">
      <c r="AH635" s="23"/>
      <c r="AJ635" s="24"/>
      <c r="AW635" s="25"/>
      <c r="AX635" s="26"/>
      <c r="AY635" s="27"/>
    </row>
    <row r="636" spans="34:51" ht="12.75" x14ac:dyDescent="0.2">
      <c r="AH636" s="23"/>
      <c r="AJ636" s="24"/>
      <c r="AW636" s="25"/>
      <c r="AX636" s="26"/>
      <c r="AY636" s="27"/>
    </row>
    <row r="637" spans="34:51" ht="12.75" x14ac:dyDescent="0.2">
      <c r="AH637" s="23"/>
      <c r="AJ637" s="24"/>
      <c r="AW637" s="25"/>
      <c r="AX637" s="26"/>
      <c r="AY637" s="27"/>
    </row>
    <row r="638" spans="34:51" ht="12.75" x14ac:dyDescent="0.2">
      <c r="AH638" s="23"/>
      <c r="AJ638" s="24"/>
      <c r="AW638" s="25"/>
      <c r="AX638" s="26"/>
      <c r="AY638" s="27"/>
    </row>
    <row r="639" spans="34:51" ht="12.75" x14ac:dyDescent="0.2">
      <c r="AH639" s="23"/>
      <c r="AJ639" s="24"/>
      <c r="AW639" s="25"/>
      <c r="AX639" s="26"/>
      <c r="AY639" s="27"/>
    </row>
    <row r="640" spans="34:51" ht="12.75" x14ac:dyDescent="0.2">
      <c r="AH640" s="23"/>
      <c r="AJ640" s="24"/>
      <c r="AW640" s="25"/>
      <c r="AX640" s="26"/>
      <c r="AY640" s="27"/>
    </row>
    <row r="641" spans="34:51" ht="12.75" x14ac:dyDescent="0.2">
      <c r="AH641" s="23"/>
      <c r="AJ641" s="24"/>
      <c r="AW641" s="25"/>
      <c r="AX641" s="26"/>
      <c r="AY641" s="27"/>
    </row>
    <row r="642" spans="34:51" ht="12.75" x14ac:dyDescent="0.2">
      <c r="AH642" s="23"/>
      <c r="AJ642" s="24"/>
      <c r="AW642" s="25"/>
      <c r="AX642" s="26"/>
      <c r="AY642" s="27"/>
    </row>
    <row r="643" spans="34:51" ht="12.75" x14ac:dyDescent="0.2">
      <c r="AH643" s="23"/>
      <c r="AJ643" s="24"/>
      <c r="AW643" s="25"/>
      <c r="AX643" s="26"/>
      <c r="AY643" s="27"/>
    </row>
    <row r="644" spans="34:51" ht="12.75" x14ac:dyDescent="0.2">
      <c r="AH644" s="23"/>
      <c r="AJ644" s="24"/>
      <c r="AW644" s="25"/>
      <c r="AX644" s="26"/>
      <c r="AY644" s="27"/>
    </row>
    <row r="645" spans="34:51" ht="12.75" x14ac:dyDescent="0.2">
      <c r="AH645" s="23"/>
      <c r="AJ645" s="24"/>
      <c r="AW645" s="25"/>
      <c r="AX645" s="26"/>
      <c r="AY645" s="27"/>
    </row>
    <row r="646" spans="34:51" ht="12.75" x14ac:dyDescent="0.2">
      <c r="AH646" s="23"/>
      <c r="AJ646" s="24"/>
      <c r="AW646" s="25"/>
      <c r="AX646" s="26"/>
      <c r="AY646" s="27"/>
    </row>
    <row r="647" spans="34:51" ht="12.75" x14ac:dyDescent="0.2">
      <c r="AH647" s="23"/>
      <c r="AJ647" s="24"/>
      <c r="AW647" s="25"/>
      <c r="AX647" s="26"/>
      <c r="AY647" s="27"/>
    </row>
    <row r="648" spans="34:51" ht="12.75" x14ac:dyDescent="0.2">
      <c r="AH648" s="23"/>
      <c r="AJ648" s="24"/>
      <c r="AW648" s="25"/>
      <c r="AX648" s="26"/>
      <c r="AY648" s="27"/>
    </row>
    <row r="649" spans="34:51" ht="12.75" x14ac:dyDescent="0.2">
      <c r="AH649" s="23"/>
      <c r="AJ649" s="24"/>
      <c r="AW649" s="25"/>
      <c r="AX649" s="26"/>
      <c r="AY649" s="27"/>
    </row>
    <row r="650" spans="34:51" ht="12.75" x14ac:dyDescent="0.2">
      <c r="AH650" s="23"/>
      <c r="AJ650" s="24"/>
      <c r="AW650" s="25"/>
      <c r="AX650" s="26"/>
      <c r="AY650" s="27"/>
    </row>
    <row r="651" spans="34:51" ht="12.75" x14ac:dyDescent="0.2">
      <c r="AH651" s="23"/>
      <c r="AJ651" s="24"/>
      <c r="AW651" s="25"/>
      <c r="AX651" s="26"/>
      <c r="AY651" s="27"/>
    </row>
    <row r="652" spans="34:51" ht="12.75" x14ac:dyDescent="0.2">
      <c r="AH652" s="23"/>
      <c r="AJ652" s="24"/>
      <c r="AW652" s="25"/>
      <c r="AX652" s="26"/>
      <c r="AY652" s="27"/>
    </row>
    <row r="653" spans="34:51" ht="12.75" x14ac:dyDescent="0.2">
      <c r="AH653" s="23"/>
      <c r="AJ653" s="24"/>
      <c r="AW653" s="25"/>
      <c r="AX653" s="26"/>
      <c r="AY653" s="27"/>
    </row>
    <row r="654" spans="34:51" ht="12.75" x14ac:dyDescent="0.2">
      <c r="AH654" s="23"/>
      <c r="AJ654" s="24"/>
      <c r="AW654" s="25"/>
      <c r="AX654" s="26"/>
      <c r="AY654" s="27"/>
    </row>
    <row r="655" spans="34:51" ht="12.75" x14ac:dyDescent="0.2">
      <c r="AH655" s="23"/>
      <c r="AJ655" s="24"/>
      <c r="AW655" s="25"/>
      <c r="AX655" s="26"/>
      <c r="AY655" s="27"/>
    </row>
    <row r="656" spans="34:51" ht="12.75" x14ac:dyDescent="0.2">
      <c r="AH656" s="23"/>
      <c r="AJ656" s="24"/>
      <c r="AW656" s="25"/>
      <c r="AX656" s="26"/>
      <c r="AY656" s="27"/>
    </row>
    <row r="657" spans="34:51" ht="12.75" x14ac:dyDescent="0.2">
      <c r="AH657" s="23"/>
      <c r="AJ657" s="24"/>
      <c r="AW657" s="25"/>
      <c r="AX657" s="26"/>
      <c r="AY657" s="27"/>
    </row>
    <row r="658" spans="34:51" ht="12.75" x14ac:dyDescent="0.2">
      <c r="AH658" s="23"/>
      <c r="AJ658" s="24"/>
      <c r="AW658" s="25"/>
      <c r="AX658" s="26"/>
      <c r="AY658" s="27"/>
    </row>
    <row r="659" spans="34:51" ht="12.75" x14ac:dyDescent="0.2">
      <c r="AH659" s="23"/>
      <c r="AJ659" s="24"/>
      <c r="AW659" s="25"/>
      <c r="AX659" s="26"/>
      <c r="AY659" s="27"/>
    </row>
    <row r="660" spans="34:51" ht="12.75" x14ac:dyDescent="0.2">
      <c r="AH660" s="23"/>
      <c r="AJ660" s="24"/>
      <c r="AW660" s="25"/>
      <c r="AX660" s="26"/>
      <c r="AY660" s="27"/>
    </row>
    <row r="661" spans="34:51" ht="12.75" x14ac:dyDescent="0.2">
      <c r="AH661" s="23"/>
      <c r="AJ661" s="24"/>
      <c r="AW661" s="25"/>
      <c r="AX661" s="26"/>
      <c r="AY661" s="27"/>
    </row>
    <row r="662" spans="34:51" ht="12.75" x14ac:dyDescent="0.2">
      <c r="AH662" s="23"/>
      <c r="AJ662" s="24"/>
      <c r="AW662" s="25"/>
      <c r="AX662" s="26"/>
      <c r="AY662" s="27"/>
    </row>
    <row r="663" spans="34:51" ht="12.75" x14ac:dyDescent="0.2">
      <c r="AH663" s="23"/>
      <c r="AJ663" s="24"/>
      <c r="AW663" s="25"/>
      <c r="AX663" s="26"/>
      <c r="AY663" s="27"/>
    </row>
    <row r="664" spans="34:51" ht="12.75" x14ac:dyDescent="0.2">
      <c r="AH664" s="23"/>
      <c r="AJ664" s="24"/>
      <c r="AW664" s="25"/>
      <c r="AX664" s="26"/>
      <c r="AY664" s="27"/>
    </row>
    <row r="665" spans="34:51" ht="12.75" x14ac:dyDescent="0.2">
      <c r="AH665" s="23"/>
      <c r="AJ665" s="24"/>
      <c r="AW665" s="25"/>
      <c r="AX665" s="26"/>
      <c r="AY665" s="27"/>
    </row>
    <row r="666" spans="34:51" ht="12.75" x14ac:dyDescent="0.2">
      <c r="AH666" s="23"/>
      <c r="AJ666" s="24"/>
      <c r="AW666" s="25"/>
      <c r="AX666" s="26"/>
      <c r="AY666" s="27"/>
    </row>
    <row r="667" spans="34:51" ht="12.75" x14ac:dyDescent="0.2">
      <c r="AH667" s="23"/>
      <c r="AJ667" s="24"/>
      <c r="AW667" s="25"/>
      <c r="AX667" s="26"/>
      <c r="AY667" s="27"/>
    </row>
    <row r="668" spans="34:51" ht="12.75" x14ac:dyDescent="0.2">
      <c r="AH668" s="23"/>
      <c r="AJ668" s="24"/>
      <c r="AW668" s="25"/>
      <c r="AX668" s="26"/>
      <c r="AY668" s="27"/>
    </row>
    <row r="669" spans="34:51" ht="12.75" x14ac:dyDescent="0.2">
      <c r="AH669" s="23"/>
      <c r="AJ669" s="24"/>
      <c r="AW669" s="25"/>
      <c r="AX669" s="26"/>
      <c r="AY669" s="27"/>
    </row>
    <row r="670" spans="34:51" ht="12.75" x14ac:dyDescent="0.2">
      <c r="AH670" s="23"/>
      <c r="AJ670" s="24"/>
      <c r="AW670" s="25"/>
      <c r="AX670" s="26"/>
      <c r="AY670" s="27"/>
    </row>
    <row r="671" spans="34:51" ht="12.75" x14ac:dyDescent="0.2">
      <c r="AH671" s="23"/>
      <c r="AJ671" s="24"/>
      <c r="AW671" s="25"/>
      <c r="AX671" s="26"/>
      <c r="AY671" s="27"/>
    </row>
    <row r="672" spans="34:51" ht="12.75" x14ac:dyDescent="0.2">
      <c r="AH672" s="23"/>
      <c r="AJ672" s="24"/>
      <c r="AW672" s="25"/>
      <c r="AX672" s="26"/>
      <c r="AY672" s="27"/>
    </row>
    <row r="673" spans="34:51" ht="12.75" x14ac:dyDescent="0.2">
      <c r="AH673" s="23"/>
      <c r="AJ673" s="24"/>
      <c r="AW673" s="25"/>
      <c r="AX673" s="26"/>
      <c r="AY673" s="27"/>
    </row>
    <row r="674" spans="34:51" ht="12.75" x14ac:dyDescent="0.2">
      <c r="AH674" s="23"/>
      <c r="AJ674" s="24"/>
      <c r="AW674" s="25"/>
      <c r="AX674" s="26"/>
      <c r="AY674" s="27"/>
    </row>
    <row r="675" spans="34:51" ht="12.75" x14ac:dyDescent="0.2">
      <c r="AH675" s="23"/>
      <c r="AJ675" s="24"/>
      <c r="AW675" s="25"/>
      <c r="AX675" s="26"/>
      <c r="AY675" s="27"/>
    </row>
    <row r="676" spans="34:51" ht="12.75" x14ac:dyDescent="0.2">
      <c r="AH676" s="23"/>
      <c r="AJ676" s="24"/>
      <c r="AW676" s="25"/>
      <c r="AX676" s="26"/>
      <c r="AY676" s="27"/>
    </row>
    <row r="677" spans="34:51" ht="12.75" x14ac:dyDescent="0.2">
      <c r="AH677" s="23"/>
      <c r="AJ677" s="24"/>
      <c r="AW677" s="25"/>
      <c r="AX677" s="26"/>
      <c r="AY677" s="27"/>
    </row>
    <row r="678" spans="34:51" ht="12.75" x14ac:dyDescent="0.2">
      <c r="AH678" s="23"/>
      <c r="AJ678" s="24"/>
      <c r="AW678" s="25"/>
      <c r="AX678" s="26"/>
      <c r="AY678" s="27"/>
    </row>
    <row r="679" spans="34:51" ht="12.75" x14ac:dyDescent="0.2">
      <c r="AH679" s="23"/>
      <c r="AJ679" s="24"/>
      <c r="AW679" s="25"/>
      <c r="AX679" s="26"/>
      <c r="AY679" s="27"/>
    </row>
    <row r="680" spans="34:51" ht="12.75" x14ac:dyDescent="0.2">
      <c r="AH680" s="23"/>
      <c r="AJ680" s="24"/>
      <c r="AW680" s="25"/>
      <c r="AX680" s="26"/>
      <c r="AY680" s="27"/>
    </row>
    <row r="681" spans="34:51" ht="12.75" x14ac:dyDescent="0.2">
      <c r="AH681" s="23"/>
      <c r="AJ681" s="24"/>
      <c r="AW681" s="25"/>
      <c r="AX681" s="26"/>
      <c r="AY681" s="27"/>
    </row>
    <row r="682" spans="34:51" ht="12.75" x14ac:dyDescent="0.2">
      <c r="AH682" s="23"/>
      <c r="AJ682" s="24"/>
      <c r="AW682" s="25"/>
      <c r="AX682" s="26"/>
      <c r="AY682" s="27"/>
    </row>
    <row r="683" spans="34:51" ht="12.75" x14ac:dyDescent="0.2">
      <c r="AH683" s="23"/>
      <c r="AJ683" s="24"/>
      <c r="AW683" s="25"/>
      <c r="AX683" s="26"/>
      <c r="AY683" s="27"/>
    </row>
    <row r="684" spans="34:51" ht="12.75" x14ac:dyDescent="0.2">
      <c r="AH684" s="23"/>
      <c r="AJ684" s="24"/>
      <c r="AW684" s="25"/>
      <c r="AX684" s="26"/>
      <c r="AY684" s="27"/>
    </row>
    <row r="685" spans="34:51" ht="12.75" x14ac:dyDescent="0.2">
      <c r="AH685" s="23"/>
      <c r="AJ685" s="24"/>
      <c r="AW685" s="25"/>
      <c r="AX685" s="26"/>
      <c r="AY685" s="27"/>
    </row>
    <row r="686" spans="34:51" ht="12.75" x14ac:dyDescent="0.2">
      <c r="AH686" s="23"/>
      <c r="AJ686" s="24"/>
      <c r="AW686" s="25"/>
      <c r="AX686" s="26"/>
      <c r="AY686" s="27"/>
    </row>
    <row r="687" spans="34:51" ht="12.75" x14ac:dyDescent="0.2">
      <c r="AH687" s="23"/>
      <c r="AJ687" s="24"/>
      <c r="AW687" s="25"/>
      <c r="AX687" s="26"/>
      <c r="AY687" s="27"/>
    </row>
    <row r="688" spans="34:51" ht="12.75" x14ac:dyDescent="0.2">
      <c r="AH688" s="23"/>
      <c r="AJ688" s="24"/>
      <c r="AW688" s="25"/>
      <c r="AX688" s="26"/>
      <c r="AY688" s="27"/>
    </row>
    <row r="689" spans="34:51" ht="12.75" x14ac:dyDescent="0.2">
      <c r="AH689" s="23"/>
      <c r="AJ689" s="24"/>
      <c r="AW689" s="25"/>
      <c r="AX689" s="26"/>
      <c r="AY689" s="27"/>
    </row>
    <row r="690" spans="34:51" ht="12.75" x14ac:dyDescent="0.2">
      <c r="AH690" s="23"/>
      <c r="AJ690" s="24"/>
      <c r="AW690" s="25"/>
      <c r="AX690" s="26"/>
      <c r="AY690" s="27"/>
    </row>
    <row r="691" spans="34:51" ht="12.75" x14ac:dyDescent="0.2">
      <c r="AH691" s="23"/>
      <c r="AJ691" s="24"/>
      <c r="AW691" s="25"/>
      <c r="AX691" s="26"/>
      <c r="AY691" s="27"/>
    </row>
    <row r="692" spans="34:51" ht="12.75" x14ac:dyDescent="0.2">
      <c r="AH692" s="23"/>
      <c r="AJ692" s="24"/>
      <c r="AW692" s="25"/>
      <c r="AX692" s="26"/>
      <c r="AY692" s="27"/>
    </row>
    <row r="693" spans="34:51" ht="12.75" x14ac:dyDescent="0.2">
      <c r="AH693" s="23"/>
      <c r="AJ693" s="24"/>
      <c r="AW693" s="25"/>
      <c r="AX693" s="26"/>
      <c r="AY693" s="27"/>
    </row>
    <row r="694" spans="34:51" ht="12.75" x14ac:dyDescent="0.2">
      <c r="AH694" s="23"/>
      <c r="AJ694" s="24"/>
      <c r="AW694" s="25"/>
      <c r="AX694" s="26"/>
      <c r="AY694" s="27"/>
    </row>
    <row r="695" spans="34:51" ht="12.75" x14ac:dyDescent="0.2">
      <c r="AH695" s="23"/>
      <c r="AJ695" s="24"/>
      <c r="AW695" s="25"/>
      <c r="AX695" s="26"/>
      <c r="AY695" s="27"/>
    </row>
    <row r="696" spans="34:51" ht="12.75" x14ac:dyDescent="0.2">
      <c r="AH696" s="23"/>
      <c r="AJ696" s="24"/>
      <c r="AW696" s="25"/>
      <c r="AX696" s="26"/>
      <c r="AY696" s="27"/>
    </row>
    <row r="697" spans="34:51" ht="12.75" x14ac:dyDescent="0.2">
      <c r="AH697" s="23"/>
      <c r="AJ697" s="24"/>
      <c r="AW697" s="25"/>
      <c r="AX697" s="26"/>
      <c r="AY697" s="27"/>
    </row>
    <row r="698" spans="34:51" ht="12.75" x14ac:dyDescent="0.2">
      <c r="AH698" s="23"/>
      <c r="AJ698" s="24"/>
      <c r="AW698" s="25"/>
      <c r="AX698" s="26"/>
      <c r="AY698" s="27"/>
    </row>
    <row r="699" spans="34:51" ht="12.75" x14ac:dyDescent="0.2">
      <c r="AH699" s="23"/>
      <c r="AJ699" s="24"/>
      <c r="AW699" s="25"/>
      <c r="AX699" s="26"/>
      <c r="AY699" s="27"/>
    </row>
    <row r="700" spans="34:51" ht="12.75" x14ac:dyDescent="0.2">
      <c r="AH700" s="23"/>
      <c r="AJ700" s="24"/>
      <c r="AW700" s="25"/>
      <c r="AX700" s="26"/>
      <c r="AY700" s="27"/>
    </row>
    <row r="701" spans="34:51" ht="12.75" x14ac:dyDescent="0.2">
      <c r="AH701" s="23"/>
      <c r="AJ701" s="24"/>
      <c r="AW701" s="25"/>
      <c r="AX701" s="26"/>
      <c r="AY701" s="27"/>
    </row>
    <row r="702" spans="34:51" ht="12.75" x14ac:dyDescent="0.2">
      <c r="AH702" s="23"/>
      <c r="AJ702" s="24"/>
      <c r="AW702" s="25"/>
      <c r="AX702" s="26"/>
      <c r="AY702" s="27"/>
    </row>
    <row r="703" spans="34:51" ht="12.75" x14ac:dyDescent="0.2">
      <c r="AH703" s="23"/>
      <c r="AJ703" s="24"/>
      <c r="AW703" s="25"/>
      <c r="AX703" s="26"/>
      <c r="AY703" s="27"/>
    </row>
    <row r="704" spans="34:51" ht="12.75" x14ac:dyDescent="0.2">
      <c r="AH704" s="23"/>
      <c r="AJ704" s="24"/>
      <c r="AW704" s="25"/>
      <c r="AX704" s="26"/>
      <c r="AY704" s="27"/>
    </row>
    <row r="705" spans="34:51" ht="12.75" x14ac:dyDescent="0.2">
      <c r="AH705" s="23"/>
      <c r="AJ705" s="24"/>
      <c r="AW705" s="25"/>
      <c r="AX705" s="26"/>
      <c r="AY705" s="27"/>
    </row>
    <row r="706" spans="34:51" ht="12.75" x14ac:dyDescent="0.2">
      <c r="AH706" s="23"/>
      <c r="AJ706" s="24"/>
      <c r="AW706" s="25"/>
      <c r="AX706" s="26"/>
      <c r="AY706" s="27"/>
    </row>
    <row r="707" spans="34:51" ht="12.75" x14ac:dyDescent="0.2">
      <c r="AH707" s="23"/>
      <c r="AJ707" s="24"/>
      <c r="AW707" s="25"/>
      <c r="AX707" s="26"/>
      <c r="AY707" s="27"/>
    </row>
    <row r="708" spans="34:51" ht="12.75" x14ac:dyDescent="0.2">
      <c r="AH708" s="23"/>
      <c r="AJ708" s="24"/>
      <c r="AW708" s="25"/>
      <c r="AX708" s="26"/>
      <c r="AY708" s="27"/>
    </row>
    <row r="709" spans="34:51" ht="12.75" x14ac:dyDescent="0.2">
      <c r="AH709" s="23"/>
      <c r="AJ709" s="24"/>
      <c r="AW709" s="25"/>
      <c r="AX709" s="26"/>
      <c r="AY709" s="27"/>
    </row>
    <row r="710" spans="34:51" ht="12.75" x14ac:dyDescent="0.2">
      <c r="AH710" s="23"/>
      <c r="AJ710" s="24"/>
      <c r="AW710" s="25"/>
      <c r="AX710" s="26"/>
      <c r="AY710" s="27"/>
    </row>
    <row r="711" spans="34:51" ht="12.75" x14ac:dyDescent="0.2">
      <c r="AH711" s="23"/>
      <c r="AJ711" s="24"/>
      <c r="AW711" s="25"/>
      <c r="AX711" s="26"/>
      <c r="AY711" s="27"/>
    </row>
    <row r="712" spans="34:51" ht="12.75" x14ac:dyDescent="0.2">
      <c r="AH712" s="23"/>
      <c r="AJ712" s="24"/>
      <c r="AW712" s="25"/>
      <c r="AX712" s="26"/>
      <c r="AY712" s="27"/>
    </row>
    <row r="713" spans="34:51" ht="12.75" x14ac:dyDescent="0.2">
      <c r="AH713" s="23"/>
      <c r="AJ713" s="24"/>
      <c r="AW713" s="25"/>
      <c r="AX713" s="26"/>
      <c r="AY713" s="27"/>
    </row>
    <row r="714" spans="34:51" ht="12.75" x14ac:dyDescent="0.2">
      <c r="AH714" s="23"/>
      <c r="AJ714" s="24"/>
      <c r="AW714" s="25"/>
      <c r="AX714" s="26"/>
      <c r="AY714" s="27"/>
    </row>
    <row r="715" spans="34:51" ht="12.75" x14ac:dyDescent="0.2">
      <c r="AH715" s="23"/>
      <c r="AJ715" s="24"/>
      <c r="AW715" s="25"/>
      <c r="AX715" s="26"/>
      <c r="AY715" s="27"/>
    </row>
    <row r="716" spans="34:51" ht="12.75" x14ac:dyDescent="0.2">
      <c r="AH716" s="23"/>
      <c r="AJ716" s="24"/>
      <c r="AW716" s="25"/>
      <c r="AX716" s="26"/>
      <c r="AY716" s="27"/>
    </row>
    <row r="717" spans="34:51" ht="12.75" x14ac:dyDescent="0.2">
      <c r="AH717" s="23"/>
      <c r="AJ717" s="24"/>
      <c r="AW717" s="25"/>
      <c r="AX717" s="26"/>
      <c r="AY717" s="27"/>
    </row>
    <row r="718" spans="34:51" ht="12.75" x14ac:dyDescent="0.2">
      <c r="AH718" s="23"/>
      <c r="AJ718" s="24"/>
      <c r="AW718" s="25"/>
      <c r="AX718" s="26"/>
      <c r="AY718" s="27"/>
    </row>
    <row r="719" spans="34:51" ht="12.75" x14ac:dyDescent="0.2">
      <c r="AH719" s="23"/>
      <c r="AJ719" s="24"/>
      <c r="AW719" s="25"/>
      <c r="AX719" s="26"/>
      <c r="AY719" s="27"/>
    </row>
    <row r="720" spans="34:51" ht="12.75" x14ac:dyDescent="0.2">
      <c r="AH720" s="23"/>
      <c r="AJ720" s="24"/>
      <c r="AW720" s="25"/>
      <c r="AX720" s="26"/>
      <c r="AY720" s="27"/>
    </row>
    <row r="721" spans="34:51" ht="12.75" x14ac:dyDescent="0.2">
      <c r="AH721" s="23"/>
      <c r="AJ721" s="24"/>
      <c r="AW721" s="25"/>
      <c r="AX721" s="26"/>
      <c r="AY721" s="27"/>
    </row>
    <row r="722" spans="34:51" ht="12.75" x14ac:dyDescent="0.2">
      <c r="AH722" s="23"/>
      <c r="AJ722" s="24"/>
      <c r="AW722" s="25"/>
      <c r="AX722" s="26"/>
      <c r="AY722" s="27"/>
    </row>
    <row r="723" spans="34:51" ht="12.75" x14ac:dyDescent="0.2">
      <c r="AH723" s="23"/>
      <c r="AJ723" s="24"/>
      <c r="AW723" s="25"/>
      <c r="AX723" s="26"/>
      <c r="AY723" s="27"/>
    </row>
    <row r="724" spans="34:51" ht="12.75" x14ac:dyDescent="0.2">
      <c r="AH724" s="23"/>
      <c r="AJ724" s="24"/>
      <c r="AW724" s="25"/>
      <c r="AX724" s="26"/>
      <c r="AY724" s="27"/>
    </row>
    <row r="725" spans="34:51" ht="12.75" x14ac:dyDescent="0.2">
      <c r="AH725" s="23"/>
      <c r="AJ725" s="24"/>
      <c r="AW725" s="25"/>
      <c r="AX725" s="26"/>
      <c r="AY725" s="27"/>
    </row>
    <row r="726" spans="34:51" ht="12.75" x14ac:dyDescent="0.2">
      <c r="AH726" s="23"/>
      <c r="AJ726" s="24"/>
      <c r="AW726" s="25"/>
      <c r="AX726" s="26"/>
      <c r="AY726" s="27"/>
    </row>
    <row r="727" spans="34:51" ht="12.75" x14ac:dyDescent="0.2">
      <c r="AH727" s="23"/>
      <c r="AJ727" s="24"/>
      <c r="AW727" s="25"/>
      <c r="AX727" s="26"/>
      <c r="AY727" s="27"/>
    </row>
    <row r="728" spans="34:51" ht="12.75" x14ac:dyDescent="0.2">
      <c r="AH728" s="23"/>
      <c r="AJ728" s="24"/>
      <c r="AW728" s="25"/>
      <c r="AX728" s="26"/>
      <c r="AY728" s="27"/>
    </row>
    <row r="729" spans="34:51" ht="12.75" x14ac:dyDescent="0.2">
      <c r="AH729" s="23"/>
      <c r="AJ729" s="24"/>
      <c r="AW729" s="25"/>
      <c r="AX729" s="26"/>
      <c r="AY729" s="27"/>
    </row>
    <row r="730" spans="34:51" ht="12.75" x14ac:dyDescent="0.2">
      <c r="AH730" s="23"/>
      <c r="AJ730" s="24"/>
      <c r="AW730" s="25"/>
      <c r="AX730" s="26"/>
      <c r="AY730" s="27"/>
    </row>
    <row r="731" spans="34:51" ht="12.75" x14ac:dyDescent="0.2">
      <c r="AH731" s="23"/>
      <c r="AJ731" s="24"/>
      <c r="AW731" s="25"/>
      <c r="AX731" s="26"/>
      <c r="AY731" s="27"/>
    </row>
    <row r="732" spans="34:51" ht="12.75" x14ac:dyDescent="0.2">
      <c r="AH732" s="23"/>
      <c r="AJ732" s="24"/>
      <c r="AW732" s="25"/>
      <c r="AX732" s="26"/>
      <c r="AY732" s="27"/>
    </row>
    <row r="733" spans="34:51" ht="12.75" x14ac:dyDescent="0.2">
      <c r="AH733" s="23"/>
      <c r="AJ733" s="24"/>
      <c r="AW733" s="25"/>
      <c r="AX733" s="26"/>
      <c r="AY733" s="27"/>
    </row>
    <row r="734" spans="34:51" ht="12.75" x14ac:dyDescent="0.2">
      <c r="AH734" s="23"/>
      <c r="AJ734" s="24"/>
      <c r="AW734" s="25"/>
      <c r="AX734" s="26"/>
      <c r="AY734" s="27"/>
    </row>
    <row r="735" spans="34:51" ht="12.75" x14ac:dyDescent="0.2">
      <c r="AH735" s="23"/>
      <c r="AJ735" s="24"/>
      <c r="AW735" s="25"/>
      <c r="AX735" s="26"/>
      <c r="AY735" s="27"/>
    </row>
    <row r="736" spans="34:51" ht="12.75" x14ac:dyDescent="0.2">
      <c r="AH736" s="23"/>
      <c r="AJ736" s="24"/>
      <c r="AW736" s="25"/>
      <c r="AX736" s="26"/>
      <c r="AY736" s="27"/>
    </row>
    <row r="737" spans="34:51" ht="12.75" x14ac:dyDescent="0.2">
      <c r="AH737" s="23"/>
      <c r="AJ737" s="24"/>
      <c r="AW737" s="25"/>
      <c r="AX737" s="26"/>
      <c r="AY737" s="27"/>
    </row>
    <row r="738" spans="34:51" ht="12.75" x14ac:dyDescent="0.2">
      <c r="AH738" s="23"/>
      <c r="AJ738" s="24"/>
      <c r="AW738" s="25"/>
      <c r="AX738" s="26"/>
      <c r="AY738" s="27"/>
    </row>
    <row r="739" spans="34:51" ht="12.75" x14ac:dyDescent="0.2">
      <c r="AH739" s="23"/>
      <c r="AJ739" s="24"/>
      <c r="AW739" s="25"/>
      <c r="AX739" s="26"/>
      <c r="AY739" s="27"/>
    </row>
    <row r="740" spans="34:51" ht="12.75" x14ac:dyDescent="0.2">
      <c r="AH740" s="23"/>
      <c r="AJ740" s="24"/>
      <c r="AW740" s="25"/>
      <c r="AX740" s="26"/>
      <c r="AY740" s="27"/>
    </row>
    <row r="741" spans="34:51" ht="12.75" x14ac:dyDescent="0.2">
      <c r="AH741" s="23"/>
      <c r="AJ741" s="24"/>
      <c r="AW741" s="25"/>
      <c r="AX741" s="26"/>
      <c r="AY741" s="27"/>
    </row>
    <row r="742" spans="34:51" ht="12.75" x14ac:dyDescent="0.2">
      <c r="AH742" s="23"/>
      <c r="AJ742" s="24"/>
      <c r="AW742" s="25"/>
      <c r="AX742" s="26"/>
      <c r="AY742" s="27"/>
    </row>
    <row r="743" spans="34:51" ht="12.75" x14ac:dyDescent="0.2">
      <c r="AH743" s="23"/>
      <c r="AJ743" s="24"/>
      <c r="AW743" s="25"/>
      <c r="AX743" s="26"/>
      <c r="AY743" s="27"/>
    </row>
    <row r="744" spans="34:51" ht="12.75" x14ac:dyDescent="0.2">
      <c r="AH744" s="23"/>
      <c r="AJ744" s="24"/>
      <c r="AW744" s="25"/>
      <c r="AX744" s="26"/>
      <c r="AY744" s="27"/>
    </row>
    <row r="745" spans="34:51" ht="12.75" x14ac:dyDescent="0.2">
      <c r="AH745" s="23"/>
      <c r="AJ745" s="24"/>
      <c r="AW745" s="25"/>
      <c r="AX745" s="26"/>
      <c r="AY745" s="27"/>
    </row>
    <row r="746" spans="34:51" ht="12.75" x14ac:dyDescent="0.2">
      <c r="AH746" s="23"/>
      <c r="AJ746" s="24"/>
      <c r="AW746" s="25"/>
      <c r="AX746" s="26"/>
      <c r="AY746" s="27"/>
    </row>
    <row r="747" spans="34:51" ht="12.75" x14ac:dyDescent="0.2">
      <c r="AH747" s="23"/>
      <c r="AJ747" s="24"/>
      <c r="AW747" s="25"/>
      <c r="AX747" s="26"/>
      <c r="AY747" s="27"/>
    </row>
    <row r="748" spans="34:51" ht="12.75" x14ac:dyDescent="0.2">
      <c r="AH748" s="23"/>
      <c r="AJ748" s="24"/>
      <c r="AW748" s="25"/>
      <c r="AX748" s="26"/>
      <c r="AY748" s="27"/>
    </row>
    <row r="749" spans="34:51" ht="12.75" x14ac:dyDescent="0.2">
      <c r="AH749" s="23"/>
      <c r="AJ749" s="24"/>
      <c r="AW749" s="25"/>
      <c r="AX749" s="26"/>
      <c r="AY749" s="27"/>
    </row>
    <row r="750" spans="34:51" ht="12.75" x14ac:dyDescent="0.2">
      <c r="AH750" s="23"/>
      <c r="AJ750" s="24"/>
      <c r="AW750" s="25"/>
      <c r="AX750" s="26"/>
      <c r="AY750" s="27"/>
    </row>
    <row r="751" spans="34:51" ht="12.75" x14ac:dyDescent="0.2">
      <c r="AH751" s="23"/>
      <c r="AJ751" s="24"/>
      <c r="AW751" s="25"/>
      <c r="AX751" s="26"/>
      <c r="AY751" s="27"/>
    </row>
    <row r="752" spans="34:51" ht="12.75" x14ac:dyDescent="0.2">
      <c r="AH752" s="23"/>
      <c r="AJ752" s="24"/>
      <c r="AW752" s="25"/>
      <c r="AX752" s="26"/>
      <c r="AY752" s="27"/>
    </row>
    <row r="753" spans="34:51" ht="12.75" x14ac:dyDescent="0.2">
      <c r="AH753" s="23"/>
      <c r="AJ753" s="24"/>
      <c r="AW753" s="25"/>
      <c r="AX753" s="26"/>
      <c r="AY753" s="27"/>
    </row>
    <row r="754" spans="34:51" ht="12.75" x14ac:dyDescent="0.2">
      <c r="AH754" s="23"/>
      <c r="AJ754" s="24"/>
      <c r="AW754" s="25"/>
      <c r="AX754" s="26"/>
      <c r="AY754" s="27"/>
    </row>
    <row r="755" spans="34:51" ht="12.75" x14ac:dyDescent="0.2">
      <c r="AH755" s="23"/>
      <c r="AJ755" s="24"/>
      <c r="AW755" s="25"/>
      <c r="AX755" s="26"/>
      <c r="AY755" s="27"/>
    </row>
    <row r="756" spans="34:51" ht="12.75" x14ac:dyDescent="0.2">
      <c r="AH756" s="23"/>
      <c r="AJ756" s="24"/>
      <c r="AW756" s="25"/>
      <c r="AX756" s="26"/>
      <c r="AY756" s="27"/>
    </row>
    <row r="757" spans="34:51" ht="12.75" x14ac:dyDescent="0.2">
      <c r="AH757" s="23"/>
      <c r="AJ757" s="24"/>
      <c r="AW757" s="25"/>
      <c r="AX757" s="26"/>
      <c r="AY757" s="27"/>
    </row>
    <row r="758" spans="34:51" ht="12.75" x14ac:dyDescent="0.2">
      <c r="AH758" s="23"/>
      <c r="AJ758" s="24"/>
      <c r="AW758" s="25"/>
      <c r="AX758" s="26"/>
      <c r="AY758" s="27"/>
    </row>
    <row r="759" spans="34:51" ht="12.75" x14ac:dyDescent="0.2">
      <c r="AH759" s="23"/>
      <c r="AJ759" s="24"/>
      <c r="AW759" s="25"/>
      <c r="AX759" s="26"/>
      <c r="AY759" s="27"/>
    </row>
    <row r="760" spans="34:51" ht="12.75" x14ac:dyDescent="0.2">
      <c r="AH760" s="23"/>
      <c r="AJ760" s="24"/>
      <c r="AW760" s="25"/>
      <c r="AX760" s="26"/>
      <c r="AY760" s="27"/>
    </row>
    <row r="761" spans="34:51" ht="12.75" x14ac:dyDescent="0.2">
      <c r="AH761" s="23"/>
      <c r="AJ761" s="24"/>
      <c r="AW761" s="25"/>
      <c r="AX761" s="26"/>
      <c r="AY761" s="27"/>
    </row>
    <row r="762" spans="34:51" ht="12.75" x14ac:dyDescent="0.2">
      <c r="AH762" s="23"/>
      <c r="AJ762" s="24"/>
      <c r="AW762" s="25"/>
      <c r="AX762" s="26"/>
      <c r="AY762" s="27"/>
    </row>
    <row r="763" spans="34:51" ht="12.75" x14ac:dyDescent="0.2">
      <c r="AH763" s="23"/>
      <c r="AJ763" s="24"/>
      <c r="AW763" s="25"/>
      <c r="AX763" s="26"/>
      <c r="AY763" s="27"/>
    </row>
    <row r="764" spans="34:51" ht="12.75" x14ac:dyDescent="0.2">
      <c r="AH764" s="23"/>
      <c r="AJ764" s="24"/>
      <c r="AW764" s="25"/>
      <c r="AX764" s="26"/>
      <c r="AY764" s="27"/>
    </row>
    <row r="765" spans="34:51" ht="12.75" x14ac:dyDescent="0.2">
      <c r="AH765" s="23"/>
      <c r="AJ765" s="24"/>
      <c r="AW765" s="25"/>
      <c r="AX765" s="26"/>
      <c r="AY765" s="27"/>
    </row>
    <row r="766" spans="34:51" ht="12.75" x14ac:dyDescent="0.2">
      <c r="AH766" s="23"/>
      <c r="AJ766" s="24"/>
      <c r="AW766" s="25"/>
      <c r="AX766" s="26"/>
      <c r="AY766" s="27"/>
    </row>
    <row r="767" spans="34:51" ht="12.75" x14ac:dyDescent="0.2">
      <c r="AH767" s="23"/>
      <c r="AJ767" s="24"/>
      <c r="AW767" s="25"/>
      <c r="AX767" s="26"/>
      <c r="AY767" s="27"/>
    </row>
    <row r="768" spans="34:51" ht="12.75" x14ac:dyDescent="0.2">
      <c r="AH768" s="23"/>
      <c r="AJ768" s="24"/>
      <c r="AW768" s="25"/>
      <c r="AX768" s="26"/>
      <c r="AY768" s="27"/>
    </row>
    <row r="769" spans="34:51" ht="12.75" x14ac:dyDescent="0.2">
      <c r="AH769" s="23"/>
      <c r="AJ769" s="24"/>
      <c r="AW769" s="25"/>
      <c r="AX769" s="26"/>
      <c r="AY769" s="27"/>
    </row>
    <row r="770" spans="34:51" ht="12.75" x14ac:dyDescent="0.2">
      <c r="AH770" s="23"/>
      <c r="AJ770" s="24"/>
      <c r="AW770" s="25"/>
      <c r="AX770" s="26"/>
      <c r="AY770" s="27"/>
    </row>
    <row r="771" spans="34:51" ht="12.75" x14ac:dyDescent="0.2">
      <c r="AH771" s="23"/>
      <c r="AJ771" s="24"/>
      <c r="AW771" s="25"/>
      <c r="AX771" s="26"/>
      <c r="AY771" s="27"/>
    </row>
    <row r="772" spans="34:51" ht="12.75" x14ac:dyDescent="0.2">
      <c r="AH772" s="23"/>
      <c r="AJ772" s="24"/>
      <c r="AW772" s="25"/>
      <c r="AX772" s="26"/>
      <c r="AY772" s="27"/>
    </row>
    <row r="773" spans="34:51" ht="12.75" x14ac:dyDescent="0.2">
      <c r="AH773" s="23"/>
      <c r="AJ773" s="24"/>
      <c r="AW773" s="25"/>
      <c r="AX773" s="26"/>
      <c r="AY773" s="27"/>
    </row>
    <row r="774" spans="34:51" ht="12.75" x14ac:dyDescent="0.2">
      <c r="AH774" s="23"/>
      <c r="AJ774" s="24"/>
      <c r="AW774" s="25"/>
      <c r="AX774" s="26"/>
      <c r="AY774" s="27"/>
    </row>
    <row r="775" spans="34:51" ht="12.75" x14ac:dyDescent="0.2">
      <c r="AH775" s="23"/>
      <c r="AJ775" s="24"/>
      <c r="AW775" s="25"/>
      <c r="AX775" s="26"/>
      <c r="AY775" s="27"/>
    </row>
    <row r="776" spans="34:51" ht="12.75" x14ac:dyDescent="0.2">
      <c r="AH776" s="23"/>
      <c r="AJ776" s="24"/>
      <c r="AW776" s="25"/>
      <c r="AX776" s="26"/>
      <c r="AY776" s="27"/>
    </row>
    <row r="777" spans="34:51" ht="12.75" x14ac:dyDescent="0.2">
      <c r="AH777" s="23"/>
      <c r="AJ777" s="24"/>
      <c r="AW777" s="25"/>
      <c r="AX777" s="26"/>
      <c r="AY777" s="27"/>
    </row>
    <row r="778" spans="34:51" ht="12.75" x14ac:dyDescent="0.2">
      <c r="AH778" s="23"/>
      <c r="AJ778" s="24"/>
      <c r="AW778" s="25"/>
      <c r="AX778" s="26"/>
      <c r="AY778" s="27"/>
    </row>
    <row r="779" spans="34:51" ht="12.75" x14ac:dyDescent="0.2">
      <c r="AH779" s="23"/>
      <c r="AJ779" s="24"/>
      <c r="AW779" s="25"/>
      <c r="AX779" s="26"/>
      <c r="AY779" s="27"/>
    </row>
    <row r="780" spans="34:51" ht="12.75" x14ac:dyDescent="0.2">
      <c r="AH780" s="23"/>
      <c r="AJ780" s="24"/>
      <c r="AW780" s="25"/>
      <c r="AX780" s="26"/>
      <c r="AY780" s="27"/>
    </row>
    <row r="781" spans="34:51" ht="12.75" x14ac:dyDescent="0.2">
      <c r="AH781" s="23"/>
      <c r="AJ781" s="24"/>
      <c r="AW781" s="25"/>
      <c r="AX781" s="26"/>
      <c r="AY781" s="27"/>
    </row>
    <row r="782" spans="34:51" ht="12.75" x14ac:dyDescent="0.2">
      <c r="AH782" s="23"/>
      <c r="AJ782" s="24"/>
      <c r="AW782" s="25"/>
      <c r="AX782" s="26"/>
      <c r="AY782" s="27"/>
    </row>
    <row r="783" spans="34:51" ht="12.75" x14ac:dyDescent="0.2">
      <c r="AH783" s="23"/>
      <c r="AJ783" s="24"/>
      <c r="AW783" s="25"/>
      <c r="AX783" s="26"/>
      <c r="AY783" s="27"/>
    </row>
    <row r="784" spans="34:51" ht="12.75" x14ac:dyDescent="0.2">
      <c r="AH784" s="23"/>
      <c r="AJ784" s="24"/>
      <c r="AW784" s="25"/>
      <c r="AX784" s="26"/>
      <c r="AY784" s="27"/>
    </row>
    <row r="785" spans="34:51" ht="12.75" x14ac:dyDescent="0.2">
      <c r="AH785" s="23"/>
      <c r="AJ785" s="24"/>
      <c r="AW785" s="25"/>
      <c r="AX785" s="26"/>
      <c r="AY785" s="27"/>
    </row>
    <row r="786" spans="34:51" ht="12.75" x14ac:dyDescent="0.2">
      <c r="AH786" s="23"/>
      <c r="AJ786" s="24"/>
      <c r="AW786" s="25"/>
      <c r="AX786" s="26"/>
      <c r="AY786" s="27"/>
    </row>
    <row r="787" spans="34:51" ht="12.75" x14ac:dyDescent="0.2">
      <c r="AH787" s="23"/>
      <c r="AJ787" s="24"/>
      <c r="AW787" s="25"/>
      <c r="AX787" s="26"/>
      <c r="AY787" s="27"/>
    </row>
    <row r="788" spans="34:51" ht="12.75" x14ac:dyDescent="0.2">
      <c r="AH788" s="23"/>
      <c r="AJ788" s="24"/>
      <c r="AW788" s="25"/>
      <c r="AX788" s="26"/>
      <c r="AY788" s="27"/>
    </row>
    <row r="789" spans="34:51" ht="12.75" x14ac:dyDescent="0.2">
      <c r="AH789" s="23"/>
      <c r="AJ789" s="24"/>
      <c r="AW789" s="25"/>
      <c r="AX789" s="26"/>
      <c r="AY789" s="27"/>
    </row>
    <row r="790" spans="34:51" ht="12.75" x14ac:dyDescent="0.2">
      <c r="AH790" s="23"/>
      <c r="AJ790" s="24"/>
      <c r="AW790" s="25"/>
      <c r="AX790" s="26"/>
      <c r="AY790" s="27"/>
    </row>
    <row r="791" spans="34:51" ht="12.75" x14ac:dyDescent="0.2">
      <c r="AH791" s="23"/>
      <c r="AJ791" s="24"/>
      <c r="AW791" s="25"/>
      <c r="AX791" s="26"/>
      <c r="AY791" s="27"/>
    </row>
    <row r="792" spans="34:51" ht="12.75" x14ac:dyDescent="0.2">
      <c r="AH792" s="23"/>
      <c r="AJ792" s="24"/>
      <c r="AW792" s="25"/>
      <c r="AX792" s="26"/>
      <c r="AY792" s="27"/>
    </row>
    <row r="793" spans="34:51" ht="12.75" x14ac:dyDescent="0.2">
      <c r="AH793" s="23"/>
      <c r="AJ793" s="24"/>
      <c r="AW793" s="25"/>
      <c r="AX793" s="26"/>
      <c r="AY793" s="27"/>
    </row>
    <row r="794" spans="34:51" ht="12.75" x14ac:dyDescent="0.2">
      <c r="AH794" s="23"/>
      <c r="AJ794" s="24"/>
      <c r="AW794" s="25"/>
      <c r="AX794" s="26"/>
      <c r="AY794" s="27"/>
    </row>
    <row r="795" spans="34:51" ht="12.75" x14ac:dyDescent="0.2">
      <c r="AH795" s="23"/>
      <c r="AJ795" s="24"/>
      <c r="AW795" s="25"/>
      <c r="AX795" s="26"/>
      <c r="AY795" s="27"/>
    </row>
    <row r="796" spans="34:51" ht="12.75" x14ac:dyDescent="0.2">
      <c r="AH796" s="23"/>
      <c r="AJ796" s="24"/>
      <c r="AW796" s="25"/>
      <c r="AX796" s="26"/>
      <c r="AY796" s="27"/>
    </row>
    <row r="797" spans="34:51" ht="12.75" x14ac:dyDescent="0.2">
      <c r="AH797" s="23"/>
      <c r="AJ797" s="24"/>
      <c r="AW797" s="25"/>
      <c r="AX797" s="26"/>
      <c r="AY797" s="27"/>
    </row>
    <row r="798" spans="34:51" ht="12.75" x14ac:dyDescent="0.2">
      <c r="AH798" s="23"/>
      <c r="AJ798" s="24"/>
      <c r="AW798" s="25"/>
      <c r="AX798" s="26"/>
      <c r="AY798" s="27"/>
    </row>
    <row r="799" spans="34:51" ht="12.75" x14ac:dyDescent="0.2">
      <c r="AH799" s="23"/>
      <c r="AJ799" s="24"/>
      <c r="AW799" s="25"/>
      <c r="AX799" s="26"/>
      <c r="AY799" s="27"/>
    </row>
    <row r="800" spans="34:51" ht="12.75" x14ac:dyDescent="0.2">
      <c r="AH800" s="23"/>
      <c r="AJ800" s="24"/>
      <c r="AW800" s="25"/>
      <c r="AX800" s="26"/>
      <c r="AY800" s="27"/>
    </row>
    <row r="801" spans="34:51" ht="12.75" x14ac:dyDescent="0.2">
      <c r="AH801" s="23"/>
      <c r="AJ801" s="24"/>
      <c r="AW801" s="25"/>
      <c r="AX801" s="26"/>
      <c r="AY801" s="27"/>
    </row>
    <row r="802" spans="34:51" ht="12.75" x14ac:dyDescent="0.2">
      <c r="AH802" s="23"/>
      <c r="AJ802" s="24"/>
      <c r="AW802" s="25"/>
      <c r="AX802" s="26"/>
      <c r="AY802" s="27"/>
    </row>
    <row r="803" spans="34:51" ht="12.75" x14ac:dyDescent="0.2">
      <c r="AH803" s="23"/>
      <c r="AJ803" s="24"/>
      <c r="AW803" s="25"/>
      <c r="AX803" s="26"/>
      <c r="AY803" s="27"/>
    </row>
    <row r="804" spans="34:51" ht="12.75" x14ac:dyDescent="0.2">
      <c r="AH804" s="23"/>
      <c r="AJ804" s="24"/>
      <c r="AW804" s="25"/>
      <c r="AX804" s="26"/>
      <c r="AY804" s="27"/>
    </row>
    <row r="805" spans="34:51" ht="12.75" x14ac:dyDescent="0.2">
      <c r="AH805" s="23"/>
      <c r="AJ805" s="24"/>
      <c r="AW805" s="25"/>
      <c r="AX805" s="26"/>
      <c r="AY805" s="27"/>
    </row>
    <row r="806" spans="34:51" ht="12.75" x14ac:dyDescent="0.2">
      <c r="AH806" s="23"/>
      <c r="AJ806" s="24"/>
      <c r="AW806" s="25"/>
      <c r="AX806" s="26"/>
      <c r="AY806" s="27"/>
    </row>
    <row r="807" spans="34:51" ht="12.75" x14ac:dyDescent="0.2">
      <c r="AH807" s="23"/>
      <c r="AJ807" s="24"/>
      <c r="AW807" s="25"/>
      <c r="AX807" s="26"/>
      <c r="AY807" s="27"/>
    </row>
    <row r="808" spans="34:51" ht="12.75" x14ac:dyDescent="0.2">
      <c r="AH808" s="23"/>
      <c r="AJ808" s="24"/>
      <c r="AW808" s="25"/>
      <c r="AX808" s="26"/>
      <c r="AY808" s="27"/>
    </row>
    <row r="809" spans="34:51" ht="12.75" x14ac:dyDescent="0.2">
      <c r="AH809" s="23"/>
      <c r="AJ809" s="24"/>
      <c r="AW809" s="25"/>
      <c r="AX809" s="26"/>
      <c r="AY809" s="27"/>
    </row>
    <row r="810" spans="34:51" ht="12.75" x14ac:dyDescent="0.2">
      <c r="AH810" s="23"/>
      <c r="AJ810" s="24"/>
      <c r="AW810" s="25"/>
      <c r="AX810" s="26"/>
      <c r="AY810" s="27"/>
    </row>
    <row r="811" spans="34:51" ht="12.75" x14ac:dyDescent="0.2">
      <c r="AH811" s="23"/>
      <c r="AJ811" s="24"/>
      <c r="AW811" s="25"/>
      <c r="AX811" s="26"/>
      <c r="AY811" s="27"/>
    </row>
    <row r="812" spans="34:51" ht="12.75" x14ac:dyDescent="0.2">
      <c r="AH812" s="23"/>
      <c r="AJ812" s="24"/>
      <c r="AW812" s="25"/>
      <c r="AX812" s="26"/>
      <c r="AY812" s="27"/>
    </row>
    <row r="813" spans="34:51" ht="12.75" x14ac:dyDescent="0.2">
      <c r="AH813" s="23"/>
      <c r="AJ813" s="24"/>
      <c r="AW813" s="25"/>
      <c r="AX813" s="26"/>
      <c r="AY813" s="27"/>
    </row>
    <row r="814" spans="34:51" ht="12.75" x14ac:dyDescent="0.2">
      <c r="AH814" s="23"/>
      <c r="AJ814" s="24"/>
      <c r="AW814" s="25"/>
      <c r="AX814" s="26"/>
      <c r="AY814" s="27"/>
    </row>
    <row r="815" spans="34:51" ht="12.75" x14ac:dyDescent="0.2">
      <c r="AH815" s="23"/>
      <c r="AJ815" s="24"/>
      <c r="AW815" s="25"/>
      <c r="AX815" s="26"/>
      <c r="AY815" s="27"/>
    </row>
    <row r="816" spans="34:51" ht="12.75" x14ac:dyDescent="0.2">
      <c r="AH816" s="23"/>
      <c r="AJ816" s="24"/>
      <c r="AW816" s="25"/>
      <c r="AX816" s="26"/>
      <c r="AY816" s="27"/>
    </row>
    <row r="817" spans="34:51" ht="12.75" x14ac:dyDescent="0.2">
      <c r="AH817" s="23"/>
      <c r="AJ817" s="24"/>
      <c r="AW817" s="25"/>
      <c r="AX817" s="26"/>
      <c r="AY817" s="27"/>
    </row>
    <row r="818" spans="34:51" ht="12.75" x14ac:dyDescent="0.2">
      <c r="AH818" s="23"/>
      <c r="AJ818" s="24"/>
      <c r="AW818" s="25"/>
      <c r="AX818" s="26"/>
      <c r="AY818" s="27"/>
    </row>
    <row r="819" spans="34:51" ht="12.75" x14ac:dyDescent="0.2">
      <c r="AH819" s="23"/>
      <c r="AJ819" s="24"/>
      <c r="AW819" s="25"/>
      <c r="AX819" s="26"/>
      <c r="AY819" s="27"/>
    </row>
    <row r="820" spans="34:51" ht="12.75" x14ac:dyDescent="0.2">
      <c r="AH820" s="23"/>
      <c r="AJ820" s="24"/>
      <c r="AW820" s="25"/>
      <c r="AX820" s="26"/>
      <c r="AY820" s="27"/>
    </row>
    <row r="821" spans="34:51" ht="12.75" x14ac:dyDescent="0.2">
      <c r="AH821" s="23"/>
      <c r="AJ821" s="24"/>
      <c r="AW821" s="25"/>
      <c r="AX821" s="26"/>
      <c r="AY821" s="27"/>
    </row>
    <row r="822" spans="34:51" ht="12.75" x14ac:dyDescent="0.2">
      <c r="AH822" s="23"/>
      <c r="AJ822" s="24"/>
      <c r="AW822" s="25"/>
      <c r="AX822" s="26"/>
      <c r="AY822" s="27"/>
    </row>
    <row r="823" spans="34:51" ht="12.75" x14ac:dyDescent="0.2">
      <c r="AH823" s="23"/>
      <c r="AJ823" s="24"/>
      <c r="AW823" s="25"/>
      <c r="AX823" s="26"/>
      <c r="AY823" s="27"/>
    </row>
    <row r="824" spans="34:51" ht="12.75" x14ac:dyDescent="0.2">
      <c r="AH824" s="23"/>
      <c r="AJ824" s="24"/>
      <c r="AW824" s="25"/>
      <c r="AX824" s="26"/>
      <c r="AY824" s="27"/>
    </row>
    <row r="825" spans="34:51" ht="12.75" x14ac:dyDescent="0.2">
      <c r="AH825" s="23"/>
      <c r="AJ825" s="24"/>
      <c r="AW825" s="25"/>
      <c r="AX825" s="26"/>
      <c r="AY825" s="27"/>
    </row>
    <row r="826" spans="34:51" ht="12.75" x14ac:dyDescent="0.2">
      <c r="AH826" s="23"/>
      <c r="AJ826" s="24"/>
      <c r="AW826" s="25"/>
      <c r="AX826" s="26"/>
      <c r="AY826" s="27"/>
    </row>
    <row r="827" spans="34:51" ht="12.75" x14ac:dyDescent="0.2">
      <c r="AH827" s="23"/>
      <c r="AJ827" s="24"/>
      <c r="AW827" s="25"/>
      <c r="AX827" s="26"/>
      <c r="AY827" s="27"/>
    </row>
    <row r="828" spans="34:51" ht="12.75" x14ac:dyDescent="0.2">
      <c r="AH828" s="23"/>
      <c r="AJ828" s="24"/>
      <c r="AW828" s="25"/>
      <c r="AX828" s="26"/>
      <c r="AY828" s="27"/>
    </row>
    <row r="829" spans="34:51" ht="12.75" x14ac:dyDescent="0.2">
      <c r="AH829" s="23"/>
      <c r="AJ829" s="24"/>
      <c r="AW829" s="25"/>
      <c r="AX829" s="26"/>
      <c r="AY829" s="27"/>
    </row>
    <row r="830" spans="34:51" ht="12.75" x14ac:dyDescent="0.2">
      <c r="AH830" s="23"/>
      <c r="AJ830" s="24"/>
      <c r="AW830" s="25"/>
      <c r="AX830" s="26"/>
      <c r="AY830" s="27"/>
    </row>
    <row r="831" spans="34:51" ht="12.75" x14ac:dyDescent="0.2">
      <c r="AH831" s="23"/>
      <c r="AJ831" s="24"/>
      <c r="AW831" s="25"/>
      <c r="AX831" s="26"/>
      <c r="AY831" s="27"/>
    </row>
    <row r="832" spans="34:51" ht="12.75" x14ac:dyDescent="0.2">
      <c r="AH832" s="23"/>
      <c r="AJ832" s="24"/>
      <c r="AW832" s="25"/>
      <c r="AX832" s="26"/>
      <c r="AY832" s="27"/>
    </row>
    <row r="833" spans="34:51" ht="12.75" x14ac:dyDescent="0.2">
      <c r="AH833" s="23"/>
      <c r="AJ833" s="24"/>
      <c r="AW833" s="25"/>
      <c r="AX833" s="26"/>
      <c r="AY833" s="27"/>
    </row>
    <row r="834" spans="34:51" ht="12.75" x14ac:dyDescent="0.2">
      <c r="AH834" s="23"/>
      <c r="AJ834" s="24"/>
      <c r="AW834" s="25"/>
      <c r="AX834" s="26"/>
      <c r="AY834" s="27"/>
    </row>
    <row r="835" spans="34:51" ht="12.75" x14ac:dyDescent="0.2">
      <c r="AH835" s="23"/>
      <c r="AJ835" s="24"/>
      <c r="AW835" s="25"/>
      <c r="AX835" s="26"/>
      <c r="AY835" s="27"/>
    </row>
    <row r="836" spans="34:51" ht="12.75" x14ac:dyDescent="0.2">
      <c r="AH836" s="23"/>
      <c r="AJ836" s="24"/>
      <c r="AW836" s="25"/>
      <c r="AX836" s="26"/>
      <c r="AY836" s="27"/>
    </row>
    <row r="837" spans="34:51" ht="12.75" x14ac:dyDescent="0.2">
      <c r="AH837" s="23"/>
      <c r="AJ837" s="24"/>
      <c r="AW837" s="25"/>
      <c r="AX837" s="26"/>
      <c r="AY837" s="27"/>
    </row>
    <row r="838" spans="34:51" ht="12.75" x14ac:dyDescent="0.2">
      <c r="AH838" s="23"/>
      <c r="AJ838" s="24"/>
      <c r="AW838" s="25"/>
      <c r="AX838" s="26"/>
      <c r="AY838" s="27"/>
    </row>
    <row r="839" spans="34:51" ht="12.75" x14ac:dyDescent="0.2">
      <c r="AH839" s="23"/>
      <c r="AJ839" s="24"/>
      <c r="AW839" s="25"/>
      <c r="AX839" s="26"/>
      <c r="AY839" s="27"/>
    </row>
    <row r="840" spans="34:51" ht="12.75" x14ac:dyDescent="0.2">
      <c r="AH840" s="23"/>
      <c r="AJ840" s="24"/>
      <c r="AW840" s="25"/>
      <c r="AX840" s="26"/>
      <c r="AY840" s="27"/>
    </row>
    <row r="841" spans="34:51" ht="12.75" x14ac:dyDescent="0.2">
      <c r="AH841" s="23"/>
      <c r="AJ841" s="24"/>
      <c r="AW841" s="25"/>
      <c r="AX841" s="26"/>
      <c r="AY841" s="27"/>
    </row>
    <row r="842" spans="34:51" ht="12.75" x14ac:dyDescent="0.2">
      <c r="AH842" s="23"/>
      <c r="AJ842" s="24"/>
      <c r="AW842" s="25"/>
      <c r="AX842" s="26"/>
      <c r="AY842" s="27"/>
    </row>
    <row r="843" spans="34:51" ht="12.75" x14ac:dyDescent="0.2">
      <c r="AH843" s="23"/>
      <c r="AJ843" s="24"/>
      <c r="AW843" s="25"/>
      <c r="AX843" s="26"/>
      <c r="AY843" s="27"/>
    </row>
    <row r="844" spans="34:51" ht="12.75" x14ac:dyDescent="0.2">
      <c r="AH844" s="23"/>
      <c r="AJ844" s="24"/>
      <c r="AW844" s="25"/>
      <c r="AX844" s="26"/>
      <c r="AY844" s="27"/>
    </row>
    <row r="845" spans="34:51" ht="12.75" x14ac:dyDescent="0.2">
      <c r="AH845" s="23"/>
      <c r="AJ845" s="24"/>
      <c r="AW845" s="25"/>
      <c r="AX845" s="26"/>
      <c r="AY845" s="27"/>
    </row>
    <row r="846" spans="34:51" ht="12.75" x14ac:dyDescent="0.2">
      <c r="AH846" s="23"/>
      <c r="AJ846" s="24"/>
      <c r="AW846" s="25"/>
      <c r="AX846" s="26"/>
      <c r="AY846" s="27"/>
    </row>
    <row r="847" spans="34:51" ht="12.75" x14ac:dyDescent="0.2">
      <c r="AH847" s="23"/>
      <c r="AJ847" s="24"/>
      <c r="AW847" s="25"/>
      <c r="AX847" s="26"/>
      <c r="AY847" s="27"/>
    </row>
    <row r="848" spans="34:51" ht="12.75" x14ac:dyDescent="0.2">
      <c r="AH848" s="23"/>
      <c r="AJ848" s="24"/>
      <c r="AW848" s="25"/>
      <c r="AX848" s="26"/>
      <c r="AY848" s="27"/>
    </row>
    <row r="849" spans="34:51" ht="12.75" x14ac:dyDescent="0.2">
      <c r="AH849" s="23"/>
      <c r="AJ849" s="24"/>
      <c r="AW849" s="25"/>
      <c r="AX849" s="26"/>
      <c r="AY849" s="27"/>
    </row>
    <row r="850" spans="34:51" ht="12.75" x14ac:dyDescent="0.2">
      <c r="AH850" s="23"/>
      <c r="AJ850" s="24"/>
      <c r="AW850" s="25"/>
      <c r="AX850" s="26"/>
      <c r="AY850" s="27"/>
    </row>
    <row r="851" spans="34:51" ht="12.75" x14ac:dyDescent="0.2">
      <c r="AH851" s="23"/>
      <c r="AJ851" s="24"/>
      <c r="AW851" s="25"/>
      <c r="AX851" s="26"/>
      <c r="AY851" s="27"/>
    </row>
    <row r="852" spans="34:51" ht="12.75" x14ac:dyDescent="0.2">
      <c r="AH852" s="23"/>
      <c r="AJ852" s="24"/>
      <c r="AW852" s="25"/>
      <c r="AX852" s="26"/>
      <c r="AY852" s="27"/>
    </row>
    <row r="853" spans="34:51" ht="12.75" x14ac:dyDescent="0.2">
      <c r="AH853" s="23"/>
      <c r="AJ853" s="24"/>
      <c r="AW853" s="25"/>
      <c r="AX853" s="26"/>
      <c r="AY853" s="27"/>
    </row>
    <row r="854" spans="34:51" ht="12.75" x14ac:dyDescent="0.2">
      <c r="AH854" s="23"/>
      <c r="AJ854" s="24"/>
      <c r="AW854" s="25"/>
      <c r="AX854" s="26"/>
      <c r="AY854" s="27"/>
    </row>
    <row r="855" spans="34:51" ht="12.75" x14ac:dyDescent="0.2">
      <c r="AH855" s="23"/>
      <c r="AJ855" s="24"/>
      <c r="AW855" s="25"/>
      <c r="AX855" s="26"/>
      <c r="AY855" s="27"/>
    </row>
    <row r="856" spans="34:51" ht="12.75" x14ac:dyDescent="0.2">
      <c r="AH856" s="23"/>
      <c r="AJ856" s="24"/>
      <c r="AW856" s="25"/>
      <c r="AX856" s="26"/>
      <c r="AY856" s="27"/>
    </row>
    <row r="857" spans="34:51" ht="12.75" x14ac:dyDescent="0.2">
      <c r="AH857" s="23"/>
      <c r="AJ857" s="24"/>
      <c r="AW857" s="25"/>
      <c r="AX857" s="26"/>
      <c r="AY857" s="27"/>
    </row>
    <row r="858" spans="34:51" ht="12.75" x14ac:dyDescent="0.2">
      <c r="AH858" s="23"/>
      <c r="AJ858" s="24"/>
      <c r="AW858" s="25"/>
      <c r="AX858" s="26"/>
      <c r="AY858" s="27"/>
    </row>
    <row r="859" spans="34:51" ht="12.75" x14ac:dyDescent="0.2">
      <c r="AH859" s="23"/>
      <c r="AJ859" s="24"/>
      <c r="AW859" s="25"/>
      <c r="AX859" s="26"/>
      <c r="AY859" s="27"/>
    </row>
    <row r="860" spans="34:51" ht="12.75" x14ac:dyDescent="0.2">
      <c r="AH860" s="23"/>
      <c r="AJ860" s="24"/>
      <c r="AW860" s="25"/>
      <c r="AX860" s="26"/>
      <c r="AY860" s="27"/>
    </row>
    <row r="861" spans="34:51" ht="12.75" x14ac:dyDescent="0.2">
      <c r="AH861" s="23"/>
      <c r="AJ861" s="24"/>
      <c r="AW861" s="25"/>
      <c r="AX861" s="26"/>
      <c r="AY861" s="27"/>
    </row>
    <row r="862" spans="34:51" ht="12.75" x14ac:dyDescent="0.2">
      <c r="AH862" s="23"/>
      <c r="AJ862" s="24"/>
      <c r="AW862" s="25"/>
      <c r="AX862" s="26"/>
      <c r="AY862" s="27"/>
    </row>
    <row r="863" spans="34:51" ht="12.75" x14ac:dyDescent="0.2">
      <c r="AH863" s="23"/>
      <c r="AJ863" s="24"/>
      <c r="AW863" s="25"/>
      <c r="AX863" s="26"/>
      <c r="AY863" s="27"/>
    </row>
    <row r="864" spans="34:51" ht="12.75" x14ac:dyDescent="0.2">
      <c r="AH864" s="23"/>
      <c r="AJ864" s="24"/>
      <c r="AW864" s="25"/>
      <c r="AX864" s="26"/>
      <c r="AY864" s="27"/>
    </row>
    <row r="865" spans="34:51" ht="12.75" x14ac:dyDescent="0.2">
      <c r="AH865" s="23"/>
      <c r="AJ865" s="24"/>
      <c r="AW865" s="25"/>
      <c r="AX865" s="26"/>
      <c r="AY865" s="27"/>
    </row>
    <row r="866" spans="34:51" ht="12.75" x14ac:dyDescent="0.2">
      <c r="AH866" s="23"/>
      <c r="AJ866" s="24"/>
      <c r="AW866" s="25"/>
      <c r="AX866" s="26"/>
      <c r="AY866" s="27"/>
    </row>
    <row r="867" spans="34:51" ht="12.75" x14ac:dyDescent="0.2">
      <c r="AH867" s="23"/>
      <c r="AJ867" s="24"/>
      <c r="AW867" s="25"/>
      <c r="AX867" s="26"/>
      <c r="AY867" s="27"/>
    </row>
    <row r="868" spans="34:51" ht="12.75" x14ac:dyDescent="0.2">
      <c r="AH868" s="23"/>
      <c r="AJ868" s="24"/>
      <c r="AW868" s="25"/>
      <c r="AX868" s="26"/>
      <c r="AY868" s="27"/>
    </row>
    <row r="869" spans="34:51" ht="12.75" x14ac:dyDescent="0.2">
      <c r="AH869" s="23"/>
      <c r="AJ869" s="24"/>
      <c r="AW869" s="25"/>
      <c r="AX869" s="26"/>
      <c r="AY869" s="27"/>
    </row>
    <row r="870" spans="34:51" ht="12.75" x14ac:dyDescent="0.2">
      <c r="AH870" s="23"/>
      <c r="AJ870" s="24"/>
      <c r="AW870" s="25"/>
      <c r="AX870" s="26"/>
      <c r="AY870" s="27"/>
    </row>
    <row r="871" spans="34:51" ht="12.75" x14ac:dyDescent="0.2">
      <c r="AH871" s="23"/>
      <c r="AJ871" s="24"/>
      <c r="AW871" s="25"/>
      <c r="AX871" s="26"/>
      <c r="AY871" s="27"/>
    </row>
    <row r="872" spans="34:51" ht="12.75" x14ac:dyDescent="0.2">
      <c r="AH872" s="23"/>
      <c r="AJ872" s="24"/>
      <c r="AW872" s="25"/>
      <c r="AX872" s="26"/>
      <c r="AY872" s="27"/>
    </row>
    <row r="873" spans="34:51" ht="12.75" x14ac:dyDescent="0.2">
      <c r="AH873" s="23"/>
      <c r="AJ873" s="24"/>
      <c r="AW873" s="25"/>
      <c r="AX873" s="26"/>
      <c r="AY873" s="27"/>
    </row>
    <row r="874" spans="34:51" ht="12.75" x14ac:dyDescent="0.2">
      <c r="AH874" s="23"/>
      <c r="AJ874" s="24"/>
      <c r="AW874" s="25"/>
      <c r="AX874" s="26"/>
      <c r="AY874" s="27"/>
    </row>
    <row r="875" spans="34:51" ht="12.75" x14ac:dyDescent="0.2">
      <c r="AH875" s="23"/>
      <c r="AJ875" s="24"/>
      <c r="AW875" s="25"/>
      <c r="AX875" s="26"/>
      <c r="AY875" s="27"/>
    </row>
    <row r="876" spans="34:51" ht="12.75" x14ac:dyDescent="0.2">
      <c r="AH876" s="23"/>
      <c r="AJ876" s="24"/>
      <c r="AW876" s="25"/>
      <c r="AX876" s="26"/>
      <c r="AY876" s="27"/>
    </row>
    <row r="877" spans="34:51" ht="12.75" x14ac:dyDescent="0.2">
      <c r="AH877" s="23"/>
      <c r="AJ877" s="24"/>
      <c r="AW877" s="25"/>
      <c r="AX877" s="26"/>
      <c r="AY877" s="27"/>
    </row>
    <row r="878" spans="34:51" ht="12.75" x14ac:dyDescent="0.2">
      <c r="AH878" s="23"/>
      <c r="AJ878" s="24"/>
      <c r="AW878" s="25"/>
      <c r="AX878" s="26"/>
      <c r="AY878" s="27"/>
    </row>
    <row r="879" spans="34:51" ht="12.75" x14ac:dyDescent="0.2">
      <c r="AH879" s="23"/>
      <c r="AJ879" s="24"/>
      <c r="AW879" s="25"/>
      <c r="AX879" s="26"/>
      <c r="AY879" s="27"/>
    </row>
    <row r="880" spans="34:51" ht="12.75" x14ac:dyDescent="0.2">
      <c r="AH880" s="23"/>
      <c r="AJ880" s="24"/>
      <c r="AW880" s="25"/>
      <c r="AX880" s="26"/>
      <c r="AY880" s="27"/>
    </row>
    <row r="881" spans="34:51" ht="12.75" x14ac:dyDescent="0.2">
      <c r="AH881" s="23"/>
      <c r="AJ881" s="24"/>
      <c r="AW881" s="25"/>
      <c r="AX881" s="26"/>
      <c r="AY881" s="27"/>
    </row>
    <row r="882" spans="34:51" ht="12.75" x14ac:dyDescent="0.2">
      <c r="AH882" s="23"/>
      <c r="AJ882" s="24"/>
      <c r="AW882" s="25"/>
      <c r="AX882" s="26"/>
      <c r="AY882" s="27"/>
    </row>
    <row r="883" spans="34:51" ht="12.75" x14ac:dyDescent="0.2">
      <c r="AH883" s="23"/>
      <c r="AJ883" s="24"/>
      <c r="AW883" s="25"/>
      <c r="AX883" s="26"/>
      <c r="AY883" s="27"/>
    </row>
    <row r="884" spans="34:51" ht="12.75" x14ac:dyDescent="0.2">
      <c r="AH884" s="23"/>
      <c r="AJ884" s="24"/>
      <c r="AW884" s="25"/>
      <c r="AX884" s="26"/>
      <c r="AY884" s="27"/>
    </row>
    <row r="885" spans="34:51" ht="12.75" x14ac:dyDescent="0.2">
      <c r="AH885" s="23"/>
      <c r="AJ885" s="24"/>
      <c r="AW885" s="25"/>
      <c r="AX885" s="26"/>
      <c r="AY885" s="27"/>
    </row>
    <row r="886" spans="34:51" ht="12.75" x14ac:dyDescent="0.2">
      <c r="AH886" s="23"/>
      <c r="AJ886" s="24"/>
      <c r="AW886" s="25"/>
      <c r="AX886" s="26"/>
      <c r="AY886" s="27"/>
    </row>
    <row r="887" spans="34:51" ht="12.75" x14ac:dyDescent="0.2">
      <c r="AH887" s="23"/>
      <c r="AJ887" s="24"/>
      <c r="AW887" s="25"/>
      <c r="AX887" s="26"/>
      <c r="AY887" s="27"/>
    </row>
    <row r="888" spans="34:51" ht="12.75" x14ac:dyDescent="0.2">
      <c r="AH888" s="23"/>
      <c r="AJ888" s="24"/>
      <c r="AW888" s="25"/>
      <c r="AX888" s="26"/>
      <c r="AY888" s="27"/>
    </row>
    <row r="889" spans="34:51" ht="12.75" x14ac:dyDescent="0.2">
      <c r="AH889" s="23"/>
      <c r="AJ889" s="24"/>
      <c r="AW889" s="25"/>
      <c r="AX889" s="26"/>
      <c r="AY889" s="27"/>
    </row>
    <row r="890" spans="34:51" ht="12.75" x14ac:dyDescent="0.2">
      <c r="AH890" s="23"/>
      <c r="AJ890" s="24"/>
      <c r="AW890" s="25"/>
      <c r="AX890" s="26"/>
      <c r="AY890" s="27"/>
    </row>
    <row r="891" spans="34:51" ht="12.75" x14ac:dyDescent="0.2">
      <c r="AH891" s="23"/>
      <c r="AJ891" s="24"/>
      <c r="AW891" s="25"/>
      <c r="AX891" s="26"/>
      <c r="AY891" s="27"/>
    </row>
    <row r="892" spans="34:51" ht="12.75" x14ac:dyDescent="0.2">
      <c r="AH892" s="23"/>
      <c r="AJ892" s="24"/>
      <c r="AW892" s="25"/>
      <c r="AX892" s="26"/>
      <c r="AY892" s="27"/>
    </row>
    <row r="893" spans="34:51" ht="12.75" x14ac:dyDescent="0.2">
      <c r="AH893" s="23"/>
      <c r="AJ893" s="24"/>
      <c r="AW893" s="25"/>
      <c r="AX893" s="26"/>
      <c r="AY893" s="27"/>
    </row>
    <row r="894" spans="34:51" ht="12.75" x14ac:dyDescent="0.2">
      <c r="AH894" s="23"/>
      <c r="AJ894" s="24"/>
      <c r="AW894" s="25"/>
      <c r="AX894" s="26"/>
      <c r="AY894" s="27"/>
    </row>
    <row r="895" spans="34:51" ht="12.75" x14ac:dyDescent="0.2">
      <c r="AH895" s="23"/>
      <c r="AJ895" s="24"/>
      <c r="AW895" s="25"/>
      <c r="AX895" s="26"/>
      <c r="AY895" s="27"/>
    </row>
    <row r="896" spans="34:51" ht="12.75" x14ac:dyDescent="0.2">
      <c r="AH896" s="23"/>
      <c r="AJ896" s="24"/>
      <c r="AW896" s="25"/>
      <c r="AX896" s="26"/>
      <c r="AY896" s="27"/>
    </row>
    <row r="897" spans="34:51" ht="12.75" x14ac:dyDescent="0.2">
      <c r="AH897" s="23"/>
      <c r="AJ897" s="24"/>
      <c r="AW897" s="25"/>
      <c r="AX897" s="26"/>
      <c r="AY897" s="27"/>
    </row>
    <row r="898" spans="34:51" ht="12.75" x14ac:dyDescent="0.2">
      <c r="AH898" s="23"/>
      <c r="AJ898" s="24"/>
      <c r="AW898" s="25"/>
      <c r="AX898" s="26"/>
      <c r="AY898" s="27"/>
    </row>
    <row r="899" spans="34:51" ht="12.75" x14ac:dyDescent="0.2">
      <c r="AH899" s="23"/>
      <c r="AJ899" s="24"/>
      <c r="AW899" s="25"/>
      <c r="AX899" s="26"/>
      <c r="AY899" s="27"/>
    </row>
    <row r="900" spans="34:51" ht="12.75" x14ac:dyDescent="0.2">
      <c r="AH900" s="23"/>
      <c r="AJ900" s="24"/>
      <c r="AW900" s="25"/>
      <c r="AX900" s="26"/>
      <c r="AY900" s="27"/>
    </row>
    <row r="901" spans="34:51" ht="12.75" x14ac:dyDescent="0.2">
      <c r="AH901" s="23"/>
      <c r="AJ901" s="24"/>
      <c r="AW901" s="25"/>
      <c r="AX901" s="26"/>
      <c r="AY901" s="27"/>
    </row>
    <row r="902" spans="34:51" ht="12.75" x14ac:dyDescent="0.2">
      <c r="AH902" s="23"/>
      <c r="AJ902" s="24"/>
      <c r="AW902" s="25"/>
      <c r="AX902" s="26"/>
      <c r="AY902" s="27"/>
    </row>
    <row r="903" spans="34:51" ht="12.75" x14ac:dyDescent="0.2">
      <c r="AH903" s="23"/>
      <c r="AJ903" s="24"/>
      <c r="AW903" s="25"/>
      <c r="AX903" s="26"/>
      <c r="AY903" s="27"/>
    </row>
    <row r="904" spans="34:51" ht="12.75" x14ac:dyDescent="0.2">
      <c r="AH904" s="23"/>
      <c r="AJ904" s="24"/>
      <c r="AW904" s="25"/>
      <c r="AX904" s="26"/>
      <c r="AY904" s="27"/>
    </row>
    <row r="905" spans="34:51" ht="12.75" x14ac:dyDescent="0.2">
      <c r="AH905" s="23"/>
      <c r="AJ905" s="24"/>
      <c r="AW905" s="25"/>
      <c r="AX905" s="26"/>
      <c r="AY905" s="27"/>
    </row>
    <row r="906" spans="34:51" ht="12.75" x14ac:dyDescent="0.2">
      <c r="AH906" s="23"/>
      <c r="AJ906" s="24"/>
      <c r="AW906" s="25"/>
      <c r="AX906" s="26"/>
      <c r="AY906" s="27"/>
    </row>
    <row r="907" spans="34:51" ht="12.75" x14ac:dyDescent="0.2">
      <c r="AH907" s="23"/>
      <c r="AJ907" s="24"/>
      <c r="AW907" s="25"/>
      <c r="AX907" s="26"/>
      <c r="AY907" s="27"/>
    </row>
    <row r="908" spans="34:51" ht="12.75" x14ac:dyDescent="0.2">
      <c r="AH908" s="23"/>
      <c r="AJ908" s="24"/>
      <c r="AW908" s="25"/>
      <c r="AX908" s="26"/>
      <c r="AY908" s="27"/>
    </row>
    <row r="909" spans="34:51" ht="12.75" x14ac:dyDescent="0.2">
      <c r="AH909" s="23"/>
      <c r="AJ909" s="24"/>
      <c r="AW909" s="25"/>
      <c r="AX909" s="26"/>
      <c r="AY909" s="27"/>
    </row>
    <row r="910" spans="34:51" ht="12.75" x14ac:dyDescent="0.2">
      <c r="AH910" s="23"/>
      <c r="AJ910" s="24"/>
      <c r="AW910" s="25"/>
      <c r="AX910" s="26"/>
      <c r="AY910" s="27"/>
    </row>
    <row r="911" spans="34:51" ht="12.75" x14ac:dyDescent="0.2">
      <c r="AH911" s="23"/>
      <c r="AJ911" s="24"/>
      <c r="AW911" s="25"/>
      <c r="AX911" s="26"/>
      <c r="AY911" s="27"/>
    </row>
    <row r="912" spans="34:51" ht="12.75" x14ac:dyDescent="0.2">
      <c r="AH912" s="23"/>
      <c r="AJ912" s="24"/>
      <c r="AW912" s="25"/>
      <c r="AX912" s="26"/>
      <c r="AY912" s="27"/>
    </row>
    <row r="913" spans="34:51" ht="12.75" x14ac:dyDescent="0.2">
      <c r="AH913" s="23"/>
      <c r="AJ913" s="24"/>
      <c r="AW913" s="25"/>
      <c r="AX913" s="26"/>
      <c r="AY913" s="27"/>
    </row>
    <row r="914" spans="34:51" ht="12.75" x14ac:dyDescent="0.2">
      <c r="AH914" s="23"/>
      <c r="AJ914" s="24"/>
      <c r="AW914" s="25"/>
      <c r="AX914" s="26"/>
      <c r="AY914" s="27"/>
    </row>
    <row r="915" spans="34:51" ht="12.75" x14ac:dyDescent="0.2">
      <c r="AH915" s="23"/>
      <c r="AJ915" s="24"/>
      <c r="AW915" s="25"/>
      <c r="AX915" s="26"/>
      <c r="AY915" s="27"/>
    </row>
    <row r="916" spans="34:51" ht="12.75" x14ac:dyDescent="0.2">
      <c r="AH916" s="23"/>
      <c r="AJ916" s="24"/>
      <c r="AW916" s="25"/>
      <c r="AX916" s="26"/>
      <c r="AY916" s="27"/>
    </row>
    <row r="917" spans="34:51" ht="12.75" x14ac:dyDescent="0.2">
      <c r="AH917" s="23"/>
      <c r="AJ917" s="24"/>
      <c r="AW917" s="25"/>
      <c r="AX917" s="26"/>
      <c r="AY917" s="27"/>
    </row>
    <row r="918" spans="34:51" ht="12.75" x14ac:dyDescent="0.2">
      <c r="AH918" s="23"/>
      <c r="AJ918" s="24"/>
      <c r="AW918" s="25"/>
      <c r="AX918" s="26"/>
      <c r="AY918" s="27"/>
    </row>
    <row r="919" spans="34:51" ht="12.75" x14ac:dyDescent="0.2">
      <c r="AH919" s="23"/>
      <c r="AJ919" s="24"/>
      <c r="AW919" s="25"/>
      <c r="AX919" s="26"/>
      <c r="AY919" s="27"/>
    </row>
    <row r="920" spans="34:51" ht="12.75" x14ac:dyDescent="0.2">
      <c r="AH920" s="23"/>
      <c r="AJ920" s="24"/>
      <c r="AW920" s="25"/>
      <c r="AX920" s="26"/>
      <c r="AY920" s="27"/>
    </row>
    <row r="921" spans="34:51" ht="12.75" x14ac:dyDescent="0.2">
      <c r="AH921" s="23"/>
      <c r="AJ921" s="24"/>
      <c r="AW921" s="25"/>
      <c r="AX921" s="26"/>
      <c r="AY921" s="27"/>
    </row>
    <row r="922" spans="34:51" ht="12.75" x14ac:dyDescent="0.2">
      <c r="AH922" s="23"/>
      <c r="AJ922" s="24"/>
      <c r="AW922" s="25"/>
      <c r="AX922" s="26"/>
      <c r="AY922" s="27"/>
    </row>
    <row r="923" spans="34:51" ht="12.75" x14ac:dyDescent="0.2">
      <c r="AH923" s="23"/>
      <c r="AJ923" s="24"/>
      <c r="AW923" s="25"/>
      <c r="AX923" s="26"/>
      <c r="AY923" s="27"/>
    </row>
    <row r="924" spans="34:51" ht="12.75" x14ac:dyDescent="0.2">
      <c r="AH924" s="23"/>
      <c r="AJ924" s="24"/>
      <c r="AW924" s="25"/>
      <c r="AX924" s="26"/>
      <c r="AY924" s="27"/>
    </row>
    <row r="925" spans="34:51" ht="12.75" x14ac:dyDescent="0.2">
      <c r="AH925" s="23"/>
      <c r="AJ925" s="24"/>
      <c r="AW925" s="25"/>
      <c r="AX925" s="26"/>
      <c r="AY925" s="27"/>
    </row>
    <row r="926" spans="34:51" ht="12.75" x14ac:dyDescent="0.2">
      <c r="AH926" s="23"/>
      <c r="AJ926" s="24"/>
      <c r="AW926" s="25"/>
      <c r="AX926" s="26"/>
      <c r="AY926" s="27"/>
    </row>
    <row r="927" spans="34:51" ht="12.75" x14ac:dyDescent="0.2">
      <c r="AH927" s="23"/>
      <c r="AJ927" s="24"/>
      <c r="AW927" s="25"/>
      <c r="AX927" s="26"/>
      <c r="AY927" s="27"/>
    </row>
    <row r="928" spans="34:51" ht="12.75" x14ac:dyDescent="0.2">
      <c r="AH928" s="23"/>
      <c r="AJ928" s="24"/>
      <c r="AW928" s="25"/>
      <c r="AX928" s="26"/>
      <c r="AY928" s="27"/>
    </row>
    <row r="929" spans="34:51" ht="12.75" x14ac:dyDescent="0.2">
      <c r="AH929" s="23"/>
      <c r="AJ929" s="24"/>
      <c r="AW929" s="25"/>
      <c r="AX929" s="26"/>
      <c r="AY929" s="27"/>
    </row>
    <row r="930" spans="34:51" ht="12.75" x14ac:dyDescent="0.2">
      <c r="AH930" s="23"/>
      <c r="AJ930" s="24"/>
      <c r="AW930" s="25"/>
      <c r="AX930" s="26"/>
      <c r="AY930" s="27"/>
    </row>
    <row r="931" spans="34:51" ht="12.75" x14ac:dyDescent="0.2">
      <c r="AH931" s="23"/>
      <c r="AJ931" s="24"/>
      <c r="AW931" s="25"/>
      <c r="AX931" s="26"/>
      <c r="AY931" s="27"/>
    </row>
    <row r="932" spans="34:51" ht="12.75" x14ac:dyDescent="0.2">
      <c r="AH932" s="23"/>
      <c r="AJ932" s="24"/>
      <c r="AW932" s="25"/>
      <c r="AX932" s="26"/>
      <c r="AY932" s="27"/>
    </row>
    <row r="933" spans="34:51" ht="12.75" x14ac:dyDescent="0.2">
      <c r="AH933" s="23"/>
      <c r="AJ933" s="24"/>
      <c r="AW933" s="25"/>
      <c r="AX933" s="26"/>
      <c r="AY933" s="27"/>
    </row>
    <row r="934" spans="34:51" ht="12.75" x14ac:dyDescent="0.2">
      <c r="AH934" s="23"/>
      <c r="AJ934" s="24"/>
      <c r="AW934" s="25"/>
      <c r="AX934" s="26"/>
      <c r="AY934" s="27"/>
    </row>
    <row r="935" spans="34:51" ht="12.75" x14ac:dyDescent="0.2">
      <c r="AH935" s="23"/>
      <c r="AJ935" s="24"/>
      <c r="AW935" s="25"/>
      <c r="AX935" s="26"/>
      <c r="AY935" s="27"/>
    </row>
    <row r="936" spans="34:51" ht="12.75" x14ac:dyDescent="0.2">
      <c r="AH936" s="23"/>
      <c r="AJ936" s="24"/>
      <c r="AW936" s="25"/>
      <c r="AX936" s="26"/>
      <c r="AY936" s="27"/>
    </row>
    <row r="937" spans="34:51" ht="12.75" x14ac:dyDescent="0.2">
      <c r="AH937" s="23"/>
      <c r="AJ937" s="24"/>
      <c r="AW937" s="25"/>
      <c r="AX937" s="26"/>
      <c r="AY937" s="27"/>
    </row>
    <row r="938" spans="34:51" ht="12.75" x14ac:dyDescent="0.2">
      <c r="AH938" s="23"/>
      <c r="AJ938" s="24"/>
      <c r="AW938" s="25"/>
      <c r="AX938" s="26"/>
      <c r="AY938" s="27"/>
    </row>
    <row r="939" spans="34:51" ht="12.75" x14ac:dyDescent="0.2">
      <c r="AH939" s="23"/>
      <c r="AJ939" s="24"/>
      <c r="AW939" s="25"/>
      <c r="AX939" s="26"/>
      <c r="AY939" s="27"/>
    </row>
    <row r="940" spans="34:51" ht="12.75" x14ac:dyDescent="0.2">
      <c r="AH940" s="23"/>
      <c r="AJ940" s="24"/>
      <c r="AW940" s="25"/>
      <c r="AX940" s="26"/>
      <c r="AY940" s="27"/>
    </row>
    <row r="941" spans="34:51" ht="12.75" x14ac:dyDescent="0.2">
      <c r="AH941" s="23"/>
      <c r="AJ941" s="24"/>
      <c r="AW941" s="25"/>
      <c r="AX941" s="26"/>
      <c r="AY941" s="27"/>
    </row>
    <row r="942" spans="34:51" ht="12.75" x14ac:dyDescent="0.2">
      <c r="AH942" s="23"/>
      <c r="AJ942" s="24"/>
      <c r="AW942" s="25"/>
      <c r="AX942" s="26"/>
      <c r="AY942" s="27"/>
    </row>
    <row r="943" spans="34:51" ht="12.75" x14ac:dyDescent="0.2">
      <c r="AH943" s="23"/>
      <c r="AJ943" s="24"/>
      <c r="AW943" s="25"/>
      <c r="AX943" s="26"/>
      <c r="AY943" s="27"/>
    </row>
    <row r="944" spans="34:51" ht="12.75" x14ac:dyDescent="0.2">
      <c r="AH944" s="23"/>
      <c r="AJ944" s="24"/>
      <c r="AW944" s="25"/>
      <c r="AX944" s="26"/>
      <c r="AY944" s="27"/>
    </row>
    <row r="945" spans="34:51" ht="12.75" x14ac:dyDescent="0.2">
      <c r="AH945" s="23"/>
      <c r="AJ945" s="24"/>
      <c r="AW945" s="25"/>
      <c r="AX945" s="26"/>
      <c r="AY945" s="27"/>
    </row>
    <row r="946" spans="34:51" ht="12.75" x14ac:dyDescent="0.2">
      <c r="AH946" s="23"/>
      <c r="AJ946" s="24"/>
      <c r="AW946" s="25"/>
      <c r="AX946" s="26"/>
      <c r="AY946" s="27"/>
    </row>
    <row r="947" spans="34:51" ht="12.75" x14ac:dyDescent="0.2">
      <c r="AH947" s="23"/>
      <c r="AJ947" s="24"/>
      <c r="AW947" s="25"/>
      <c r="AX947" s="26"/>
      <c r="AY947" s="27"/>
    </row>
    <row r="948" spans="34:51" ht="12.75" x14ac:dyDescent="0.2">
      <c r="AH948" s="23"/>
      <c r="AJ948" s="24"/>
      <c r="AW948" s="25"/>
      <c r="AX948" s="26"/>
      <c r="AY948" s="27"/>
    </row>
    <row r="949" spans="34:51" ht="12.75" x14ac:dyDescent="0.2">
      <c r="AH949" s="23"/>
      <c r="AJ949" s="24"/>
      <c r="AW949" s="25"/>
      <c r="AX949" s="26"/>
      <c r="AY949" s="27"/>
    </row>
    <row r="950" spans="34:51" ht="12.75" x14ac:dyDescent="0.2">
      <c r="AH950" s="23"/>
      <c r="AJ950" s="24"/>
      <c r="AW950" s="25"/>
      <c r="AX950" s="26"/>
      <c r="AY950" s="27"/>
    </row>
    <row r="951" spans="34:51" ht="12.75" x14ac:dyDescent="0.2">
      <c r="AH951" s="23"/>
      <c r="AJ951" s="24"/>
      <c r="AW951" s="25"/>
      <c r="AX951" s="26"/>
      <c r="AY951" s="27"/>
    </row>
    <row r="952" spans="34:51" ht="12.75" x14ac:dyDescent="0.2">
      <c r="AH952" s="23"/>
      <c r="AJ952" s="24"/>
      <c r="AW952" s="25"/>
      <c r="AX952" s="26"/>
      <c r="AY952" s="27"/>
    </row>
    <row r="953" spans="34:51" ht="12.75" x14ac:dyDescent="0.2">
      <c r="AH953" s="23"/>
      <c r="AJ953" s="24"/>
      <c r="AW953" s="25"/>
      <c r="AX953" s="26"/>
      <c r="AY953" s="27"/>
    </row>
    <row r="954" spans="34:51" ht="12.75" x14ac:dyDescent="0.2">
      <c r="AH954" s="23"/>
      <c r="AJ954" s="24"/>
      <c r="AW954" s="25"/>
      <c r="AX954" s="26"/>
      <c r="AY954" s="27"/>
    </row>
    <row r="955" spans="34:51" ht="12.75" x14ac:dyDescent="0.2">
      <c r="AH955" s="23"/>
      <c r="AJ955" s="24"/>
      <c r="AW955" s="25"/>
      <c r="AX955" s="26"/>
      <c r="AY955" s="27"/>
    </row>
    <row r="956" spans="34:51" ht="12.75" x14ac:dyDescent="0.2">
      <c r="AH956" s="23"/>
      <c r="AJ956" s="24"/>
      <c r="AW956" s="25"/>
      <c r="AX956" s="26"/>
      <c r="AY956" s="27"/>
    </row>
    <row r="957" spans="34:51" ht="12.75" x14ac:dyDescent="0.2">
      <c r="AH957" s="23"/>
      <c r="AJ957" s="24"/>
      <c r="AW957" s="25"/>
      <c r="AX957" s="26"/>
      <c r="AY957" s="27"/>
    </row>
    <row r="958" spans="34:51" ht="12.75" x14ac:dyDescent="0.2">
      <c r="AH958" s="23"/>
      <c r="AJ958" s="24"/>
      <c r="AW958" s="25"/>
      <c r="AX958" s="26"/>
      <c r="AY958" s="27"/>
    </row>
    <row r="959" spans="34:51" ht="12.75" x14ac:dyDescent="0.2">
      <c r="AH959" s="23"/>
      <c r="AJ959" s="24"/>
      <c r="AW959" s="25"/>
      <c r="AX959" s="26"/>
      <c r="AY959" s="27"/>
    </row>
    <row r="960" spans="34:51" ht="12.75" x14ac:dyDescent="0.2">
      <c r="AH960" s="23"/>
      <c r="AJ960" s="24"/>
      <c r="AW960" s="25"/>
      <c r="AX960" s="26"/>
      <c r="AY960" s="27"/>
    </row>
    <row r="961" spans="34:51" ht="12.75" x14ac:dyDescent="0.2">
      <c r="AH961" s="23"/>
      <c r="AJ961" s="24"/>
      <c r="AW961" s="25"/>
      <c r="AX961" s="26"/>
      <c r="AY961" s="27"/>
    </row>
    <row r="962" spans="34:51" ht="12.75" x14ac:dyDescent="0.2">
      <c r="AH962" s="23"/>
      <c r="AJ962" s="24"/>
      <c r="AW962" s="25"/>
      <c r="AX962" s="26"/>
      <c r="AY962" s="27"/>
    </row>
    <row r="963" spans="34:51" ht="12.75" x14ac:dyDescent="0.2">
      <c r="AH963" s="23"/>
      <c r="AJ963" s="24"/>
      <c r="AW963" s="25"/>
      <c r="AX963" s="26"/>
      <c r="AY963" s="27"/>
    </row>
    <row r="964" spans="34:51" ht="12.75" x14ac:dyDescent="0.2">
      <c r="AH964" s="23"/>
      <c r="AJ964" s="24"/>
      <c r="AW964" s="25"/>
      <c r="AX964" s="26"/>
      <c r="AY964" s="27"/>
    </row>
    <row r="965" spans="34:51" ht="12.75" x14ac:dyDescent="0.2">
      <c r="AH965" s="23"/>
      <c r="AJ965" s="24"/>
      <c r="AW965" s="25"/>
      <c r="AX965" s="26"/>
      <c r="AY965" s="27"/>
    </row>
    <row r="966" spans="34:51" ht="12.75" x14ac:dyDescent="0.2">
      <c r="AH966" s="23"/>
      <c r="AJ966" s="24"/>
      <c r="AW966" s="25"/>
      <c r="AX966" s="26"/>
      <c r="AY966" s="27"/>
    </row>
    <row r="967" spans="34:51" ht="12.75" x14ac:dyDescent="0.2">
      <c r="AH967" s="23"/>
      <c r="AJ967" s="24"/>
      <c r="AW967" s="25"/>
      <c r="AX967" s="26"/>
      <c r="AY967" s="27"/>
    </row>
    <row r="968" spans="34:51" ht="12.75" x14ac:dyDescent="0.2">
      <c r="AH968" s="23"/>
      <c r="AJ968" s="24"/>
      <c r="AW968" s="25"/>
      <c r="AX968" s="26"/>
      <c r="AY968" s="27"/>
    </row>
    <row r="969" spans="34:51" ht="12.75" x14ac:dyDescent="0.2">
      <c r="AH969" s="23"/>
      <c r="AJ969" s="24"/>
      <c r="AW969" s="25"/>
      <c r="AX969" s="26"/>
      <c r="AY969" s="27"/>
    </row>
    <row r="970" spans="34:51" ht="12.75" x14ac:dyDescent="0.2">
      <c r="AH970" s="23"/>
      <c r="AJ970" s="24"/>
      <c r="AW970" s="25"/>
      <c r="AX970" s="26"/>
      <c r="AY970" s="27"/>
    </row>
    <row r="971" spans="34:51" ht="12.75" x14ac:dyDescent="0.2">
      <c r="AH971" s="23"/>
      <c r="AJ971" s="24"/>
      <c r="AW971" s="25"/>
      <c r="AX971" s="26"/>
      <c r="AY971" s="27"/>
    </row>
    <row r="972" spans="34:51" ht="12.75" x14ac:dyDescent="0.2">
      <c r="AH972" s="23"/>
      <c r="AJ972" s="24"/>
      <c r="AW972" s="25"/>
      <c r="AX972" s="26"/>
      <c r="AY972" s="27"/>
    </row>
    <row r="973" spans="34:51" ht="12.75" x14ac:dyDescent="0.2">
      <c r="AH973" s="23"/>
      <c r="AJ973" s="24"/>
      <c r="AW973" s="25"/>
      <c r="AX973" s="26"/>
      <c r="AY973" s="27"/>
    </row>
    <row r="974" spans="34:51" ht="12.75" x14ac:dyDescent="0.2">
      <c r="AH974" s="23"/>
      <c r="AJ974" s="24"/>
      <c r="AW974" s="25"/>
      <c r="AX974" s="26"/>
      <c r="AY974" s="27"/>
    </row>
    <row r="975" spans="34:51" ht="12.75" x14ac:dyDescent="0.2">
      <c r="AH975" s="23"/>
      <c r="AJ975" s="24"/>
      <c r="AW975" s="25"/>
      <c r="AX975" s="26"/>
      <c r="AY975" s="27"/>
    </row>
    <row r="976" spans="34:51" ht="12.75" x14ac:dyDescent="0.2">
      <c r="AH976" s="23"/>
      <c r="AJ976" s="24"/>
      <c r="AW976" s="25"/>
      <c r="AX976" s="26"/>
      <c r="AY976" s="27"/>
    </row>
    <row r="977" spans="34:51" ht="12.75" x14ac:dyDescent="0.2">
      <c r="AH977" s="23"/>
      <c r="AJ977" s="24"/>
      <c r="AW977" s="25"/>
      <c r="AX977" s="26"/>
      <c r="AY977" s="27"/>
    </row>
    <row r="978" spans="34:51" ht="12.75" x14ac:dyDescent="0.2">
      <c r="AH978" s="23"/>
      <c r="AJ978" s="24"/>
      <c r="AW978" s="25"/>
      <c r="AX978" s="26"/>
      <c r="AY978" s="27"/>
    </row>
    <row r="979" spans="34:51" ht="12.75" x14ac:dyDescent="0.2">
      <c r="AH979" s="23"/>
      <c r="AJ979" s="24"/>
      <c r="AW979" s="25"/>
      <c r="AX979" s="26"/>
      <c r="AY979" s="27"/>
    </row>
    <row r="980" spans="34:51" ht="12.75" x14ac:dyDescent="0.2">
      <c r="AH980" s="23"/>
      <c r="AJ980" s="24"/>
      <c r="AW980" s="25"/>
      <c r="AX980" s="26"/>
      <c r="AY980" s="27"/>
    </row>
    <row r="981" spans="34:51" ht="12.75" x14ac:dyDescent="0.2">
      <c r="AH981" s="23"/>
      <c r="AJ981" s="24"/>
      <c r="AW981" s="25"/>
      <c r="AX981" s="26"/>
      <c r="AY981" s="27"/>
    </row>
    <row r="982" spans="34:51" ht="12.75" x14ac:dyDescent="0.2">
      <c r="AH982" s="23"/>
      <c r="AJ982" s="24"/>
      <c r="AW982" s="25"/>
      <c r="AX982" s="26"/>
      <c r="AY982" s="27"/>
    </row>
    <row r="983" spans="34:51" ht="12.75" x14ac:dyDescent="0.2">
      <c r="AH983" s="23"/>
      <c r="AJ983" s="24"/>
      <c r="AW983" s="25"/>
      <c r="AX983" s="26"/>
      <c r="AY983" s="27"/>
    </row>
    <row r="984" spans="34:51" ht="12.75" x14ac:dyDescent="0.2">
      <c r="AH984" s="23"/>
      <c r="AJ984" s="24"/>
      <c r="AW984" s="25"/>
      <c r="AX984" s="26"/>
      <c r="AY984" s="27"/>
    </row>
    <row r="985" spans="34:51" ht="12.75" x14ac:dyDescent="0.2">
      <c r="AH985" s="23"/>
      <c r="AJ985" s="24"/>
      <c r="AW985" s="25"/>
      <c r="AX985" s="26"/>
      <c r="AY985" s="27"/>
    </row>
    <row r="986" spans="34:51" ht="12.75" x14ac:dyDescent="0.2">
      <c r="AH986" s="23"/>
      <c r="AJ986" s="24"/>
      <c r="AW986" s="25"/>
      <c r="AX986" s="26"/>
      <c r="AY986" s="27"/>
    </row>
    <row r="987" spans="34:51" ht="12.75" x14ac:dyDescent="0.2">
      <c r="AH987" s="23"/>
      <c r="AJ987" s="24"/>
      <c r="AW987" s="25"/>
      <c r="AX987" s="26"/>
      <c r="AY987" s="27"/>
    </row>
    <row r="988" spans="34:51" ht="12.75" x14ac:dyDescent="0.2">
      <c r="AH988" s="23"/>
      <c r="AJ988" s="24"/>
      <c r="AW988" s="25"/>
      <c r="AX988" s="26"/>
      <c r="AY988" s="27"/>
    </row>
    <row r="989" spans="34:51" ht="12.75" x14ac:dyDescent="0.2">
      <c r="AH989" s="23"/>
      <c r="AJ989" s="24"/>
      <c r="AW989" s="25"/>
      <c r="AX989" s="26"/>
      <c r="AY989" s="27"/>
    </row>
    <row r="990" spans="34:51" ht="12.75" x14ac:dyDescent="0.2">
      <c r="AH990" s="23"/>
      <c r="AJ990" s="24"/>
      <c r="AW990" s="25"/>
      <c r="AX990" s="26"/>
      <c r="AY990" s="27"/>
    </row>
    <row r="991" spans="34:51" ht="12.75" x14ac:dyDescent="0.2">
      <c r="AH991" s="23"/>
      <c r="AJ991" s="24"/>
      <c r="AW991" s="25"/>
      <c r="AX991" s="26"/>
      <c r="AY991" s="27"/>
    </row>
    <row r="992" spans="34:51" ht="12.75" x14ac:dyDescent="0.2">
      <c r="AH992" s="23"/>
      <c r="AJ992" s="24"/>
      <c r="AW992" s="25"/>
      <c r="AX992" s="26"/>
      <c r="AY992" s="27"/>
    </row>
    <row r="993" spans="34:51" ht="12.75" x14ac:dyDescent="0.2">
      <c r="AH993" s="23"/>
      <c r="AJ993" s="24"/>
      <c r="AW993" s="25"/>
      <c r="AX993" s="26"/>
      <c r="AY993" s="27"/>
    </row>
    <row r="994" spans="34:51" ht="12.75" x14ac:dyDescent="0.2">
      <c r="AH994" s="23"/>
      <c r="AJ994" s="24"/>
      <c r="AW994" s="25"/>
      <c r="AX994" s="26"/>
      <c r="AY994" s="27"/>
    </row>
    <row r="995" spans="34:51" ht="12.75" x14ac:dyDescent="0.2">
      <c r="AH995" s="23"/>
      <c r="AJ995" s="24"/>
      <c r="AW995" s="25"/>
      <c r="AX995" s="26"/>
      <c r="AY995" s="27"/>
    </row>
    <row r="996" spans="34:51" ht="12.75" x14ac:dyDescent="0.2">
      <c r="AH996" s="23"/>
      <c r="AJ996" s="24"/>
      <c r="AW996" s="25"/>
      <c r="AX996" s="26"/>
      <c r="AY996" s="27"/>
    </row>
    <row r="997" spans="34:51" ht="12.75" x14ac:dyDescent="0.2">
      <c r="AH997" s="23"/>
      <c r="AJ997" s="24"/>
      <c r="AW997" s="25"/>
      <c r="AX997" s="26"/>
      <c r="AY997" s="27"/>
    </row>
    <row r="998" spans="34:51" ht="12.75" x14ac:dyDescent="0.2">
      <c r="AH998" s="23"/>
      <c r="AJ998" s="24"/>
      <c r="AW998" s="25"/>
      <c r="AX998" s="26"/>
      <c r="AY998" s="27"/>
    </row>
    <row r="999" spans="34:51" ht="12.75" x14ac:dyDescent="0.2">
      <c r="AH999" s="23"/>
      <c r="AJ999" s="24"/>
      <c r="AW999" s="25"/>
      <c r="AX999" s="26"/>
      <c r="AY999" s="27"/>
    </row>
    <row r="1000" spans="34:51" ht="12.75" x14ac:dyDescent="0.2">
      <c r="AH1000" s="23"/>
      <c r="AJ1000" s="24"/>
      <c r="AW1000" s="25"/>
      <c r="AX1000" s="26"/>
      <c r="AY1000" s="27"/>
    </row>
    <row r="1001" spans="34:51" ht="12.75" x14ac:dyDescent="0.2">
      <c r="AH1001" s="23"/>
      <c r="AJ1001" s="24"/>
      <c r="AW1001" s="25"/>
      <c r="AX1001" s="26"/>
      <c r="AY1001" s="27"/>
    </row>
  </sheetData>
  <mergeCells count="37">
    <mergeCell ref="E3:E4"/>
    <mergeCell ref="C3:C4"/>
    <mergeCell ref="K3:K4"/>
    <mergeCell ref="F3:F4"/>
    <mergeCell ref="O3:O4"/>
    <mergeCell ref="P3:P4"/>
    <mergeCell ref="Q3:Q4"/>
    <mergeCell ref="R3:R4"/>
    <mergeCell ref="S3:S4"/>
    <mergeCell ref="AY3:AY4"/>
    <mergeCell ref="AZ3:AZ4"/>
    <mergeCell ref="A1:R1"/>
    <mergeCell ref="S1:AZ1"/>
    <mergeCell ref="A2:R2"/>
    <mergeCell ref="S2:AZ2"/>
    <mergeCell ref="A3:A4"/>
    <mergeCell ref="B3:B4"/>
    <mergeCell ref="D3:D4"/>
    <mergeCell ref="G3:G4"/>
    <mergeCell ref="H3:H4"/>
    <mergeCell ref="I3:I4"/>
    <mergeCell ref="J3:J4"/>
    <mergeCell ref="L3:L4"/>
    <mergeCell ref="M3:M4"/>
    <mergeCell ref="N3:N4"/>
    <mergeCell ref="AK3:AK4"/>
    <mergeCell ref="AL3:AU3"/>
    <mergeCell ref="AV3:AV4"/>
    <mergeCell ref="AW3:AW4"/>
    <mergeCell ref="AX3:AX4"/>
    <mergeCell ref="T3:T4"/>
    <mergeCell ref="U3:AE3"/>
    <mergeCell ref="AH3:AH4"/>
    <mergeCell ref="AI3:AI4"/>
    <mergeCell ref="AJ3:AJ4"/>
    <mergeCell ref="AF3:AF4"/>
    <mergeCell ref="AG3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DPR_OEE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Lokeshwara Rao M</cp:lastModifiedBy>
  <dcterms:modified xsi:type="dcterms:W3CDTF">2026-08-13T11:08:27Z</dcterms:modified>
</cp:coreProperties>
</file>