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PR_OE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PATIL RAIL INFRASTRUCTURE PVT. LTD.</t>
        </is>
      </c>
    </row>
    <row r="2">
      <c r="A2" t="inlineStr">
        <is>
          <t>DAILY PRODUCTION REPORT WITH OEE</t>
        </is>
      </c>
    </row>
    <row r="3">
      <c r="A3" t="inlineStr">
        <is>
          <t>S.No.</t>
        </is>
      </c>
      <c r="B3" t="inlineStr">
        <is>
          <t>Date</t>
        </is>
      </c>
      <c r="C3" t="inlineStr">
        <is>
          <t>Shift</t>
        </is>
      </c>
      <c r="D3" t="inlineStr">
        <is>
          <t>Machine Name/No.</t>
        </is>
      </c>
      <c r="E3" t="inlineStr">
        <is>
          <t>Start Time</t>
        </is>
      </c>
      <c r="F3" t="inlineStr">
        <is>
          <t>Stop Time</t>
        </is>
      </c>
      <c r="G3" t="inlineStr">
        <is>
          <t>Shift Time (Minutes)</t>
        </is>
      </c>
      <c r="H3" t="inlineStr">
        <is>
          <t>Operator Name</t>
        </is>
      </c>
      <c r="I3" t="inlineStr">
        <is>
          <t xml:space="preserve">Part Name </t>
        </is>
      </c>
      <c r="J3" t="inlineStr">
        <is>
          <t>Part No.</t>
        </is>
      </c>
      <c r="K3" t="inlineStr">
        <is>
          <t>Cavity</t>
        </is>
      </c>
      <c r="L3" t="inlineStr">
        <is>
          <t>Cycle Time (Sec.)</t>
        </is>
      </c>
      <c r="M3" t="inlineStr">
        <is>
          <t>Target Qty./Hr. (Pcs.)</t>
        </is>
      </c>
      <c r="N3" t="inlineStr">
        <is>
          <t>Prod. Qty. (Pcs.)</t>
        </is>
      </c>
      <c r="O3" t="inlineStr">
        <is>
          <t>Planned Down Time (Tea/Lunch)</t>
        </is>
      </c>
      <c r="P3" t="inlineStr">
        <is>
          <t>Available Time</t>
        </is>
      </c>
      <c r="Q3" t="inlineStr">
        <is>
          <t>Reason of Idle Time (Unplanned BD Time in Minutes)</t>
        </is>
      </c>
      <c r="AB3" t="inlineStr">
        <is>
          <t>Total Idle Time (Minutes)</t>
        </is>
      </c>
      <c r="AC3" t="inlineStr">
        <is>
          <t>Total Run Time (Minutes)</t>
        </is>
      </c>
      <c r="AD3" t="inlineStr">
        <is>
          <t>Availability Ratio (A)</t>
        </is>
      </c>
      <c r="AE3" t="inlineStr">
        <is>
          <t>Actual Qty./ Hr.</t>
        </is>
      </c>
      <c r="AF3" t="inlineStr">
        <is>
          <t>Operator Efficiency (Performance Ratio) - (P)</t>
        </is>
      </c>
      <c r="AG3" t="inlineStr">
        <is>
          <t>Machine Efficiency (Machine Utilisation)</t>
        </is>
      </c>
      <c r="AH3" t="inlineStr">
        <is>
          <t>Reason of  Rejection (Qty. in Pcs.)</t>
        </is>
      </c>
      <c r="AR3" t="inlineStr">
        <is>
          <t>Total Rejection (Pcs Qty.)</t>
        </is>
      </c>
      <c r="AS3" t="inlineStr">
        <is>
          <t>Rejection PPM</t>
        </is>
      </c>
      <c r="AT3" t="inlineStr">
        <is>
          <t>Quantity Ratio (Q)</t>
        </is>
      </c>
      <c r="AU3" t="inlineStr">
        <is>
          <t>OEE (A*P*Q)</t>
        </is>
      </c>
      <c r="AV3" t="inlineStr">
        <is>
          <t>Any Other Remarks</t>
        </is>
      </c>
    </row>
    <row r="4">
      <c r="Q4" t="inlineStr">
        <is>
          <t>1. Manpower Shortage</t>
        </is>
      </c>
      <c r="R4" t="inlineStr">
        <is>
          <t>2. Mould Trial</t>
        </is>
      </c>
      <c r="S4" t="inlineStr">
        <is>
          <t>3. Bin Shortage</t>
        </is>
      </c>
      <c r="T4" t="inlineStr">
        <is>
          <t>4. Material Shortage</t>
        </is>
      </c>
      <c r="U4" t="inlineStr">
        <is>
          <t>5. M/c Under BD</t>
        </is>
      </c>
      <c r="V4" t="inlineStr">
        <is>
          <t>6. Nozzle Block</t>
        </is>
      </c>
      <c r="W4" t="inlineStr">
        <is>
          <t>7. Mould Problem</t>
        </is>
      </c>
      <c r="X4" t="inlineStr">
        <is>
          <t>8. Crystal/ Insert Shortage</t>
        </is>
      </c>
      <c r="Y4" t="inlineStr">
        <is>
          <t>9. Power Failure</t>
        </is>
      </c>
      <c r="Z4" t="inlineStr">
        <is>
          <t>10. Process Setting</t>
        </is>
      </c>
      <c r="AA4" t="inlineStr">
        <is>
          <t>11. Others</t>
        </is>
      </c>
      <c r="AH4" t="inlineStr">
        <is>
          <t>A. Reason</t>
        </is>
      </c>
      <c r="AI4" t="inlineStr">
        <is>
          <t>B. Reason</t>
        </is>
      </c>
      <c r="AJ4" t="inlineStr">
        <is>
          <t>C. Reason</t>
        </is>
      </c>
      <c r="AK4" t="inlineStr">
        <is>
          <t>D. Reason</t>
        </is>
      </c>
      <c r="AL4" t="inlineStr">
        <is>
          <t>E. Reason</t>
        </is>
      </c>
      <c r="AM4" t="inlineStr">
        <is>
          <t>F. Reason</t>
        </is>
      </c>
      <c r="AN4" t="inlineStr">
        <is>
          <t>G. Reason</t>
        </is>
      </c>
      <c r="AO4" t="inlineStr">
        <is>
          <t>H. Reason</t>
        </is>
      </c>
      <c r="AP4" t="inlineStr">
        <is>
          <t>I. Reason</t>
        </is>
      </c>
      <c r="AQ4" t="inlineStr">
        <is>
          <t>J. Reason</t>
        </is>
      </c>
    </row>
    <row r="5">
      <c r="B5" s="1" t="n">
        <v>46242</v>
      </c>
      <c r="C5" t="inlineStr">
        <is>
          <t>A</t>
        </is>
      </c>
      <c r="D5" t="inlineStr">
        <is>
          <t>M001</t>
        </is>
      </c>
      <c r="E5" s="2" t="n">
        <v>0.3541666666666667</v>
      </c>
      <c r="F5" s="2" t="n">
        <v>0.8541666666666666</v>
      </c>
      <c r="G5">
        <f>IFERROR((F5-E5)*24*60,"")</f>
        <v/>
      </c>
      <c r="H5" t="inlineStr">
        <is>
          <t>ABC</t>
        </is>
      </c>
      <c r="I5" t="inlineStr">
        <is>
          <t>RGP</t>
        </is>
      </c>
      <c r="J5" t="inlineStr">
        <is>
          <t>PD001</t>
        </is>
      </c>
      <c r="K5" t="n">
        <v>2</v>
      </c>
      <c r="L5" t="n">
        <v>60</v>
      </c>
      <c r="M5">
        <f>IFERROR(3600/(L5/K5),"")</f>
        <v/>
      </c>
      <c r="N5" t="n">
        <v>1200</v>
      </c>
      <c r="O5" t="n">
        <v>60</v>
      </c>
      <c r="U5" t="n">
        <v>20</v>
      </c>
      <c r="AH5" t="n">
        <v>1</v>
      </c>
      <c r="AI5" t="n">
        <v>2</v>
      </c>
      <c r="AJ5" t="n">
        <v>3</v>
      </c>
      <c r="AK5" t="n">
        <v>5</v>
      </c>
      <c r="AL5" t="n">
        <v>4</v>
      </c>
    </row>
    <row r="6">
      <c r="B6" s="1" t="n">
        <v>46242</v>
      </c>
      <c r="C6" t="inlineStr">
        <is>
          <t>A</t>
        </is>
      </c>
      <c r="D6" t="inlineStr">
        <is>
          <t>M001</t>
        </is>
      </c>
      <c r="E6" s="2" t="n">
        <v>0.3541666666666667</v>
      </c>
      <c r="F6" s="2" t="n">
        <v>0.8541666666666666</v>
      </c>
      <c r="G6">
        <f>IFERROR((F6-E6)*24*60,"")</f>
        <v/>
      </c>
      <c r="H6" t="inlineStr">
        <is>
          <t>ABC</t>
        </is>
      </c>
      <c r="I6" t="inlineStr">
        <is>
          <t>RGP</t>
        </is>
      </c>
      <c r="J6" t="inlineStr">
        <is>
          <t>PD001</t>
        </is>
      </c>
      <c r="K6" t="n">
        <v>2</v>
      </c>
      <c r="L6" t="n">
        <v>60</v>
      </c>
      <c r="M6">
        <f>IFERROR(3600/(L6/K6),"")</f>
        <v/>
      </c>
      <c r="N6" t="n">
        <v>1100</v>
      </c>
      <c r="O6" t="n">
        <v>30</v>
      </c>
      <c r="S6" t="n">
        <v>20</v>
      </c>
      <c r="AM6" t="n">
        <v>4</v>
      </c>
    </row>
    <row r="7">
      <c r="G7">
        <f>IFERROR((F7-E7)*24*60,"")</f>
        <v/>
      </c>
      <c r="M7">
        <f>IFERROR(3600/(L7/K7),"")</f>
        <v/>
      </c>
    </row>
    <row r="8">
      <c r="G8">
        <f>IFERROR((F8-E8)*24*60,"")</f>
        <v/>
      </c>
      <c r="M8">
        <f>IFERROR(3600/(L8/K8),"")</f>
        <v/>
      </c>
    </row>
    <row r="9">
      <c r="G9">
        <f>IFERROR((F9-E9)*24*60,"")</f>
        <v/>
      </c>
      <c r="M9">
        <f>IFERROR(3600/(L9/K9),"")</f>
        <v/>
      </c>
    </row>
    <row r="10">
      <c r="G10">
        <f>IFERROR((F10-E10)*24*60,"")</f>
        <v/>
      </c>
      <c r="M10">
        <f>IFERROR(3600/(L10/K10),"")</f>
        <v/>
      </c>
    </row>
    <row r="11">
      <c r="G11">
        <f>IFERROR((F11-E11)*24*60,"")</f>
        <v/>
      </c>
      <c r="M11">
        <f>IFERROR(3600/(L11/K11),"")</f>
        <v/>
      </c>
    </row>
    <row r="12">
      <c r="G12">
        <f>IFERROR((F12-E12)*24*60,"")</f>
        <v/>
      </c>
      <c r="M12">
        <f>IFERROR(3600/(L12/K12),"")</f>
        <v/>
      </c>
    </row>
    <row r="13">
      <c r="G13">
        <f>IFERROR((F13-E13)*24*60,"")</f>
        <v/>
      </c>
      <c r="M13">
        <f>IFERROR(3600/(L13/K13),"")</f>
        <v/>
      </c>
    </row>
    <row r="14">
      <c r="G14">
        <f>IFERROR((F14-E14)*24*60,"")</f>
        <v/>
      </c>
      <c r="M14">
        <f>IFERROR(3600/(L14/K14),"")</f>
        <v/>
      </c>
    </row>
    <row r="15">
      <c r="G15">
        <f>IFERROR((F15-E15)*24*60,"")</f>
        <v/>
      </c>
      <c r="M15">
        <f>IFERROR(3600/(L15/K15),"")</f>
        <v/>
      </c>
    </row>
    <row r="16">
      <c r="G16">
        <f>IFERROR((F16-E16)*24*60,"")</f>
        <v/>
      </c>
      <c r="M16">
        <f>IFERROR(3600/(L16/K16),"")</f>
        <v/>
      </c>
    </row>
    <row r="17">
      <c r="G17">
        <f>IFERROR((F17-E17)*24*60,"")</f>
        <v/>
      </c>
      <c r="M17">
        <f>IFERROR(3600/(L17/K17),"")</f>
        <v/>
      </c>
    </row>
    <row r="18">
      <c r="G18">
        <f>IFERROR((F18-E18)*24*60,"")</f>
        <v/>
      </c>
      <c r="M18">
        <f>IFERROR(3600/(L18/K18),"")</f>
        <v/>
      </c>
    </row>
    <row r="19">
      <c r="G19">
        <f>IFERROR((F19-E19)*24*60,"")</f>
        <v/>
      </c>
      <c r="M19">
        <f>IFERROR(3600/(L19/K19),"")</f>
        <v/>
      </c>
    </row>
    <row r="20">
      <c r="G20">
        <f>IFERROR((F20-E20)*24*60,"")</f>
        <v/>
      </c>
      <c r="M20">
        <f>IFERROR(3600/(L20/K20),"")</f>
        <v/>
      </c>
    </row>
    <row r="21">
      <c r="G21">
        <f>IFERROR((F21-E21)*24*60,"")</f>
        <v/>
      </c>
      <c r="M21">
        <f>IFERROR(3600/(L21/K21),"")</f>
        <v/>
      </c>
    </row>
    <row r="22">
      <c r="G22">
        <f>IFERROR((F22-E22)*24*60,"")</f>
        <v/>
      </c>
      <c r="M22">
        <f>IFERROR(3600/(L22/K22),"")</f>
        <v/>
      </c>
    </row>
    <row r="23">
      <c r="G23">
        <f>IFERROR((F23-E23)*24*60,"")</f>
        <v/>
      </c>
      <c r="M23">
        <f>IFERROR(3600/(L23/K23),"")</f>
        <v/>
      </c>
    </row>
    <row r="24">
      <c r="G24">
        <f>IFERROR((F24-E24)*24*60,"")</f>
        <v/>
      </c>
      <c r="M24">
        <f>IFERROR(3600/(L24/K24),"")</f>
        <v/>
      </c>
    </row>
    <row r="25">
      <c r="G25">
        <f>IFERROR((F25-E25)*24*60,"")</f>
        <v/>
      </c>
      <c r="M25">
        <f>IFERROR(3600/(L25/K25),"")</f>
        <v/>
      </c>
    </row>
    <row r="26">
      <c r="G26">
        <f>IFERROR((F26-E26)*24*60,"")</f>
        <v/>
      </c>
      <c r="M26">
        <f>IFERROR(3600/(L26/K26),"")</f>
        <v/>
      </c>
    </row>
    <row r="27">
      <c r="G27">
        <f>IFERROR((F27-E27)*24*60,"")</f>
        <v/>
      </c>
      <c r="M27">
        <f>IFERROR(3600/(L27/K27),"")</f>
        <v/>
      </c>
    </row>
    <row r="28">
      <c r="G28">
        <f>IFERROR((F28-E28)*24*60,"")</f>
        <v/>
      </c>
      <c r="M28">
        <f>IFERROR(3600/(L28/K28),"")</f>
        <v/>
      </c>
    </row>
    <row r="29">
      <c r="G29">
        <f>IFERROR((F29-E29)*24*60,"")</f>
        <v/>
      </c>
      <c r="M29">
        <f>IFERROR(3600/(L29/K29),"")</f>
        <v/>
      </c>
    </row>
    <row r="30">
      <c r="G30">
        <f>IFERROR((F30-E30)*24*60,"")</f>
        <v/>
      </c>
      <c r="M30">
        <f>IFERROR(3600/(L30/K30),"")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2026-08-24T06:01:12Z</dcterms:created>
  <dcterms:modified xsi:type="dcterms:W3CDTF">2026-08-24T06:01:12Z</dcterms:modified>
</cp:coreProperties>
</file>