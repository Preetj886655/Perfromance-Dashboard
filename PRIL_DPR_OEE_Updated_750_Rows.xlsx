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DPR_OEE" sheetId="2" state="visible" r:id="rId4"/>
  </sheets>
  <definedNames>
    <definedName function="false" hidden="true" localSheetId="1" name="_xlnm._FilterDatabase" vbProcedure="false">DPR_OEE!$A$3:$AZ$754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<sst xmlns="http://schemas.openxmlformats.org/spreadsheetml/2006/main" count="6639" uniqueCount="109">
  <si>
    <t xml:space="preserve">OEE Production Dashboard</t>
  </si>
  <si>
    <t xml:space="preserve">Records</t>
  </si>
  <si>
    <t xml:space="preserve">Average OEE</t>
  </si>
  <si>
    <t xml:space="preserve">Total Production</t>
  </si>
  <si>
    <t xml:space="preserve">Avg Availability</t>
  </si>
  <si>
    <t xml:space="preserve">Avg Performance</t>
  </si>
  <si>
    <t xml:space="preserve">Total Rejection</t>
  </si>
  <si>
    <t xml:space="preserve">Machine</t>
  </si>
  <si>
    <t xml:space="preserve">M001</t>
  </si>
  <si>
    <t xml:space="preserve">M002</t>
  </si>
  <si>
    <t xml:space="preserve">M003</t>
  </si>
  <si>
    <t xml:space="preserve">M004</t>
  </si>
  <si>
    <t xml:space="preserve">M005</t>
  </si>
  <si>
    <t xml:space="preserve">M006</t>
  </si>
  <si>
    <t xml:space="preserve">Date</t>
  </si>
  <si>
    <t xml:space="preserve">Production Qty</t>
  </si>
  <si>
    <t xml:space="preserve">PATIL RAIL INFRASTRUCTURE PVT. LTD.</t>
  </si>
  <si>
    <t xml:space="preserve">DAILY PRODUCTION REPORT WITH OEE</t>
  </si>
  <si>
    <t xml:space="preserve">S.No.</t>
  </si>
  <si>
    <t xml:space="preserve">Production Hour</t>
  </si>
  <si>
    <t xml:space="preserve">Shift</t>
  </si>
  <si>
    <t xml:space="preserve">Machine Name</t>
  </si>
  <si>
    <t xml:space="preserve">Material Name</t>
  </si>
  <si>
    <t xml:space="preserve">Machine No.</t>
  </si>
  <si>
    <t xml:space="preserve">Start Time</t>
  </si>
  <si>
    <t xml:space="preserve">Stop Time</t>
  </si>
  <si>
    <t xml:space="preserve">Shift Time (Minutes)</t>
  </si>
  <si>
    <t xml:space="preserve">Shift Incharge</t>
  </si>
  <si>
    <t xml:space="preserve">Operator Name</t>
  </si>
  <si>
    <t xml:space="preserve">Part Name </t>
  </si>
  <si>
    <t xml:space="preserve">Part No.</t>
  </si>
  <si>
    <t xml:space="preserve">Cavity</t>
  </si>
  <si>
    <t xml:space="preserve">Cycle Time (Sec.)</t>
  </si>
  <si>
    <t xml:space="preserve">Target Qty./Hr. (Pcs.)</t>
  </si>
  <si>
    <t xml:space="preserve">Actual Production Qty.</t>
  </si>
  <si>
    <t xml:space="preserve">Planned Down Time (Tea/Lunch)</t>
  </si>
  <si>
    <t xml:space="preserve">Available Time</t>
  </si>
  <si>
    <t xml:space="preserve">Reason of Idle Time (Unplanned BD Time in Minutes)</t>
  </si>
  <si>
    <t xml:space="preserve">Total Idle Time (Minutes)</t>
  </si>
  <si>
    <t xml:space="preserve">Total Run Time (Minutes)</t>
  </si>
  <si>
    <t xml:space="preserve">Availability Ratio (A)</t>
  </si>
  <si>
    <t xml:space="preserve">Actual Qty./ Hr.</t>
  </si>
  <si>
    <t xml:space="preserve">Operator Efficiency (Performance Ratio) - (P)</t>
  </si>
  <si>
    <t xml:space="preserve">Machine Efficiency (Machine Utilisation)</t>
  </si>
  <si>
    <t xml:space="preserve">Reason of  Rejection (Qty. in Pcs.)</t>
  </si>
  <si>
    <t xml:space="preserve">Total Rejection (Pcs Qty.)</t>
  </si>
  <si>
    <t xml:space="preserve">Rejection PPM</t>
  </si>
  <si>
    <t xml:space="preserve">Quantity Ratio (Q)</t>
  </si>
  <si>
    <t xml:space="preserve">OEE (A*P*Q)</t>
  </si>
  <si>
    <t xml:space="preserve">Any Other Remarks</t>
  </si>
  <si>
    <t xml:space="preserve">1.Manpower Shortage</t>
  </si>
  <si>
    <t xml:space="preserve">2. Mould Trial</t>
  </si>
  <si>
    <t xml:space="preserve">3. Bin Shortage</t>
  </si>
  <si>
    <t xml:space="preserve">4. Material Shortage</t>
  </si>
  <si>
    <t xml:space="preserve">5. M/c Under BD</t>
  </si>
  <si>
    <t xml:space="preserve">6. Nozzle Block</t>
  </si>
  <si>
    <t xml:space="preserve">7. Mould Problem</t>
  </si>
  <si>
    <t xml:space="preserve">8. Crystal/ Insert Shortage</t>
  </si>
  <si>
    <t xml:space="preserve">9. Power Failure</t>
  </si>
  <si>
    <t xml:space="preserve">10. Process Setting </t>
  </si>
  <si>
    <t xml:space="preserve">11. Others</t>
  </si>
  <si>
    <t xml:space="preserve">A. Short Moulding</t>
  </si>
  <si>
    <t xml:space="preserve">B. Shrinkage Mark</t>
  </si>
  <si>
    <t xml:space="preserve">C. Silver Streak</t>
  </si>
  <si>
    <t xml:space="preserve">D. Flow Mark</t>
  </si>
  <si>
    <t xml:space="preserve">E. Weld Line</t>
  </si>
  <si>
    <t xml:space="preserve">F. Dent Mark</t>
  </si>
  <si>
    <t xml:space="preserve">G. Power Cut</t>
  </si>
  <si>
    <t xml:space="preserve">H. Black Marks</t>
  </si>
  <si>
    <t xml:space="preserve">I. Crack Marks</t>
  </si>
  <si>
    <t xml:space="preserve">J. Others</t>
  </si>
  <si>
    <t xml:space="preserve">A</t>
  </si>
  <si>
    <t xml:space="preserve">Injection Moulding 1</t>
  </si>
  <si>
    <t xml:space="preserve">PP Natural</t>
  </si>
  <si>
    <t xml:space="preserve">IC-02</t>
  </si>
  <si>
    <t xml:space="preserve">JKL</t>
  </si>
  <si>
    <t xml:space="preserve">RGP</t>
  </si>
  <si>
    <t xml:space="preserve">PD001</t>
  </si>
  <si>
    <t xml:space="preserve">Normal run</t>
  </si>
  <si>
    <t xml:space="preserve">B</t>
  </si>
  <si>
    <t xml:space="preserve">Injection Moulding 2</t>
  </si>
  <si>
    <t xml:space="preserve">PP Black</t>
  </si>
  <si>
    <t xml:space="preserve">IC-03</t>
  </si>
  <si>
    <t xml:space="preserve">GHI</t>
  </si>
  <si>
    <t xml:space="preserve">Cap</t>
  </si>
  <si>
    <t xml:space="preserve">PD006</t>
  </si>
  <si>
    <t xml:space="preserve">Minor setup loss</t>
  </si>
  <si>
    <t xml:space="preserve">C</t>
  </si>
  <si>
    <t xml:space="preserve">Injection Moulding 3</t>
  </si>
  <si>
    <t xml:space="preserve">IC-04</t>
  </si>
  <si>
    <t xml:space="preserve">ABC</t>
  </si>
  <si>
    <t xml:space="preserve">Base</t>
  </si>
  <si>
    <t xml:space="preserve">PD005</t>
  </si>
  <si>
    <t xml:space="preserve">Material changeover</t>
  </si>
  <si>
    <t xml:space="preserve">Injection Moulding 4</t>
  </si>
  <si>
    <t xml:space="preserve">Bracket</t>
  </si>
  <si>
    <t xml:space="preserve">PD004</t>
  </si>
  <si>
    <t xml:space="preserve">Injection Moulding 5</t>
  </si>
  <si>
    <t xml:space="preserve">MNO</t>
  </si>
  <si>
    <t xml:space="preserve">Handle</t>
  </si>
  <si>
    <t xml:space="preserve">PD003</t>
  </si>
  <si>
    <t xml:space="preserve">Injection Moulding 6</t>
  </si>
  <si>
    <t xml:space="preserve">VWX</t>
  </si>
  <si>
    <t xml:space="preserve">Cover</t>
  </si>
  <si>
    <t xml:space="preserve">PD002</t>
  </si>
  <si>
    <t xml:space="preserve">IC-01</t>
  </si>
  <si>
    <t xml:space="preserve">PQR</t>
  </si>
  <si>
    <t xml:space="preserve">DEF</t>
  </si>
  <si>
    <t xml:space="preserve">STU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</si>
</sst>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yyyy\-mm\-dd"/>
    <numFmt numFmtId="167" formatCode="0%"/>
    <numFmt numFmtId="168" formatCode="dd\-mm\-yyyy"/>
    <numFmt numFmtId="169" formatCode="h:mm"/>
    <numFmt numFmtId="170" formatCode="0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8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  <font>
      <b val="true"/>
      <sz val="18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B9BD5"/>
        <bgColor rgb="FF6D9EEB"/>
      </patternFill>
    </fill>
    <fill>
      <patternFill patternType="solid">
        <fgColor rgb="FFD9EAF7"/>
        <bgColor rgb="FFC9DAF8"/>
      </patternFill>
    </fill>
    <fill>
      <patternFill patternType="solid">
        <fgColor rgb="FF4472C4"/>
        <bgColor rgb="FF4285F4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5B9BD5"/>
      </patternFill>
    </fill>
    <fill>
      <patternFill patternType="solid">
        <fgColor rgb="FFB7B7B7"/>
        <bgColor rgb="FFB6D7A8"/>
      </patternFill>
    </fill>
    <fill>
      <patternFill patternType="solid">
        <fgColor rgb="FFD9D9D9"/>
        <bgColor rgb="FFEAD1DC"/>
      </patternFill>
    </fill>
    <fill>
      <patternFill patternType="solid">
        <fgColor rgb="FFC9DAF8"/>
        <bgColor rgb="FFD9D9D9"/>
      </patternFill>
    </fill>
    <fill>
      <patternFill patternType="solid">
        <fgColor rgb="FFEAD1DC"/>
        <bgColor rgb="FFD9D9D9"/>
      </patternFill>
    </fill>
    <fill>
      <patternFill patternType="solid">
        <fgColor rgb="FFFCE5CD"/>
        <bgColor rgb="FFFFF2CC"/>
      </patternFill>
    </fill>
    <fill>
      <patternFill patternType="solid">
        <fgColor rgb="FFB6D7A8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CE5CD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1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1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96">
    <dxf>
      <fill>
        <patternFill patternType="solid">
          <fgColor rgb="FFB7B7B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9DAF8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B6D7A8"/>
          <bgColor rgb="FF000000"/>
        </patternFill>
      </fill>
    </dxf>
    <dxf>
      <fill>
        <patternFill patternType="solid">
          <fgColor rgb="FF00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4BF7C"/>
          <bgColor rgb="FF000000"/>
        </patternFill>
      </fill>
    </dxf>
    <dxf>
      <fill>
        <patternFill patternType="solid">
          <fgColor rgb="FF67C07C"/>
          <bgColor rgb="FF000000"/>
        </patternFill>
      </fill>
    </dxf>
    <dxf>
      <fill>
        <patternFill patternType="solid">
          <fgColor rgb="FF6BC17C"/>
          <bgColor rgb="FF000000"/>
        </patternFill>
      </fill>
    </dxf>
    <dxf>
      <fill>
        <patternFill patternType="solid">
          <fgColor rgb="FF6CC17C"/>
          <bgColor rgb="FF000000"/>
        </patternFill>
      </fill>
    </dxf>
    <dxf>
      <fill>
        <patternFill patternType="solid">
          <fgColor rgb="FF6DC17C"/>
          <bgColor rgb="FF000000"/>
        </patternFill>
      </fill>
    </dxf>
    <dxf>
      <fill>
        <patternFill patternType="solid">
          <fgColor rgb="FF6FC27C"/>
          <bgColor rgb="FF000000"/>
        </patternFill>
      </fill>
    </dxf>
    <dxf>
      <fill>
        <patternFill patternType="solid">
          <fgColor rgb="FF70C27C"/>
          <bgColor rgb="FF000000"/>
        </patternFill>
      </fill>
    </dxf>
    <dxf>
      <fill>
        <patternFill patternType="solid">
          <fgColor rgb="FF71C27C"/>
          <bgColor rgb="FF000000"/>
        </patternFill>
      </fill>
    </dxf>
    <dxf>
      <fill>
        <patternFill patternType="solid">
          <fgColor rgb="FF73C37C"/>
          <bgColor rgb="FF000000"/>
        </patternFill>
      </fill>
    </dxf>
    <dxf>
      <fill>
        <patternFill patternType="solid">
          <fgColor rgb="FF74C37C"/>
          <bgColor rgb="FF000000"/>
        </patternFill>
      </fill>
    </dxf>
    <dxf>
      <fill>
        <patternFill patternType="solid">
          <fgColor rgb="FF75C37C"/>
          <bgColor rgb="FF000000"/>
        </patternFill>
      </fill>
    </dxf>
    <dxf>
      <fill>
        <patternFill patternType="solid">
          <fgColor rgb="FF76C47D"/>
          <bgColor rgb="FF000000"/>
        </patternFill>
      </fill>
    </dxf>
    <dxf>
      <fill>
        <patternFill patternType="solid">
          <fgColor rgb="FF77C47D"/>
          <bgColor rgb="FF000000"/>
        </patternFill>
      </fill>
    </dxf>
    <dxf>
      <fill>
        <patternFill patternType="solid">
          <fgColor rgb="FF78C47D"/>
          <bgColor rgb="FF000000"/>
        </patternFill>
      </fill>
    </dxf>
    <dxf>
      <fill>
        <patternFill patternType="solid">
          <fgColor rgb="FF78C57D"/>
          <bgColor rgb="FF000000"/>
        </patternFill>
      </fill>
    </dxf>
    <dxf>
      <fill>
        <patternFill patternType="solid">
          <fgColor rgb="FF79C57D"/>
          <bgColor rgb="FF000000"/>
        </patternFill>
      </fill>
    </dxf>
    <dxf>
      <fill>
        <patternFill patternType="solid">
          <fgColor rgb="FF7BC57D"/>
          <bgColor rgb="FF000000"/>
        </patternFill>
      </fill>
    </dxf>
    <dxf>
      <fill>
        <patternFill patternType="solid">
          <fgColor rgb="FF7CC67D"/>
          <bgColor rgb="FF000000"/>
        </patternFill>
      </fill>
    </dxf>
    <dxf>
      <fill>
        <patternFill patternType="solid">
          <fgColor rgb="FF7DC67D"/>
          <bgColor rgb="FF000000"/>
        </patternFill>
      </fill>
    </dxf>
    <dxf>
      <fill>
        <patternFill patternType="solid">
          <fgColor rgb="FF7EC67D"/>
          <bgColor rgb="FF000000"/>
        </patternFill>
      </fill>
    </dxf>
    <dxf>
      <fill>
        <patternFill patternType="solid">
          <fgColor rgb="FF80C77D"/>
          <bgColor rgb="FF000000"/>
        </patternFill>
      </fill>
    </dxf>
    <dxf>
      <fill>
        <patternFill patternType="solid">
          <fgColor rgb="FF81C77D"/>
          <bgColor rgb="FF000000"/>
        </patternFill>
      </fill>
    </dxf>
    <dxf>
      <fill>
        <patternFill patternType="solid">
          <fgColor rgb="FF83C87D"/>
          <bgColor rgb="FF000000"/>
        </patternFill>
      </fill>
    </dxf>
    <dxf>
      <fill>
        <patternFill patternType="solid">
          <fgColor rgb="FF84C87D"/>
          <bgColor rgb="FF000000"/>
        </patternFill>
      </fill>
    </dxf>
    <dxf>
      <fill>
        <patternFill patternType="solid">
          <fgColor rgb="FF86C87D"/>
          <bgColor rgb="FF000000"/>
        </patternFill>
      </fill>
    </dxf>
    <dxf>
      <fill>
        <patternFill patternType="solid">
          <fgColor rgb="FF86C97E"/>
          <bgColor rgb="FF000000"/>
        </patternFill>
      </fill>
    </dxf>
    <dxf>
      <fill>
        <patternFill patternType="solid">
          <fgColor rgb="FF87C97E"/>
          <bgColor rgb="FF000000"/>
        </patternFill>
      </fill>
    </dxf>
    <dxf>
      <fill>
        <patternFill patternType="solid">
          <fgColor rgb="FF88C97E"/>
          <bgColor rgb="FF000000"/>
        </patternFill>
      </fill>
    </dxf>
    <dxf>
      <fill>
        <patternFill patternType="solid">
          <fgColor rgb="FF8ACA7E"/>
          <bgColor rgb="FF000000"/>
        </patternFill>
      </fill>
    </dxf>
    <dxf>
      <fill>
        <patternFill patternType="solid">
          <fgColor rgb="FF8CCA7E"/>
          <bgColor rgb="FF000000"/>
        </patternFill>
      </fill>
    </dxf>
    <dxf>
      <fill>
        <patternFill patternType="solid">
          <fgColor rgb="FF8ECB7E"/>
          <bgColor rgb="FF000000"/>
        </patternFill>
      </fill>
    </dxf>
    <dxf>
      <fill>
        <patternFill patternType="solid">
          <fgColor rgb="FF8FCB7E"/>
          <bgColor rgb="FF000000"/>
        </patternFill>
      </fill>
    </dxf>
    <dxf>
      <fill>
        <patternFill patternType="solid">
          <fgColor rgb="FF90CB7E"/>
          <bgColor rgb="FF000000"/>
        </patternFill>
      </fill>
    </dxf>
    <dxf>
      <fill>
        <patternFill patternType="solid">
          <fgColor rgb="FF91CC7E"/>
          <bgColor rgb="FF000000"/>
        </patternFill>
      </fill>
    </dxf>
    <dxf>
      <fill>
        <patternFill patternType="solid">
          <fgColor rgb="FF92CC7E"/>
          <bgColor rgb="FF000000"/>
        </patternFill>
      </fill>
    </dxf>
    <dxf>
      <fill>
        <patternFill patternType="solid">
          <fgColor rgb="FF93CC7E"/>
          <bgColor rgb="FF000000"/>
        </patternFill>
      </fill>
    </dxf>
    <dxf>
      <fill>
        <patternFill patternType="solid">
          <fgColor rgb="FF94CC7E"/>
          <bgColor rgb="FF000000"/>
        </patternFill>
      </fill>
    </dxf>
    <dxf>
      <fill>
        <patternFill patternType="solid">
          <fgColor rgb="FF94CD7E"/>
          <bgColor rgb="FF000000"/>
        </patternFill>
      </fill>
    </dxf>
    <dxf>
      <fill>
        <patternFill patternType="solid">
          <fgColor rgb="FF95CD7E"/>
          <bgColor rgb="FF000000"/>
        </patternFill>
      </fill>
    </dxf>
    <dxf>
      <fill>
        <patternFill patternType="solid">
          <fgColor rgb="FF96CD7E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98CE7F"/>
          <bgColor rgb="FF000000"/>
        </patternFill>
      </fill>
    </dxf>
    <dxf>
      <fill>
        <patternFill patternType="solid">
          <fgColor rgb="FF99CE7F"/>
          <bgColor rgb="FF000000"/>
        </patternFill>
      </fill>
    </dxf>
    <dxf>
      <fill>
        <patternFill patternType="solid">
          <fgColor rgb="FF9BCE7F"/>
          <bgColor rgb="FF000000"/>
        </patternFill>
      </fill>
    </dxf>
    <dxf>
      <fill>
        <patternFill patternType="solid">
          <fgColor rgb="FF9CCF7F"/>
          <bgColor rgb="FF000000"/>
        </patternFill>
      </fill>
    </dxf>
    <dxf>
      <fill>
        <patternFill patternType="solid">
          <fgColor rgb="FF9DCF7F"/>
          <bgColor rgb="FF000000"/>
        </patternFill>
      </fill>
    </dxf>
    <dxf>
      <fill>
        <patternFill patternType="solid">
          <fgColor rgb="FF9ECF7F"/>
          <bgColor rgb="FF000000"/>
        </patternFill>
      </fill>
    </dxf>
    <dxf>
      <fill>
        <patternFill patternType="solid">
          <fgColor rgb="FF9FD07F"/>
          <bgColor rgb="FF000000"/>
        </patternFill>
      </fill>
    </dxf>
    <dxf>
      <fill>
        <patternFill patternType="solid">
          <fgColor rgb="FFA0D07F"/>
          <bgColor rgb="FF000000"/>
        </patternFill>
      </fill>
    </dxf>
    <dxf>
      <fill>
        <patternFill patternType="solid">
          <fgColor rgb="FFA1D07F"/>
          <bgColor rgb="FF000000"/>
        </patternFill>
      </fill>
    </dxf>
    <dxf>
      <fill>
        <patternFill patternType="solid">
          <fgColor rgb="FFA2D07F"/>
          <bgColor rgb="FF000000"/>
        </patternFill>
      </fill>
    </dxf>
    <dxf>
      <fill>
        <patternFill patternType="solid">
          <fgColor rgb="FFA2D17F"/>
          <bgColor rgb="FF000000"/>
        </patternFill>
      </fill>
    </dxf>
    <dxf>
      <fill>
        <patternFill patternType="solid">
          <fgColor rgb="FFA3D17F"/>
          <bgColor rgb="FF000000"/>
        </patternFill>
      </fill>
    </dxf>
    <dxf>
      <fill>
        <patternFill patternType="solid">
          <fgColor rgb="FFA4D17F"/>
          <bgColor rgb="FF000000"/>
        </patternFill>
      </fill>
    </dxf>
    <dxf>
      <fill>
        <patternFill patternType="solid">
          <fgColor rgb="FFA5D17F"/>
          <bgColor rgb="FF000000"/>
        </patternFill>
      </fill>
    </dxf>
    <dxf>
      <fill>
        <patternFill patternType="solid">
          <fgColor rgb="FFA5D27F"/>
          <bgColor rgb="FF000000"/>
        </patternFill>
      </fill>
    </dxf>
    <dxf>
      <fill>
        <patternFill patternType="solid">
          <fgColor rgb="FFA6D27F"/>
          <bgColor rgb="FF000000"/>
        </patternFill>
      </fill>
    </dxf>
    <dxf>
      <fill>
        <patternFill patternType="solid">
          <fgColor rgb="FFA7D27F"/>
          <bgColor rgb="FF000000"/>
        </patternFill>
      </fill>
    </dxf>
    <dxf>
      <fill>
        <patternFill patternType="solid">
          <fgColor rgb="FFA8D27F"/>
          <bgColor rgb="FF000000"/>
        </patternFill>
      </fill>
    </dxf>
    <dxf>
      <fill>
        <patternFill patternType="solid">
          <fgColor rgb="FFA9D380"/>
          <bgColor rgb="FF000000"/>
        </patternFill>
      </fill>
    </dxf>
    <dxf>
      <fill>
        <patternFill patternType="solid">
          <fgColor rgb="FFAAD380"/>
          <bgColor rgb="FF000000"/>
        </patternFill>
      </fill>
    </dxf>
    <dxf>
      <fill>
        <patternFill patternType="solid">
          <fgColor rgb="FFABD380"/>
          <bgColor rgb="FF000000"/>
        </patternFill>
      </fill>
    </dxf>
    <dxf>
      <fill>
        <patternFill patternType="solid">
          <fgColor rgb="FFACD380"/>
          <bgColor rgb="FF000000"/>
        </patternFill>
      </fill>
    </dxf>
    <dxf>
      <fill>
        <patternFill patternType="solid">
          <fgColor rgb="FFADD480"/>
          <bgColor rgb="FF000000"/>
        </patternFill>
      </fill>
    </dxf>
    <dxf>
      <fill>
        <patternFill patternType="solid">
          <fgColor rgb="FFAED480"/>
          <bgColor rgb="FF000000"/>
        </patternFill>
      </fill>
    </dxf>
    <dxf>
      <fill>
        <patternFill patternType="solid">
          <fgColor rgb="FFAFD480"/>
          <bgColor rgb="FF000000"/>
        </patternFill>
      </fill>
    </dxf>
    <dxf>
      <fill>
        <patternFill patternType="solid">
          <fgColor rgb="FFB0D580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B2D580"/>
          <bgColor rgb="FF000000"/>
        </patternFill>
      </fill>
    </dxf>
    <dxf>
      <fill>
        <patternFill patternType="solid">
          <fgColor rgb="FFB3D580"/>
          <bgColor rgb="FF000000"/>
        </patternFill>
      </fill>
    </dxf>
    <dxf>
      <fill>
        <patternFill patternType="solid">
          <fgColor rgb="FFB3D680"/>
          <bgColor rgb="FF000000"/>
        </patternFill>
      </fill>
    </dxf>
    <dxf>
      <fill>
        <patternFill patternType="solid">
          <fgColor rgb="FFB4D680"/>
          <bgColor rgb="FF000000"/>
        </patternFill>
      </fill>
    </dxf>
    <dxf>
      <fill>
        <patternFill patternType="solid">
          <fgColor rgb="FFB5D680"/>
          <bgColor rgb="FF000000"/>
        </patternFill>
      </fill>
    </dxf>
    <dxf>
      <fill>
        <patternFill patternType="solid">
          <fgColor rgb="FFB6D680"/>
          <bgColor rgb="FF000000"/>
        </patternFill>
      </fill>
    </dxf>
    <dxf>
      <fill>
        <patternFill patternType="solid">
          <fgColor rgb="FFB7D680"/>
          <bgColor rgb="FF000000"/>
        </patternFill>
      </fill>
    </dxf>
    <dxf>
      <fill>
        <patternFill patternType="solid">
          <fgColor rgb="FFB7D780"/>
          <bgColor rgb="FF000000"/>
        </patternFill>
      </fill>
    </dxf>
    <dxf>
      <fill>
        <patternFill patternType="solid">
          <fgColor rgb="FFB8D780"/>
          <bgColor rgb="FF000000"/>
        </patternFill>
      </fill>
    </dxf>
    <dxf>
      <fill>
        <patternFill patternType="solid">
          <fgColor rgb="FFB9D780"/>
          <bgColor rgb="FF000000"/>
        </patternFill>
      </fill>
    </dxf>
    <dxf>
      <fill>
        <patternFill patternType="solid">
          <fgColor rgb="FFBAD780"/>
          <bgColor rgb="FF000000"/>
        </patternFill>
      </fill>
    </dxf>
    <dxf>
      <fill>
        <patternFill patternType="solid">
          <fgColor rgb="FFBBD881"/>
          <bgColor rgb="FF000000"/>
        </patternFill>
      </fill>
    </dxf>
    <dxf>
      <fill>
        <patternFill patternType="solid">
          <fgColor rgb="FFBCD881"/>
          <bgColor rgb="FF000000"/>
        </patternFill>
      </fill>
    </dxf>
    <dxf>
      <fill>
        <patternFill patternType="solid">
          <fgColor rgb="FFBDD881"/>
          <bgColor rgb="FF000000"/>
        </patternFill>
      </fill>
    </dxf>
    <dxf>
      <fill>
        <patternFill patternType="solid">
          <fgColor rgb="FFBED981"/>
          <bgColor rgb="FF000000"/>
        </patternFill>
      </fill>
    </dxf>
    <dxf>
      <fill>
        <patternFill patternType="solid">
          <fgColor rgb="FFBFD981"/>
          <bgColor rgb="FF000000"/>
        </patternFill>
      </fill>
    </dxf>
    <dxf>
      <fill>
        <patternFill patternType="solid">
          <fgColor rgb="FFC0D981"/>
          <bgColor rgb="FF000000"/>
        </patternFill>
      </fill>
    </dxf>
    <dxf>
      <fill>
        <patternFill patternType="solid">
          <fgColor rgb="FFC1D981"/>
          <bgColor rgb="FF000000"/>
        </patternFill>
      </fill>
    </dxf>
    <dxf>
      <fill>
        <patternFill patternType="solid">
          <fgColor rgb="FFC1DA81"/>
          <bgColor rgb="FF000000"/>
        </patternFill>
      </fill>
    </dxf>
    <dxf>
      <fill>
        <patternFill patternType="solid">
          <fgColor rgb="FFC2DA81"/>
          <bgColor rgb="FF000000"/>
        </patternFill>
      </fill>
    </dxf>
    <dxf>
      <fill>
        <patternFill patternType="solid">
          <fgColor rgb="FFC3DA81"/>
          <bgColor rgb="FF000000"/>
        </patternFill>
      </fill>
    </dxf>
    <dxf>
      <fill>
        <patternFill patternType="solid">
          <fgColor rgb="FFC4DA81"/>
          <bgColor rgb="FF000000"/>
        </patternFill>
      </fill>
    </dxf>
    <dxf>
      <fill>
        <patternFill patternType="solid">
          <fgColor rgb="FFC5DB81"/>
          <bgColor rgb="FF000000"/>
        </patternFill>
      </fill>
    </dxf>
    <dxf>
      <fill>
        <patternFill patternType="solid">
          <fgColor rgb="FFC6DB81"/>
          <bgColor rgb="FF000000"/>
        </patternFill>
      </fill>
    </dxf>
    <dxf>
      <fill>
        <patternFill patternType="solid">
          <fgColor rgb="FFC7DB81"/>
          <bgColor rgb="FF000000"/>
        </patternFill>
      </fill>
    </dxf>
    <dxf>
      <fill>
        <patternFill patternType="solid">
          <fgColor rgb="FFC8DB81"/>
          <bgColor rgb="FF000000"/>
        </patternFill>
      </fill>
    </dxf>
    <dxf>
      <fill>
        <patternFill patternType="solid">
          <fgColor rgb="FFC8DC81"/>
          <bgColor rgb="FF000000"/>
        </patternFill>
      </fill>
    </dxf>
    <dxf>
      <fill>
        <patternFill patternType="solid">
          <fgColor rgb="FFC9DC81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CDDD82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D0DE82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D3DF82"/>
          <bgColor rgb="FF000000"/>
        </patternFill>
      </fill>
    </dxf>
    <dxf>
      <fill>
        <patternFill patternType="solid">
          <fgColor rgb="FFD4DF82"/>
          <bgColor rgb="FF000000"/>
        </patternFill>
      </fill>
    </dxf>
    <dxf>
      <fill>
        <patternFill patternType="solid">
          <fgColor rgb="FFD5DF82"/>
          <bgColor rgb="FF000000"/>
        </patternFill>
      </fill>
    </dxf>
    <dxf>
      <fill>
        <patternFill patternType="solid">
          <fgColor rgb="FFD6DF82"/>
          <bgColor rgb="FF000000"/>
        </patternFill>
      </fill>
    </dxf>
    <dxf>
      <fill>
        <patternFill patternType="solid">
          <fgColor rgb="FFD6E082"/>
          <bgColor rgb="FF000000"/>
        </patternFill>
      </fill>
    </dxf>
    <dxf>
      <fill>
        <patternFill patternType="solid">
          <fgColor rgb="FFD7E082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D9E182"/>
          <bgColor rgb="FF000000"/>
        </patternFill>
      </fill>
    </dxf>
    <dxf>
      <fill>
        <patternFill patternType="solid">
          <fgColor rgb="FFDAE182"/>
          <bgColor rgb="FF000000"/>
        </patternFill>
      </fill>
    </dxf>
    <dxf>
      <fill>
        <patternFill patternType="solid">
          <fgColor rgb="FFDBE182"/>
          <bgColor rgb="FF000000"/>
        </patternFill>
      </fill>
    </dxf>
    <dxf>
      <fill>
        <patternFill patternType="solid">
          <fgColor rgb="FFDCE182"/>
          <bgColor rgb="FF000000"/>
        </patternFill>
      </fill>
    </dxf>
    <dxf>
      <fill>
        <patternFill patternType="solid">
          <fgColor rgb="FFDDE283"/>
          <bgColor rgb="FF000000"/>
        </patternFill>
      </fill>
    </dxf>
    <dxf>
      <fill>
        <patternFill patternType="solid">
          <fgColor rgb="FFDEE283"/>
          <bgColor rgb="FF000000"/>
        </patternFill>
      </fill>
    </dxf>
    <dxf>
      <fill>
        <patternFill patternType="solid">
          <fgColor rgb="FFDFE283"/>
          <bgColor rgb="FF000000"/>
        </patternFill>
      </fill>
    </dxf>
    <dxf>
      <fill>
        <patternFill patternType="solid">
          <fgColor rgb="FFE1E383"/>
          <bgColor rgb="FF000000"/>
        </patternFill>
      </fill>
    </dxf>
    <dxf>
      <fill>
        <patternFill patternType="solid">
          <fgColor rgb="FFE2E383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E4E383"/>
          <bgColor rgb="FF000000"/>
        </patternFill>
      </fill>
    </dxf>
    <dxf>
      <fill>
        <patternFill patternType="solid">
          <fgColor rgb="FFE4E483"/>
          <bgColor rgb="FF000000"/>
        </patternFill>
      </fill>
    </dxf>
    <dxf>
      <fill>
        <patternFill patternType="solid">
          <fgColor rgb="FFE5E483"/>
          <bgColor rgb="FF000000"/>
        </patternFill>
      </fill>
    </dxf>
    <dxf>
      <fill>
        <patternFill patternType="solid">
          <fgColor rgb="FFE6E483"/>
          <bgColor rgb="FF000000"/>
        </patternFill>
      </fill>
    </dxf>
    <dxf>
      <fill>
        <patternFill patternType="solid">
          <fgColor rgb="FFE7E483"/>
          <bgColor rgb="FF000000"/>
        </patternFill>
      </fill>
    </dxf>
    <dxf>
      <fill>
        <patternFill patternType="solid">
          <fgColor rgb="FFE8E583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EBE683"/>
          <bgColor rgb="FF000000"/>
        </patternFill>
      </fill>
    </dxf>
    <dxf>
      <fill>
        <patternFill patternType="solid">
          <fgColor rgb="FFECE683"/>
          <bgColor rgb="FF000000"/>
        </patternFill>
      </fill>
    </dxf>
    <dxf>
      <fill>
        <patternFill patternType="solid">
          <fgColor rgb="FFEDE6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EEE784"/>
          <bgColor rgb="FF000000"/>
        </patternFill>
      </fill>
    </dxf>
    <dxf>
      <fill>
        <patternFill patternType="solid">
          <fgColor rgb="FFEFE784"/>
          <bgColor rgb="FF000000"/>
        </patternFill>
      </fill>
    </dxf>
    <dxf>
      <fill>
        <patternFill patternType="solid">
          <fgColor rgb="FFF0E784"/>
          <bgColor rgb="FF000000"/>
        </patternFill>
      </fill>
    </dxf>
    <dxf>
      <fill>
        <patternFill patternType="solid">
          <fgColor rgb="FFF1E784"/>
          <bgColor rgb="FF000000"/>
        </patternFill>
      </fill>
    </dxf>
    <dxf>
      <fill>
        <patternFill patternType="solid">
          <fgColor rgb="FFF2E884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4E884"/>
          <bgColor rgb="FF000000"/>
        </patternFill>
      </fill>
    </dxf>
    <dxf>
      <fill>
        <patternFill patternType="solid">
          <fgColor rgb="FFF5E884"/>
          <bgColor rgb="FF000000"/>
        </patternFill>
      </fill>
    </dxf>
    <dxf>
      <fill>
        <patternFill patternType="solid">
          <fgColor rgb="FFF6E984"/>
          <bgColor rgb="FF000000"/>
        </patternFill>
      </fill>
    </dxf>
    <dxf>
      <fill>
        <patternFill patternType="solid">
          <fgColor rgb="FFF7E984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6C6B"/>
          <bgColor rgb="FF000000"/>
        </patternFill>
      </fill>
    </dxf>
    <dxf>
      <fill>
        <patternFill patternType="solid">
          <fgColor rgb="FFF86E6C"/>
          <bgColor rgb="FF000000"/>
        </patternFill>
      </fill>
    </dxf>
    <dxf>
      <fill>
        <patternFill patternType="solid">
          <fgColor rgb="FFF86F6C"/>
          <bgColor rgb="FF000000"/>
        </patternFill>
      </fill>
    </dxf>
    <dxf>
      <fill>
        <patternFill patternType="solid">
          <fgColor rgb="FFF8706C"/>
          <bgColor rgb="FF000000"/>
        </patternFill>
      </fill>
    </dxf>
    <dxf>
      <fill>
        <patternFill patternType="solid">
          <fgColor rgb="FFF8716C"/>
          <bgColor rgb="FF000000"/>
        </patternFill>
      </fill>
    </dxf>
    <dxf>
      <fill>
        <patternFill patternType="solid">
          <fgColor rgb="FFF8746D"/>
          <bgColor rgb="FF000000"/>
        </patternFill>
      </fill>
    </dxf>
    <dxf>
      <fill>
        <patternFill patternType="solid">
          <fgColor rgb="FFF8756D"/>
          <bgColor rgb="FF000000"/>
        </patternFill>
      </fill>
    </dxf>
    <dxf>
      <fill>
        <patternFill patternType="solid">
          <fgColor rgb="FFF8766D"/>
          <bgColor rgb="FF000000"/>
        </patternFill>
      </fill>
    </dxf>
    <dxf>
      <fill>
        <patternFill patternType="solid">
          <fgColor rgb="FFF8796E"/>
          <bgColor rgb="FF000000"/>
        </patternFill>
      </fill>
    </dxf>
    <dxf>
      <fill>
        <patternFill patternType="solid">
          <fgColor rgb="FFF87A6E"/>
          <bgColor rgb="FF000000"/>
        </patternFill>
      </fill>
    </dxf>
    <dxf>
      <fill>
        <patternFill patternType="solid">
          <fgColor rgb="FFF8E984"/>
          <bgColor rgb="FF000000"/>
        </patternFill>
      </fill>
    </dxf>
    <dxf>
      <fill>
        <patternFill patternType="solid">
          <fgColor rgb="FFF97B6E"/>
          <bgColor rgb="FF000000"/>
        </patternFill>
      </fill>
    </dxf>
    <dxf>
      <fill>
        <patternFill patternType="solid">
          <fgColor rgb="FFF97C6E"/>
          <bgColor rgb="FF000000"/>
        </patternFill>
      </fill>
    </dxf>
    <dxf>
      <fill>
        <patternFill patternType="solid">
          <fgColor rgb="FFF97D6E"/>
          <bgColor rgb="FF000000"/>
        </patternFill>
      </fill>
    </dxf>
    <dxf>
      <fill>
        <patternFill patternType="solid">
          <fgColor rgb="FFF97D6F"/>
          <bgColor rgb="FF000000"/>
        </patternFill>
      </fill>
    </dxf>
    <dxf>
      <fill>
        <patternFill patternType="solid">
          <fgColor rgb="FFF97E6F"/>
          <bgColor rgb="FF000000"/>
        </patternFill>
      </fill>
    </dxf>
    <dxf>
      <fill>
        <patternFill patternType="solid">
          <fgColor rgb="FFF97F6F"/>
          <bgColor rgb="FF000000"/>
        </patternFill>
      </fill>
    </dxf>
    <dxf>
      <fill>
        <patternFill patternType="solid">
          <fgColor rgb="FFF9806F"/>
          <bgColor rgb="FF000000"/>
        </patternFill>
      </fill>
    </dxf>
    <dxf>
      <fill>
        <patternFill patternType="solid">
          <fgColor rgb="FFF9826F"/>
          <bgColor rgb="FF000000"/>
        </patternFill>
      </fill>
    </dxf>
    <dxf>
      <fill>
        <patternFill patternType="solid">
          <fgColor rgb="FFF98370"/>
          <bgColor rgb="FF000000"/>
        </patternFill>
      </fill>
    </dxf>
    <dxf>
      <fill>
        <patternFill patternType="solid">
          <fgColor rgb="FFF98470"/>
          <bgColor rgb="FF000000"/>
        </patternFill>
      </fill>
    </dxf>
    <dxf>
      <fill>
        <patternFill patternType="solid">
          <fgColor rgb="FFF98570"/>
          <bgColor rgb="FF000000"/>
        </patternFill>
      </fill>
    </dxf>
    <dxf>
      <fill>
        <patternFill patternType="solid">
          <fgColor rgb="FFF98670"/>
          <bgColor rgb="FF000000"/>
        </patternFill>
      </fill>
    </dxf>
    <dxf>
      <fill>
        <patternFill patternType="solid">
          <fgColor rgb="FFF98770"/>
          <bgColor rgb="FF000000"/>
        </patternFill>
      </fill>
    </dxf>
    <dxf>
      <fill>
        <patternFill patternType="solid">
          <fgColor rgb="FFF98871"/>
          <bgColor rgb="FF000000"/>
        </patternFill>
      </fill>
    </dxf>
    <dxf>
      <fill>
        <patternFill patternType="solid">
          <fgColor rgb="FFF98971"/>
          <bgColor rgb="FF000000"/>
        </patternFill>
      </fill>
    </dxf>
    <dxf>
      <fill>
        <patternFill patternType="solid">
          <fgColor rgb="FFF98A71"/>
          <bgColor rgb="FF000000"/>
        </patternFill>
      </fill>
    </dxf>
    <dxf>
      <fill>
        <patternFill patternType="solid">
          <fgColor rgb="FFF98B71"/>
          <bgColor rgb="FF000000"/>
        </patternFill>
      </fill>
    </dxf>
    <dxf>
      <fill>
        <patternFill patternType="solid">
          <fgColor rgb="FFF98C71"/>
          <bgColor rgb="FF000000"/>
        </patternFill>
      </fill>
    </dxf>
    <dxf>
      <fill>
        <patternFill patternType="solid">
          <fgColor rgb="FFF98D71"/>
          <bgColor rgb="FF000000"/>
        </patternFill>
      </fill>
    </dxf>
    <dxf>
      <fill>
        <patternFill patternType="solid">
          <fgColor rgb="FFF98D72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A8E72"/>
          <bgColor rgb="FF000000"/>
        </patternFill>
      </fill>
    </dxf>
    <dxf>
      <fill>
        <patternFill patternType="solid">
          <fgColor rgb="FFFA8F72"/>
          <bgColor rgb="FF000000"/>
        </patternFill>
      </fill>
    </dxf>
    <dxf>
      <fill>
        <patternFill patternType="solid">
          <fgColor rgb="FFFA9072"/>
          <bgColor rgb="FF000000"/>
        </patternFill>
      </fill>
    </dxf>
    <dxf>
      <fill>
        <patternFill patternType="solid">
          <fgColor rgb="FFFA9172"/>
          <bgColor rgb="FF000000"/>
        </patternFill>
      </fill>
    </dxf>
    <dxf>
      <fill>
        <patternFill patternType="solid">
          <fgColor rgb="FFFA9272"/>
          <bgColor rgb="FF000000"/>
        </patternFill>
      </fill>
    </dxf>
    <dxf>
      <fill>
        <patternFill patternType="solid">
          <fgColor rgb="FFFA9273"/>
          <bgColor rgb="FF000000"/>
        </patternFill>
      </fill>
    </dxf>
    <dxf>
      <fill>
        <patternFill patternType="solid">
          <fgColor rgb="FFFA9373"/>
          <bgColor rgb="FF000000"/>
        </patternFill>
      </fill>
    </dxf>
    <dxf>
      <fill>
        <patternFill patternType="solid">
          <fgColor rgb="FFFA9473"/>
          <bgColor rgb="FF000000"/>
        </patternFill>
      </fill>
    </dxf>
    <dxf>
      <fill>
        <patternFill patternType="solid">
          <fgColor rgb="FFFA9673"/>
          <bgColor rgb="FF000000"/>
        </patternFill>
      </fill>
    </dxf>
    <dxf>
      <fill>
        <patternFill patternType="solid">
          <fgColor rgb="FFFA9773"/>
          <bgColor rgb="FF000000"/>
        </patternFill>
      </fill>
    </dxf>
    <dxf>
      <fill>
        <patternFill patternType="solid">
          <fgColor rgb="FFFA9774"/>
          <bgColor rgb="FF000000"/>
        </patternFill>
      </fill>
    </dxf>
    <dxf>
      <fill>
        <patternFill patternType="solid">
          <fgColor rgb="FFFA9874"/>
          <bgColor rgb="FF000000"/>
        </patternFill>
      </fill>
    </dxf>
    <dxf>
      <fill>
        <patternFill patternType="solid">
          <fgColor rgb="FFFA9A74"/>
          <bgColor rgb="FF000000"/>
        </patternFill>
      </fill>
    </dxf>
    <dxf>
      <fill>
        <patternFill patternType="solid">
          <fgColor rgb="FFFA9B74"/>
          <bgColor rgb="FF000000"/>
        </patternFill>
      </fill>
    </dxf>
    <dxf>
      <fill>
        <patternFill patternType="solid">
          <fgColor rgb="FFFA9C74"/>
          <bgColor rgb="FF000000"/>
        </patternFill>
      </fill>
    </dxf>
    <dxf>
      <fill>
        <patternFill patternType="solid">
          <fgColor rgb="FFFA9D75"/>
          <bgColor rgb="FF000000"/>
        </patternFill>
      </fill>
    </dxf>
    <dxf>
      <fill>
        <patternFill patternType="solid">
          <fgColor rgb="FFFA9E75"/>
          <bgColor rgb="FF000000"/>
        </patternFill>
      </fill>
    </dxf>
    <dxf>
      <fill>
        <patternFill patternType="solid">
          <fgColor rgb="FFFA9F75"/>
          <bgColor rgb="FF000000"/>
        </patternFill>
      </fill>
    </dxf>
    <dxf>
      <fill>
        <patternFill patternType="solid">
          <fgColor rgb="FFFAA075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A075"/>
          <bgColor rgb="FF000000"/>
        </patternFill>
      </fill>
    </dxf>
    <dxf>
      <fill>
        <patternFill patternType="solid">
          <fgColor rgb="FFFBA175"/>
          <bgColor rgb="FF000000"/>
        </patternFill>
      </fill>
    </dxf>
    <dxf>
      <fill>
        <patternFill patternType="solid">
          <fgColor rgb="FFFBA276"/>
          <bgColor rgb="FF000000"/>
        </patternFill>
      </fill>
    </dxf>
    <dxf>
      <fill>
        <patternFill patternType="solid">
          <fgColor rgb="FFFBA376"/>
          <bgColor rgb="FF000000"/>
        </patternFill>
      </fill>
    </dxf>
    <dxf>
      <fill>
        <patternFill patternType="solid">
          <fgColor rgb="FFFBA476"/>
          <bgColor rgb="FF000000"/>
        </patternFill>
      </fill>
    </dxf>
    <dxf>
      <fill>
        <patternFill patternType="solid">
          <fgColor rgb="FFFBA576"/>
          <bgColor rgb="FF000000"/>
        </patternFill>
      </fill>
    </dxf>
    <dxf>
      <fill>
        <patternFill patternType="solid">
          <fgColor rgb="FFFBA676"/>
          <bgColor rgb="FF000000"/>
        </patternFill>
      </fill>
    </dxf>
    <dxf>
      <fill>
        <patternFill patternType="solid">
          <fgColor rgb="FFFBA777"/>
          <bgColor rgb="FF000000"/>
        </patternFill>
      </fill>
    </dxf>
    <dxf>
      <fill>
        <patternFill patternType="solid">
          <fgColor rgb="FFFBA877"/>
          <bgColor rgb="FF000000"/>
        </patternFill>
      </fill>
    </dxf>
    <dxf>
      <fill>
        <patternFill patternType="solid">
          <fgColor rgb="FFFBA977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FBAB77"/>
          <bgColor rgb="FF000000"/>
        </patternFill>
      </fill>
    </dxf>
    <dxf>
      <fill>
        <patternFill patternType="solid">
          <fgColor rgb="FFFBAC77"/>
          <bgColor rgb="FF000000"/>
        </patternFill>
      </fill>
    </dxf>
    <dxf>
      <fill>
        <patternFill patternType="solid">
          <fgColor rgb="FFFBAC78"/>
          <bgColor rgb="FF000000"/>
        </patternFill>
      </fill>
    </dxf>
    <dxf>
      <fill>
        <patternFill patternType="solid">
          <fgColor rgb="FFFBAD78"/>
          <bgColor rgb="FF000000"/>
        </patternFill>
      </fill>
    </dxf>
    <dxf>
      <fill>
        <patternFill patternType="solid">
          <fgColor rgb="FFFBAE78"/>
          <bgColor rgb="FF000000"/>
        </patternFill>
      </fill>
    </dxf>
    <dxf>
      <fill>
        <patternFill patternType="solid">
          <fgColor rgb="FFFBAF78"/>
          <bgColor rgb="FF000000"/>
        </patternFill>
      </fill>
    </dxf>
    <dxf>
      <fill>
        <patternFill patternType="solid">
          <fgColor rgb="FFFBB078"/>
          <bgColor rgb="FF000000"/>
        </patternFill>
      </fill>
    </dxf>
    <dxf>
      <fill>
        <patternFill patternType="solid">
          <fgColor rgb="FFFBB178"/>
          <bgColor rgb="FF000000"/>
        </patternFill>
      </fill>
    </dxf>
    <dxf>
      <fill>
        <patternFill patternType="solid">
          <fgColor rgb="FFFBB179"/>
          <bgColor rgb="FF000000"/>
        </patternFill>
      </fill>
    </dxf>
    <dxf>
      <fill>
        <patternFill patternType="solid">
          <fgColor rgb="FFFBB279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FCB379"/>
          <bgColor rgb="FF000000"/>
        </patternFill>
      </fill>
    </dxf>
    <dxf>
      <fill>
        <patternFill patternType="solid">
          <fgColor rgb="FFFCB479"/>
          <bgColor rgb="FF000000"/>
        </patternFill>
      </fill>
    </dxf>
    <dxf>
      <fill>
        <patternFill patternType="solid">
          <fgColor rgb="FFFCB579"/>
          <bgColor rgb="FF000000"/>
        </patternFill>
      </fill>
    </dxf>
    <dxf>
      <fill>
        <patternFill patternType="solid">
          <fgColor rgb="FFFCB679"/>
          <bgColor rgb="FF000000"/>
        </patternFill>
      </fill>
    </dxf>
    <dxf>
      <fill>
        <patternFill patternType="solid">
          <fgColor rgb="FFFCB77A"/>
          <bgColor rgb="FF000000"/>
        </patternFill>
      </fill>
    </dxf>
    <dxf>
      <fill>
        <patternFill patternType="solid">
          <fgColor rgb="FFFCB87A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CBA7A"/>
          <bgColor rgb="FF000000"/>
        </patternFill>
      </fill>
    </dxf>
    <dxf>
      <fill>
        <patternFill patternType="solid">
          <fgColor rgb="FFFCBB7A"/>
          <bgColor rgb="FF000000"/>
        </patternFill>
      </fill>
    </dxf>
    <dxf>
      <fill>
        <patternFill patternType="solid">
          <fgColor rgb="FFFCBC7B"/>
          <bgColor rgb="FF000000"/>
        </patternFill>
      </fill>
    </dxf>
    <dxf>
      <fill>
        <patternFill patternType="solid">
          <fgColor rgb="FFFCBD7B"/>
          <bgColor rgb="FF000000"/>
        </patternFill>
      </fill>
    </dxf>
    <dxf>
      <fill>
        <patternFill patternType="solid">
          <fgColor rgb="FFFCBE7B"/>
          <bgColor rgb="FF000000"/>
        </patternFill>
      </fill>
    </dxf>
    <dxf>
      <fill>
        <patternFill patternType="solid">
          <fgColor rgb="FFFCBF7B"/>
          <bgColor rgb="FF000000"/>
        </patternFill>
      </fill>
    </dxf>
    <dxf>
      <fill>
        <patternFill patternType="solid">
          <fgColor rgb="FFFCC07B"/>
          <bgColor rgb="FF000000"/>
        </patternFill>
      </fill>
    </dxf>
    <dxf>
      <fill>
        <patternFill patternType="solid">
          <fgColor rgb="FFFCC17B"/>
          <bgColor rgb="FF000000"/>
        </patternFill>
      </fill>
    </dxf>
    <dxf>
      <fill>
        <patternFill patternType="solid">
          <fgColor rgb="FFFCC17C"/>
          <bgColor rgb="FF000000"/>
        </patternFill>
      </fill>
    </dxf>
    <dxf>
      <fill>
        <patternFill patternType="solid">
          <fgColor rgb="FFFCC27C"/>
          <bgColor rgb="FF000000"/>
        </patternFill>
      </fill>
    </dxf>
    <dxf>
      <fill>
        <patternFill patternType="solid">
          <fgColor rgb="FFFCC37C"/>
          <bgColor rgb="FF000000"/>
        </patternFill>
      </fill>
    </dxf>
    <dxf>
      <fill>
        <patternFill patternType="solid">
          <fgColor rgb="FFFCC47C"/>
          <bgColor rgb="FF000000"/>
        </patternFill>
      </fill>
    </dxf>
    <dxf>
      <fill>
        <patternFill patternType="solid">
          <fgColor rgb="FFFCC57C"/>
          <bgColor rgb="FF000000"/>
        </patternFill>
      </fill>
    </dxf>
    <dxf>
      <fill>
        <patternFill patternType="solid">
          <fgColor rgb="FFFCEA84"/>
          <bgColor rgb="FF000000"/>
        </patternFill>
      </fill>
    </dxf>
    <dxf>
      <fill>
        <patternFill patternType="solid">
          <fgColor rgb="FFFDC67C"/>
          <bgColor rgb="FF000000"/>
        </patternFill>
      </fill>
    </dxf>
    <dxf>
      <fill>
        <patternFill patternType="solid">
          <fgColor rgb="FFFDC67D"/>
          <bgColor rgb="FF000000"/>
        </patternFill>
      </fill>
    </dxf>
    <dxf>
      <fill>
        <patternFill patternType="solid">
          <fgColor rgb="FFFDC77D"/>
          <bgColor rgb="FF000000"/>
        </patternFill>
      </fill>
    </dxf>
    <dxf>
      <fill>
        <patternFill patternType="solid">
          <fgColor rgb="FFFDC87D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FDCA7D"/>
          <bgColor rgb="FF000000"/>
        </patternFill>
      </fill>
    </dxf>
    <dxf>
      <fill>
        <patternFill patternType="solid">
          <fgColor rgb="FFFDCB7D"/>
          <bgColor rgb="FF000000"/>
        </patternFill>
      </fill>
    </dxf>
    <dxf>
      <fill>
        <patternFill patternType="solid">
          <fgColor rgb="FFFDCB7E"/>
          <bgColor rgb="FF000000"/>
        </patternFill>
      </fill>
    </dxf>
    <dxf>
      <fill>
        <patternFill patternType="solid">
          <fgColor rgb="FFFDCC7E"/>
          <bgColor rgb="FF000000"/>
        </patternFill>
      </fill>
    </dxf>
    <dxf>
      <fill>
        <patternFill patternType="solid">
          <fgColor rgb="FFFDCD7E"/>
          <bgColor rgb="FF000000"/>
        </patternFill>
      </fill>
    </dxf>
    <dxf>
      <fill>
        <patternFill patternType="solid">
          <fgColor rgb="FFFDCE7E"/>
          <bgColor rgb="FF000000"/>
        </patternFill>
      </fill>
    </dxf>
    <dxf>
      <fill>
        <patternFill patternType="solid">
          <fgColor rgb="FFFDCF7E"/>
          <bgColor rgb="FF000000"/>
        </patternFill>
      </fill>
    </dxf>
    <dxf>
      <fill>
        <patternFill patternType="solid">
          <fgColor rgb="FFFDD07E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FDD27F"/>
          <bgColor rgb="FF000000"/>
        </patternFill>
      </fill>
    </dxf>
    <dxf>
      <fill>
        <patternFill patternType="solid">
          <fgColor rgb="FFFDD37F"/>
          <bgColor rgb="FF000000"/>
        </patternFill>
      </fill>
    </dxf>
    <dxf>
      <fill>
        <patternFill patternType="solid">
          <fgColor rgb="FFFDD47F"/>
          <bgColor rgb="FF000000"/>
        </patternFill>
      </fill>
    </dxf>
    <dxf>
      <fill>
        <patternFill patternType="solid">
          <fgColor rgb="FFFDD57F"/>
          <bgColor rgb="FF000000"/>
        </patternFill>
      </fill>
    </dxf>
    <dxf>
      <fill>
        <patternFill patternType="solid">
          <fgColor rgb="FFFDD67F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FDD780"/>
          <bgColor rgb="FF000000"/>
        </patternFill>
      </fill>
    </dxf>
    <dxf>
      <fill>
        <patternFill patternType="solid">
          <fgColor rgb="FFFDD880"/>
          <bgColor rgb="FF000000"/>
        </patternFill>
      </fill>
    </dxf>
    <dxf>
      <fill>
        <patternFill patternType="solid">
          <fgColor rgb="FFFDEB84"/>
          <bgColor rgb="FF000000"/>
        </patternFill>
      </fill>
    </dxf>
    <dxf>
      <fill>
        <patternFill patternType="solid">
          <fgColor rgb="FFFED880"/>
          <bgColor rgb="FF000000"/>
        </patternFill>
      </fill>
    </dxf>
    <dxf>
      <fill>
        <patternFill patternType="solid">
          <fgColor rgb="FFFED980"/>
          <bgColor rgb="FF000000"/>
        </patternFill>
      </fill>
    </dxf>
    <dxf>
      <fill>
        <patternFill patternType="solid">
          <fgColor rgb="FFFEDA80"/>
          <bgColor rgb="FF000000"/>
        </patternFill>
      </fill>
    </dxf>
    <dxf>
      <fill>
        <patternFill patternType="solid">
          <fgColor rgb="FFFEDB80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 patternType="solid">
          <fgColor rgb="FFFEDD81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FEDF81"/>
          <bgColor rgb="FF000000"/>
        </patternFill>
      </fill>
    </dxf>
    <dxf>
      <fill>
        <patternFill patternType="solid">
          <fgColor rgb="FFFEE081"/>
          <bgColor rgb="FF000000"/>
        </patternFill>
      </fill>
    </dxf>
    <dxf>
      <fill>
        <patternFill patternType="solid">
          <fgColor rgb="FFFEE082"/>
          <bgColor rgb="FF000000"/>
        </patternFill>
      </fill>
    </dxf>
    <dxf>
      <fill>
        <patternFill patternType="solid">
          <fgColor rgb="FFFEE182"/>
          <bgColor rgb="FF000000"/>
        </patternFill>
      </fill>
    </dxf>
    <dxf>
      <fill>
        <patternFill patternType="solid">
          <fgColor rgb="FFFEE282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FEE482"/>
          <bgColor rgb="FF000000"/>
        </patternFill>
      </fill>
    </dxf>
    <dxf>
      <fill>
        <patternFill patternType="solid">
          <fgColor rgb="FFFEE582"/>
          <bgColor rgb="FF000000"/>
        </patternFill>
      </fill>
    </dxf>
    <dxf>
      <fill>
        <patternFill patternType="solid">
          <fgColor rgb="FFFEE583"/>
          <bgColor rgb="FF000000"/>
        </patternFill>
      </fill>
    </dxf>
    <dxf>
      <fill>
        <patternFill patternType="solid">
          <fgColor rgb="FFFEE683"/>
          <bgColor rgb="FF000000"/>
        </patternFill>
      </fill>
    </dxf>
    <dxf>
      <fill>
        <patternFill patternType="solid">
          <fgColor rgb="FFFEE783"/>
          <bgColor rgb="FF000000"/>
        </patternFill>
      </fill>
    </dxf>
    <dxf>
      <fill>
        <patternFill patternType="solid">
          <fgColor rgb="FFFEE883"/>
          <bgColor rgb="FF000000"/>
        </patternFill>
      </fill>
    </dxf>
    <dxf>
      <fill>
        <patternFill patternType="solid">
          <fgColor rgb="FFFEE983"/>
          <bgColor rgb="FF000000"/>
        </patternFill>
      </fill>
    </dxf>
    <dxf>
      <fill>
        <patternFill patternType="solid">
          <fgColor rgb="FFFEEA83"/>
          <bgColor rgb="FF000000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 patternType="solid">
          <fgColor rgb="FFFFEB8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B8B8B"/>
      <rgbColor rgb="FF6D9EEB"/>
      <rgbColor rgb="FF993366"/>
      <rgbColor rgb="FFFFF2CC"/>
      <rgbColor rgb="FFD9EAF7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CE5CD"/>
      <rgbColor rgb="FFB6D7A8"/>
      <rgbColor rgb="FFFF99CC"/>
      <rgbColor rgb="FFCC99FF"/>
      <rgbColor rgb="FFEAD1DC"/>
      <rgbColor rgb="FF4472C4"/>
      <rgbColor rgb="FF33CCCC"/>
      <rgbColor rgb="FF99CC00"/>
      <rgbColor rgb="FFFFCC00"/>
      <rgbColor rgb="FFFF9900"/>
      <rgbColor rgb="FFFF6600"/>
      <rgbColor rgb="FF4285F4"/>
      <rgbColor rgb="FF5B9BD5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Arial"/>
                <a:ea typeface="Arial"/>
              </a:rPr>
              <a:t>Average OEE by Machine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Dashboard!B9</c:f>
              <c:strCache>
                <c:ptCount val="1"/>
                <c:pt idx="0">
                  <c:v>Average OEE</c:v>
                </c:pt>
              </c:strCache>
            </c:strRef>
          </c:tx>
          <c:spPr>
            <a:solidFill>
              <a:srgbClr val="4285f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Dashboard!$A$10:$A$15</c:f>
              <c:strCache>
                <c:ptCount val="6"/>
                <c:pt idx="0">
                  <c:v>M001</c:v>
                </c:pt>
                <c:pt idx="1">
                  <c:v>M002</c:v>
                </c:pt>
                <c:pt idx="2">
                  <c:v>M003</c:v>
                </c:pt>
                <c:pt idx="3">
                  <c:v>M004</c:v>
                </c:pt>
                <c:pt idx="4">
                  <c:v>M005</c:v>
                </c:pt>
                <c:pt idx="5">
                  <c:v>M006</c:v>
                </c:pt>
              </c:strCache>
            </c:strRef>
          </c:cat>
          <c:val>
            <c:numRef>
              <c:f>Dashboard!$B$10:$B$15</c:f>
              <c:numCache>
                <c:formatCode>0.0%</c:formatCode>
                <c:ptCount val="6"/>
                <c:pt idx="0">
                  <c:v>0.810580609347883</c:v>
                </c:pt>
                <c:pt idx="1">
                  <c:v>0.809825904401839</c:v>
                </c:pt>
                <c:pt idx="2">
                  <c:v>0.812053888859926</c:v>
                </c:pt>
                <c:pt idx="3">
                  <c:v>0.816876137787437</c:v>
                </c:pt>
                <c:pt idx="4">
                  <c:v>0.818075114089383</c:v>
                </c:pt>
                <c:pt idx="5">
                  <c:v>0.824008844351735</c:v>
                </c:pt>
              </c:numCache>
            </c:numRef>
          </c:val>
        </c:ser>
        <c:gapWidth val="150"/>
        <c:overlap val="0"/>
        <c:axId val="64070070"/>
        <c:axId val="54939505"/>
      </c:barChart>
      <c:catAx>
        <c:axId val="640700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Machine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54939505"/>
        <c:crosses val="autoZero"/>
        <c:auto val="1"/>
        <c:lblAlgn val="ctr"/>
        <c:lblOffset val="100"/>
        <c:noMultiLvlLbl val="0"/>
      </c:catAx>
      <c:valAx>
        <c:axId val="5493950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OEE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640700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Arial"/>
                <a:ea typeface="Arial"/>
              </a:rPr>
              <a:t>Daily OEE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Dashboard!B18</c:f>
              <c:strCache>
                <c:ptCount val="1"/>
                <c:pt idx="0">
                  <c:v>Average OEE</c:v>
                </c:pt>
              </c:strCache>
            </c:strRef>
          </c:tx>
          <c:spPr>
            <a:solidFill>
              <a:srgbClr val="4285f4"/>
            </a:solidFill>
            <a:ln w="19080">
              <a:solidFill>
                <a:srgbClr val="4285f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Dashboard!$A$19:$A$268</c:f>
              <c:strCache>
                <c:ptCount val="250"/>
                <c:pt idx="0">
                  <c:v>2026-01-01</c:v>
                </c:pt>
                <c:pt idx="1">
                  <c:v>2026-01-02</c:v>
                </c:pt>
                <c:pt idx="2">
                  <c:v>2026-01-03</c:v>
                </c:pt>
                <c:pt idx="3">
                  <c:v>2026-01-04</c:v>
                </c:pt>
                <c:pt idx="4">
                  <c:v>2026-01-05</c:v>
                </c:pt>
                <c:pt idx="5">
                  <c:v>2026-01-06</c:v>
                </c:pt>
                <c:pt idx="6">
                  <c:v>2026-01-07</c:v>
                </c:pt>
                <c:pt idx="7">
                  <c:v>2026-01-08</c:v>
                </c:pt>
                <c:pt idx="8">
                  <c:v>2026-01-09</c:v>
                </c:pt>
                <c:pt idx="9">
                  <c:v>2026-01-10</c:v>
                </c:pt>
                <c:pt idx="10">
                  <c:v>2026-01-11</c:v>
                </c:pt>
                <c:pt idx="11">
                  <c:v>2026-01-12</c:v>
                </c:pt>
                <c:pt idx="12">
                  <c:v>2026-01-13</c:v>
                </c:pt>
                <c:pt idx="13">
                  <c:v>2026-01-14</c:v>
                </c:pt>
                <c:pt idx="14">
                  <c:v>2026-01-15</c:v>
                </c:pt>
                <c:pt idx="15">
                  <c:v>2026-01-16</c:v>
                </c:pt>
                <c:pt idx="16">
                  <c:v>2026-01-17</c:v>
                </c:pt>
                <c:pt idx="17">
                  <c:v>2026-01-18</c:v>
                </c:pt>
                <c:pt idx="18">
                  <c:v>2026-01-19</c:v>
                </c:pt>
                <c:pt idx="19">
                  <c:v>2026-01-20</c:v>
                </c:pt>
                <c:pt idx="20">
                  <c:v>2026-01-21</c:v>
                </c:pt>
                <c:pt idx="21">
                  <c:v>2026-01-22</c:v>
                </c:pt>
                <c:pt idx="22">
                  <c:v>2026-01-23</c:v>
                </c:pt>
                <c:pt idx="23">
                  <c:v>2026-01-24</c:v>
                </c:pt>
                <c:pt idx="24">
                  <c:v>2026-01-25</c:v>
                </c:pt>
                <c:pt idx="25">
                  <c:v>2026-01-26</c:v>
                </c:pt>
                <c:pt idx="26">
                  <c:v>2026-01-27</c:v>
                </c:pt>
                <c:pt idx="27">
                  <c:v>2026-01-28</c:v>
                </c:pt>
                <c:pt idx="28">
                  <c:v>2026-01-29</c:v>
                </c:pt>
                <c:pt idx="29">
                  <c:v>2026-01-30</c:v>
                </c:pt>
                <c:pt idx="30">
                  <c:v>2026-01-31</c:v>
                </c:pt>
                <c:pt idx="31">
                  <c:v>2026-02-01</c:v>
                </c:pt>
                <c:pt idx="32">
                  <c:v>2026-02-02</c:v>
                </c:pt>
                <c:pt idx="33">
                  <c:v>2026-02-03</c:v>
                </c:pt>
                <c:pt idx="34">
                  <c:v>2026-02-04</c:v>
                </c:pt>
                <c:pt idx="35">
                  <c:v>2026-02-05</c:v>
                </c:pt>
                <c:pt idx="36">
                  <c:v>2026-02-06</c:v>
                </c:pt>
                <c:pt idx="37">
                  <c:v>2026-02-07</c:v>
                </c:pt>
                <c:pt idx="38">
                  <c:v>2026-02-08</c:v>
                </c:pt>
                <c:pt idx="39">
                  <c:v>2026-02-09</c:v>
                </c:pt>
                <c:pt idx="40">
                  <c:v>2026-02-10</c:v>
                </c:pt>
                <c:pt idx="41">
                  <c:v>2026-02-11</c:v>
                </c:pt>
                <c:pt idx="42">
                  <c:v>2026-02-12</c:v>
                </c:pt>
                <c:pt idx="43">
                  <c:v>2026-02-13</c:v>
                </c:pt>
                <c:pt idx="44">
                  <c:v>2026-02-14</c:v>
                </c:pt>
                <c:pt idx="45">
                  <c:v>2026-02-15</c:v>
                </c:pt>
                <c:pt idx="46">
                  <c:v>2026-02-16</c:v>
                </c:pt>
                <c:pt idx="47">
                  <c:v>2026-02-17</c:v>
                </c:pt>
                <c:pt idx="48">
                  <c:v>2026-02-18</c:v>
                </c:pt>
                <c:pt idx="49">
                  <c:v>2026-02-19</c:v>
                </c:pt>
                <c:pt idx="50">
                  <c:v>2026-02-20</c:v>
                </c:pt>
                <c:pt idx="51">
                  <c:v>2026-02-21</c:v>
                </c:pt>
                <c:pt idx="52">
                  <c:v>2026-02-22</c:v>
                </c:pt>
                <c:pt idx="53">
                  <c:v>2026-02-23</c:v>
                </c:pt>
                <c:pt idx="54">
                  <c:v>2026-02-24</c:v>
                </c:pt>
                <c:pt idx="55">
                  <c:v>2026-02-25</c:v>
                </c:pt>
                <c:pt idx="56">
                  <c:v>2026-02-26</c:v>
                </c:pt>
                <c:pt idx="57">
                  <c:v>2026-02-27</c:v>
                </c:pt>
                <c:pt idx="58">
                  <c:v>2026-02-28</c:v>
                </c:pt>
                <c:pt idx="59">
                  <c:v>2026-03-01</c:v>
                </c:pt>
                <c:pt idx="60">
                  <c:v>2026-03-02</c:v>
                </c:pt>
                <c:pt idx="61">
                  <c:v>2026-03-03</c:v>
                </c:pt>
                <c:pt idx="62">
                  <c:v>2026-03-04</c:v>
                </c:pt>
                <c:pt idx="63">
                  <c:v>2026-03-05</c:v>
                </c:pt>
                <c:pt idx="64">
                  <c:v>2026-03-06</c:v>
                </c:pt>
                <c:pt idx="65">
                  <c:v>2026-03-07</c:v>
                </c:pt>
                <c:pt idx="66">
                  <c:v>2026-03-08</c:v>
                </c:pt>
                <c:pt idx="67">
                  <c:v>2026-03-09</c:v>
                </c:pt>
                <c:pt idx="68">
                  <c:v>2026-03-10</c:v>
                </c:pt>
                <c:pt idx="69">
                  <c:v>2026-03-11</c:v>
                </c:pt>
                <c:pt idx="70">
                  <c:v>2026-03-12</c:v>
                </c:pt>
                <c:pt idx="71">
                  <c:v>2026-03-13</c:v>
                </c:pt>
                <c:pt idx="72">
                  <c:v>2026-03-14</c:v>
                </c:pt>
                <c:pt idx="73">
                  <c:v>2026-03-15</c:v>
                </c:pt>
                <c:pt idx="74">
                  <c:v>2026-03-16</c:v>
                </c:pt>
                <c:pt idx="75">
                  <c:v>2026-03-17</c:v>
                </c:pt>
                <c:pt idx="76">
                  <c:v>2026-03-18</c:v>
                </c:pt>
                <c:pt idx="77">
                  <c:v>2026-03-19</c:v>
                </c:pt>
                <c:pt idx="78">
                  <c:v>2026-03-20</c:v>
                </c:pt>
                <c:pt idx="79">
                  <c:v>2026-03-21</c:v>
                </c:pt>
                <c:pt idx="80">
                  <c:v>2026-03-22</c:v>
                </c:pt>
                <c:pt idx="81">
                  <c:v>2026-03-23</c:v>
                </c:pt>
                <c:pt idx="82">
                  <c:v>2026-03-24</c:v>
                </c:pt>
                <c:pt idx="83">
                  <c:v>2026-03-25</c:v>
                </c:pt>
                <c:pt idx="84">
                  <c:v>2026-03-26</c:v>
                </c:pt>
                <c:pt idx="85">
                  <c:v>2026-03-27</c:v>
                </c:pt>
                <c:pt idx="86">
                  <c:v>2026-03-28</c:v>
                </c:pt>
                <c:pt idx="87">
                  <c:v>2026-03-29</c:v>
                </c:pt>
                <c:pt idx="88">
                  <c:v>2026-03-30</c:v>
                </c:pt>
                <c:pt idx="89">
                  <c:v>2026-03-31</c:v>
                </c:pt>
                <c:pt idx="90">
                  <c:v>2026-04-01</c:v>
                </c:pt>
                <c:pt idx="91">
                  <c:v>2026-04-02</c:v>
                </c:pt>
                <c:pt idx="92">
                  <c:v>2026-04-03</c:v>
                </c:pt>
                <c:pt idx="93">
                  <c:v>2026-04-04</c:v>
                </c:pt>
                <c:pt idx="94">
                  <c:v>2026-04-05</c:v>
                </c:pt>
                <c:pt idx="95">
                  <c:v>2026-04-06</c:v>
                </c:pt>
                <c:pt idx="96">
                  <c:v>2026-04-07</c:v>
                </c:pt>
                <c:pt idx="97">
                  <c:v>2026-04-08</c:v>
                </c:pt>
                <c:pt idx="98">
                  <c:v>2026-04-09</c:v>
                </c:pt>
                <c:pt idx="99">
                  <c:v>2026-04-10</c:v>
                </c:pt>
                <c:pt idx="100">
                  <c:v>2026-04-11</c:v>
                </c:pt>
                <c:pt idx="101">
                  <c:v>2026-04-12</c:v>
                </c:pt>
                <c:pt idx="102">
                  <c:v>2026-04-13</c:v>
                </c:pt>
                <c:pt idx="103">
                  <c:v>2026-04-14</c:v>
                </c:pt>
                <c:pt idx="104">
                  <c:v>2026-04-15</c:v>
                </c:pt>
                <c:pt idx="105">
                  <c:v>2026-04-16</c:v>
                </c:pt>
                <c:pt idx="106">
                  <c:v>2026-04-17</c:v>
                </c:pt>
                <c:pt idx="107">
                  <c:v>2026-04-18</c:v>
                </c:pt>
                <c:pt idx="108">
                  <c:v>2026-04-19</c:v>
                </c:pt>
                <c:pt idx="109">
                  <c:v>2026-04-20</c:v>
                </c:pt>
                <c:pt idx="110">
                  <c:v>2026-04-21</c:v>
                </c:pt>
                <c:pt idx="111">
                  <c:v>2026-04-22</c:v>
                </c:pt>
                <c:pt idx="112">
                  <c:v>2026-04-23</c:v>
                </c:pt>
                <c:pt idx="113">
                  <c:v>2026-04-24</c:v>
                </c:pt>
                <c:pt idx="114">
                  <c:v>2026-04-25</c:v>
                </c:pt>
                <c:pt idx="115">
                  <c:v>2026-04-26</c:v>
                </c:pt>
                <c:pt idx="116">
                  <c:v>2026-04-27</c:v>
                </c:pt>
                <c:pt idx="117">
                  <c:v>2026-04-28</c:v>
                </c:pt>
                <c:pt idx="118">
                  <c:v>2026-04-29</c:v>
                </c:pt>
                <c:pt idx="119">
                  <c:v>2026-04-30</c:v>
                </c:pt>
                <c:pt idx="120">
                  <c:v>2026-05-01</c:v>
                </c:pt>
                <c:pt idx="121">
                  <c:v>2026-05-02</c:v>
                </c:pt>
                <c:pt idx="122">
                  <c:v>2026-05-03</c:v>
                </c:pt>
                <c:pt idx="123">
                  <c:v>2026-05-04</c:v>
                </c:pt>
                <c:pt idx="124">
                  <c:v>2026-05-05</c:v>
                </c:pt>
                <c:pt idx="125">
                  <c:v>2026-05-06</c:v>
                </c:pt>
                <c:pt idx="126">
                  <c:v>2026-05-07</c:v>
                </c:pt>
                <c:pt idx="127">
                  <c:v>2026-05-08</c:v>
                </c:pt>
                <c:pt idx="128">
                  <c:v>2026-05-09</c:v>
                </c:pt>
                <c:pt idx="129">
                  <c:v>2026-05-10</c:v>
                </c:pt>
                <c:pt idx="130">
                  <c:v>2026-05-11</c:v>
                </c:pt>
                <c:pt idx="131">
                  <c:v>2026-05-12</c:v>
                </c:pt>
                <c:pt idx="132">
                  <c:v>2026-05-13</c:v>
                </c:pt>
                <c:pt idx="133">
                  <c:v>2026-05-14</c:v>
                </c:pt>
                <c:pt idx="134">
                  <c:v>2026-05-15</c:v>
                </c:pt>
                <c:pt idx="135">
                  <c:v>2026-05-16</c:v>
                </c:pt>
                <c:pt idx="136">
                  <c:v>2026-05-17</c:v>
                </c:pt>
                <c:pt idx="137">
                  <c:v>2026-05-18</c:v>
                </c:pt>
                <c:pt idx="138">
                  <c:v>2026-05-19</c:v>
                </c:pt>
                <c:pt idx="139">
                  <c:v>2026-05-20</c:v>
                </c:pt>
                <c:pt idx="140">
                  <c:v>2026-05-21</c:v>
                </c:pt>
                <c:pt idx="141">
                  <c:v>2026-05-22</c:v>
                </c:pt>
                <c:pt idx="142">
                  <c:v>2026-05-23</c:v>
                </c:pt>
                <c:pt idx="143">
                  <c:v>2026-05-24</c:v>
                </c:pt>
                <c:pt idx="144">
                  <c:v>2026-05-25</c:v>
                </c:pt>
                <c:pt idx="145">
                  <c:v>2026-05-26</c:v>
                </c:pt>
                <c:pt idx="146">
                  <c:v>2026-05-27</c:v>
                </c:pt>
                <c:pt idx="147">
                  <c:v>2026-05-28</c:v>
                </c:pt>
                <c:pt idx="148">
                  <c:v>2026-05-29</c:v>
                </c:pt>
                <c:pt idx="149">
                  <c:v>2026-05-30</c:v>
                </c:pt>
                <c:pt idx="150">
                  <c:v>2026-05-31</c:v>
                </c:pt>
                <c:pt idx="151">
                  <c:v>2026-06-01</c:v>
                </c:pt>
                <c:pt idx="152">
                  <c:v>2026-06-02</c:v>
                </c:pt>
                <c:pt idx="153">
                  <c:v>2026-06-03</c:v>
                </c:pt>
                <c:pt idx="154">
                  <c:v>2026-06-04</c:v>
                </c:pt>
                <c:pt idx="155">
                  <c:v>2026-06-05</c:v>
                </c:pt>
                <c:pt idx="156">
                  <c:v>2026-06-06</c:v>
                </c:pt>
                <c:pt idx="157">
                  <c:v>2026-06-07</c:v>
                </c:pt>
                <c:pt idx="158">
                  <c:v>2026-06-08</c:v>
                </c:pt>
                <c:pt idx="159">
                  <c:v>2026-06-09</c:v>
                </c:pt>
                <c:pt idx="160">
                  <c:v>2026-06-10</c:v>
                </c:pt>
                <c:pt idx="161">
                  <c:v>2026-06-11</c:v>
                </c:pt>
                <c:pt idx="162">
                  <c:v>2026-06-12</c:v>
                </c:pt>
                <c:pt idx="163">
                  <c:v>2026-06-13</c:v>
                </c:pt>
                <c:pt idx="164">
                  <c:v>2026-06-14</c:v>
                </c:pt>
                <c:pt idx="165">
                  <c:v>2026-06-15</c:v>
                </c:pt>
                <c:pt idx="166">
                  <c:v>2026-06-16</c:v>
                </c:pt>
                <c:pt idx="167">
                  <c:v>2026-06-17</c:v>
                </c:pt>
                <c:pt idx="168">
                  <c:v>2026-06-18</c:v>
                </c:pt>
                <c:pt idx="169">
                  <c:v>2026-06-19</c:v>
                </c:pt>
                <c:pt idx="170">
                  <c:v>2026-06-20</c:v>
                </c:pt>
                <c:pt idx="171">
                  <c:v>2026-06-21</c:v>
                </c:pt>
                <c:pt idx="172">
                  <c:v>2026-06-22</c:v>
                </c:pt>
                <c:pt idx="173">
                  <c:v>2026-06-23</c:v>
                </c:pt>
                <c:pt idx="174">
                  <c:v>2026-06-24</c:v>
                </c:pt>
                <c:pt idx="175">
                  <c:v>2026-06-25</c:v>
                </c:pt>
                <c:pt idx="176">
                  <c:v>2026-06-26</c:v>
                </c:pt>
                <c:pt idx="177">
                  <c:v>2026-06-27</c:v>
                </c:pt>
                <c:pt idx="178">
                  <c:v>2026-06-28</c:v>
                </c:pt>
                <c:pt idx="179">
                  <c:v>2026-06-29</c:v>
                </c:pt>
                <c:pt idx="180">
                  <c:v>2026-06-30</c:v>
                </c:pt>
                <c:pt idx="181">
                  <c:v>2026-07-01</c:v>
                </c:pt>
                <c:pt idx="182">
                  <c:v>2026-07-02</c:v>
                </c:pt>
                <c:pt idx="183">
                  <c:v>2026-07-03</c:v>
                </c:pt>
                <c:pt idx="184">
                  <c:v>2026-07-04</c:v>
                </c:pt>
                <c:pt idx="185">
                  <c:v>2026-07-05</c:v>
                </c:pt>
                <c:pt idx="186">
                  <c:v>2026-07-06</c:v>
                </c:pt>
                <c:pt idx="187">
                  <c:v>2026-07-07</c:v>
                </c:pt>
                <c:pt idx="188">
                  <c:v>2026-07-08</c:v>
                </c:pt>
                <c:pt idx="189">
                  <c:v>2026-07-09</c:v>
                </c:pt>
                <c:pt idx="190">
                  <c:v>2026-07-10</c:v>
                </c:pt>
                <c:pt idx="191">
                  <c:v>2026-07-11</c:v>
                </c:pt>
                <c:pt idx="192">
                  <c:v>2026-07-12</c:v>
                </c:pt>
                <c:pt idx="193">
                  <c:v>2026-07-13</c:v>
                </c:pt>
                <c:pt idx="194">
                  <c:v>2026-07-14</c:v>
                </c:pt>
                <c:pt idx="195">
                  <c:v>2026-07-15</c:v>
                </c:pt>
                <c:pt idx="196">
                  <c:v>2026-07-16</c:v>
                </c:pt>
                <c:pt idx="197">
                  <c:v>2026-07-17</c:v>
                </c:pt>
                <c:pt idx="198">
                  <c:v>2026-07-18</c:v>
                </c:pt>
                <c:pt idx="199">
                  <c:v>2026-07-19</c:v>
                </c:pt>
                <c:pt idx="200">
                  <c:v>2026-07-20</c:v>
                </c:pt>
                <c:pt idx="201">
                  <c:v>2026-07-21</c:v>
                </c:pt>
                <c:pt idx="202">
                  <c:v>2026-07-22</c:v>
                </c:pt>
                <c:pt idx="203">
                  <c:v>2026-07-23</c:v>
                </c:pt>
                <c:pt idx="204">
                  <c:v>2026-07-24</c:v>
                </c:pt>
                <c:pt idx="205">
                  <c:v>2026-07-25</c:v>
                </c:pt>
                <c:pt idx="206">
                  <c:v>2026-07-26</c:v>
                </c:pt>
                <c:pt idx="207">
                  <c:v>2026-07-27</c:v>
                </c:pt>
                <c:pt idx="208">
                  <c:v>2026-07-28</c:v>
                </c:pt>
                <c:pt idx="209">
                  <c:v>2026-07-29</c:v>
                </c:pt>
                <c:pt idx="210">
                  <c:v>2026-07-30</c:v>
                </c:pt>
                <c:pt idx="211">
                  <c:v>2026-07-31</c:v>
                </c:pt>
                <c:pt idx="212">
                  <c:v>2026-08-01</c:v>
                </c:pt>
                <c:pt idx="213">
                  <c:v>2026-08-02</c:v>
                </c:pt>
                <c:pt idx="214">
                  <c:v>2026-08-03</c:v>
                </c:pt>
                <c:pt idx="215">
                  <c:v>2026-08-04</c:v>
                </c:pt>
                <c:pt idx="216">
                  <c:v>2026-08-05</c:v>
                </c:pt>
                <c:pt idx="217">
                  <c:v>2026-08-06</c:v>
                </c:pt>
                <c:pt idx="218">
                  <c:v>2026-08-07</c:v>
                </c:pt>
                <c:pt idx="219">
                  <c:v>2026-08-08</c:v>
                </c:pt>
                <c:pt idx="220">
                  <c:v>2026-08-09</c:v>
                </c:pt>
                <c:pt idx="221">
                  <c:v>2026-08-10</c:v>
                </c:pt>
                <c:pt idx="222">
                  <c:v>2026-08-11</c:v>
                </c:pt>
                <c:pt idx="223">
                  <c:v>2026-08-12</c:v>
                </c:pt>
                <c:pt idx="224">
                  <c:v>2026-08-13</c:v>
                </c:pt>
                <c:pt idx="225">
                  <c:v>2026-08-14</c:v>
                </c:pt>
                <c:pt idx="226">
                  <c:v>2026-08-15</c:v>
                </c:pt>
                <c:pt idx="227">
                  <c:v>2026-08-16</c:v>
                </c:pt>
                <c:pt idx="228">
                  <c:v>2026-08-17</c:v>
                </c:pt>
                <c:pt idx="229">
                  <c:v>2026-08-18</c:v>
                </c:pt>
                <c:pt idx="230">
                  <c:v>2026-08-19</c:v>
                </c:pt>
                <c:pt idx="231">
                  <c:v>2026-08-20</c:v>
                </c:pt>
                <c:pt idx="232">
                  <c:v>2026-08-21</c:v>
                </c:pt>
                <c:pt idx="233">
                  <c:v>2026-08-22</c:v>
                </c:pt>
                <c:pt idx="234">
                  <c:v>2026-08-23</c:v>
                </c:pt>
                <c:pt idx="235">
                  <c:v>2026-08-24</c:v>
                </c:pt>
                <c:pt idx="236">
                  <c:v>2026-08-25</c:v>
                </c:pt>
                <c:pt idx="237">
                  <c:v>2026-08-26</c:v>
                </c:pt>
                <c:pt idx="238">
                  <c:v>2026-08-27</c:v>
                </c:pt>
                <c:pt idx="239">
                  <c:v>2026-08-28</c:v>
                </c:pt>
                <c:pt idx="240">
                  <c:v>2026-08-29</c:v>
                </c:pt>
                <c:pt idx="241">
                  <c:v>2026-08-30</c:v>
                </c:pt>
                <c:pt idx="242">
                  <c:v>2026-08-31</c:v>
                </c:pt>
                <c:pt idx="243">
                  <c:v>2026-09-01</c:v>
                </c:pt>
                <c:pt idx="244">
                  <c:v>2026-09-02</c:v>
                </c:pt>
                <c:pt idx="245">
                  <c:v>2026-09-03</c:v>
                </c:pt>
                <c:pt idx="246">
                  <c:v>2026-09-04</c:v>
                </c:pt>
                <c:pt idx="247">
                  <c:v>2026-09-05</c:v>
                </c:pt>
                <c:pt idx="248">
                  <c:v>2026-09-06</c:v>
                </c:pt>
                <c:pt idx="249">
                  <c:v>2026-09-07</c:v>
                </c:pt>
              </c:strCache>
            </c:strRef>
          </c:cat>
          <c:val>
            <c:numRef>
              <c:f>Dashboard!$B$19:$B$268</c:f>
              <c:numCache>
                <c:formatCode>0.0%</c:formatCode>
                <c:ptCount val="250"/>
                <c:pt idx="0">
                  <c:v>0.791258954785672</c:v>
                </c:pt>
                <c:pt idx="1">
                  <c:v>0.796076255988342</c:v>
                </c:pt>
                <c:pt idx="2">
                  <c:v>0.84160533015688</c:v>
                </c:pt>
                <c:pt idx="3">
                  <c:v>0.88022661063094</c:v>
                </c:pt>
                <c:pt idx="4">
                  <c:v>0.73107749654664</c:v>
                </c:pt>
                <c:pt idx="5">
                  <c:v>0.713465183541835</c:v>
                </c:pt>
                <c:pt idx="6">
                  <c:v>0.79926600340757</c:v>
                </c:pt>
                <c:pt idx="7">
                  <c:v>0.899616729908308</c:v>
                </c:pt>
                <c:pt idx="8">
                  <c:v>0.873525391272193</c:v>
                </c:pt>
                <c:pt idx="9">
                  <c:v>0.803511113789924</c:v>
                </c:pt>
                <c:pt idx="10">
                  <c:v>0.854385893854263</c:v>
                </c:pt>
                <c:pt idx="11">
                  <c:v>0.685260940415737</c:v>
                </c:pt>
                <c:pt idx="12">
                  <c:v>0.754813072348995</c:v>
                </c:pt>
                <c:pt idx="13">
                  <c:v>0.817034016515604</c:v>
                </c:pt>
                <c:pt idx="14">
                  <c:v>0.788262994703542</c:v>
                </c:pt>
                <c:pt idx="15">
                  <c:v>0.833304891400585</c:v>
                </c:pt>
                <c:pt idx="16">
                  <c:v>0.810090531144273</c:v>
                </c:pt>
                <c:pt idx="17">
                  <c:v>0.925755699354411</c:v>
                </c:pt>
                <c:pt idx="18">
                  <c:v>0.825335784280964</c:v>
                </c:pt>
                <c:pt idx="19">
                  <c:v>0.855574648810758</c:v>
                </c:pt>
                <c:pt idx="20">
                  <c:v>0.725434427255695</c:v>
                </c:pt>
                <c:pt idx="21">
                  <c:v>0.830593392874888</c:v>
                </c:pt>
                <c:pt idx="22">
                  <c:v>0.825817613844173</c:v>
                </c:pt>
                <c:pt idx="23">
                  <c:v>0.811665524431255</c:v>
                </c:pt>
                <c:pt idx="24">
                  <c:v>0.802377716223513</c:v>
                </c:pt>
                <c:pt idx="25">
                  <c:v>0.825086722541769</c:v>
                </c:pt>
                <c:pt idx="26">
                  <c:v>0.843927421155024</c:v>
                </c:pt>
                <c:pt idx="27">
                  <c:v>0.90098022654875</c:v>
                </c:pt>
                <c:pt idx="28">
                  <c:v>0.830039905124641</c:v>
                </c:pt>
                <c:pt idx="29">
                  <c:v>0.919197996686346</c:v>
                </c:pt>
                <c:pt idx="30">
                  <c:v>0.87143509673575</c:v>
                </c:pt>
                <c:pt idx="31">
                  <c:v>0.89035635947112</c:v>
                </c:pt>
                <c:pt idx="32">
                  <c:v>0.903887533679498</c:v>
                </c:pt>
                <c:pt idx="33">
                  <c:v>0.920478590622501</c:v>
                </c:pt>
                <c:pt idx="34">
                  <c:v>0.824976184520937</c:v>
                </c:pt>
                <c:pt idx="35">
                  <c:v>0.759340461841162</c:v>
                </c:pt>
                <c:pt idx="36">
                  <c:v>0.834241227257282</c:v>
                </c:pt>
                <c:pt idx="37">
                  <c:v>0.807031495102431</c:v>
                </c:pt>
                <c:pt idx="38">
                  <c:v>0.838881995517533</c:v>
                </c:pt>
                <c:pt idx="39">
                  <c:v>0.896868036880522</c:v>
                </c:pt>
                <c:pt idx="40">
                  <c:v>0.75224658742261</c:v>
                </c:pt>
                <c:pt idx="41">
                  <c:v>0.821195507214155</c:v>
                </c:pt>
                <c:pt idx="42">
                  <c:v>0.726441272751202</c:v>
                </c:pt>
                <c:pt idx="43">
                  <c:v>0.848595291359895</c:v>
                </c:pt>
                <c:pt idx="44">
                  <c:v>0.760509293420448</c:v>
                </c:pt>
                <c:pt idx="45">
                  <c:v>0.741510288758778</c:v>
                </c:pt>
                <c:pt idx="46">
                  <c:v>0.908647903861591</c:v>
                </c:pt>
                <c:pt idx="47">
                  <c:v>0.849909694331891</c:v>
                </c:pt>
                <c:pt idx="48">
                  <c:v>0.83937339032699</c:v>
                </c:pt>
                <c:pt idx="49">
                  <c:v>0.828751705431716</c:v>
                </c:pt>
                <c:pt idx="50">
                  <c:v>0.820432982536231</c:v>
                </c:pt>
                <c:pt idx="51">
                  <c:v>0.75758042614874</c:v>
                </c:pt>
                <c:pt idx="52">
                  <c:v>0.795657545769621</c:v>
                </c:pt>
                <c:pt idx="53">
                  <c:v>0.822057781998379</c:v>
                </c:pt>
                <c:pt idx="54">
                  <c:v>0.758182648213237</c:v>
                </c:pt>
                <c:pt idx="55">
                  <c:v>0.832559311451999</c:v>
                </c:pt>
                <c:pt idx="56">
                  <c:v>0.853715761162344</c:v>
                </c:pt>
                <c:pt idx="57">
                  <c:v>0.781285507422648</c:v>
                </c:pt>
                <c:pt idx="58">
                  <c:v>0.885666781000277</c:v>
                </c:pt>
                <c:pt idx="59">
                  <c:v>0.816137292118181</c:v>
                </c:pt>
                <c:pt idx="60">
                  <c:v>0.798512366447313</c:v>
                </c:pt>
                <c:pt idx="61">
                  <c:v>0.782366605346864</c:v>
                </c:pt>
                <c:pt idx="62">
                  <c:v>0.855816811300231</c:v>
                </c:pt>
                <c:pt idx="63">
                  <c:v>0.863066989562628</c:v>
                </c:pt>
                <c:pt idx="64">
                  <c:v>0.802771320524324</c:v>
                </c:pt>
                <c:pt idx="65">
                  <c:v>0.814462491700743</c:v>
                </c:pt>
                <c:pt idx="66">
                  <c:v>0.770530335261725</c:v>
                </c:pt>
                <c:pt idx="67">
                  <c:v>0.745602634795536</c:v>
                </c:pt>
                <c:pt idx="68">
                  <c:v>0.845570182911367</c:v>
                </c:pt>
                <c:pt idx="69">
                  <c:v>0.875331640825943</c:v>
                </c:pt>
                <c:pt idx="70">
                  <c:v>0.785836181823457</c:v>
                </c:pt>
                <c:pt idx="71">
                  <c:v>0.774010416037292</c:v>
                </c:pt>
                <c:pt idx="72">
                  <c:v>0.746376928574583</c:v>
                </c:pt>
                <c:pt idx="73">
                  <c:v>0.880886434272551</c:v>
                </c:pt>
                <c:pt idx="74">
                  <c:v>0.952499912785627</c:v>
                </c:pt>
                <c:pt idx="75">
                  <c:v>0.78835186301118</c:v>
                </c:pt>
                <c:pt idx="76">
                  <c:v>0.915753371153283</c:v>
                </c:pt>
                <c:pt idx="77">
                  <c:v>0.747662612315478</c:v>
                </c:pt>
                <c:pt idx="78">
                  <c:v>0.732368130044682</c:v>
                </c:pt>
                <c:pt idx="79">
                  <c:v>0.825668084865762</c:v>
                </c:pt>
                <c:pt idx="80">
                  <c:v>0.728362115781471</c:v>
                </c:pt>
                <c:pt idx="81">
                  <c:v>0.835095264836489</c:v>
                </c:pt>
                <c:pt idx="82">
                  <c:v>0.767312038177251</c:v>
                </c:pt>
                <c:pt idx="83">
                  <c:v>0.833520412064582</c:v>
                </c:pt>
                <c:pt idx="84">
                  <c:v>0.728502509401252</c:v>
                </c:pt>
                <c:pt idx="85">
                  <c:v>0.735073857596119</c:v>
                </c:pt>
                <c:pt idx="86">
                  <c:v>0.878817616380227</c:v>
                </c:pt>
                <c:pt idx="87">
                  <c:v>0.79970354012767</c:v>
                </c:pt>
                <c:pt idx="88">
                  <c:v>0.771492941905263</c:v>
                </c:pt>
                <c:pt idx="89">
                  <c:v>0.87739514240976</c:v>
                </c:pt>
                <c:pt idx="90">
                  <c:v>0.809916443694753</c:v>
                </c:pt>
                <c:pt idx="91">
                  <c:v>0.726257356840167</c:v>
                </c:pt>
                <c:pt idx="92">
                  <c:v>0.756551290489079</c:v>
                </c:pt>
                <c:pt idx="93">
                  <c:v>0.923651824446441</c:v>
                </c:pt>
                <c:pt idx="94">
                  <c:v>0.796771075066507</c:v>
                </c:pt>
                <c:pt idx="95">
                  <c:v>0.753004949604789</c:v>
                </c:pt>
                <c:pt idx="96">
                  <c:v>0.71947706770437</c:v>
                </c:pt>
                <c:pt idx="97">
                  <c:v>0.791020770281091</c:v>
                </c:pt>
                <c:pt idx="98">
                  <c:v>0.749683446530894</c:v>
                </c:pt>
                <c:pt idx="99">
                  <c:v>0.902428924595321</c:v>
                </c:pt>
                <c:pt idx="100">
                  <c:v>0.831164529552152</c:v>
                </c:pt>
                <c:pt idx="101">
                  <c:v>0.774463622294594</c:v>
                </c:pt>
                <c:pt idx="102">
                  <c:v>0.812546756081333</c:v>
                </c:pt>
                <c:pt idx="103">
                  <c:v>0.757185439448631</c:v>
                </c:pt>
                <c:pt idx="104">
                  <c:v>0.777237368472412</c:v>
                </c:pt>
                <c:pt idx="105">
                  <c:v>0.849504443239037</c:v>
                </c:pt>
                <c:pt idx="106">
                  <c:v>0.80378809605987</c:v>
                </c:pt>
                <c:pt idx="107">
                  <c:v>0.813716046502129</c:v>
                </c:pt>
                <c:pt idx="108">
                  <c:v>0.915920143417894</c:v>
                </c:pt>
                <c:pt idx="109">
                  <c:v>0.842026162128515</c:v>
                </c:pt>
                <c:pt idx="110">
                  <c:v>0.83499482716805</c:v>
                </c:pt>
                <c:pt idx="111">
                  <c:v>0.88269472169273</c:v>
                </c:pt>
                <c:pt idx="112">
                  <c:v>0.725551449398102</c:v>
                </c:pt>
                <c:pt idx="113">
                  <c:v>0.808923299314034</c:v>
                </c:pt>
                <c:pt idx="114">
                  <c:v>0.783561283251389</c:v>
                </c:pt>
                <c:pt idx="115">
                  <c:v>0.805044767826381</c:v>
                </c:pt>
                <c:pt idx="116">
                  <c:v>0.756260241853308</c:v>
                </c:pt>
                <c:pt idx="117">
                  <c:v>0.857088132539658</c:v>
                </c:pt>
                <c:pt idx="118">
                  <c:v>0.883830934680569</c:v>
                </c:pt>
                <c:pt idx="119">
                  <c:v>0.751399892531179</c:v>
                </c:pt>
                <c:pt idx="120">
                  <c:v>0.774334134493591</c:v>
                </c:pt>
                <c:pt idx="121">
                  <c:v>0.808737085086615</c:v>
                </c:pt>
                <c:pt idx="122">
                  <c:v>0.810338698683232</c:v>
                </c:pt>
                <c:pt idx="123">
                  <c:v>0.753793266382873</c:v>
                </c:pt>
                <c:pt idx="124">
                  <c:v>0.814378979078584</c:v>
                </c:pt>
                <c:pt idx="125">
                  <c:v>0.79481625360767</c:v>
                </c:pt>
                <c:pt idx="126">
                  <c:v>0.857118709596153</c:v>
                </c:pt>
                <c:pt idx="127">
                  <c:v>0.791851320349601</c:v>
                </c:pt>
                <c:pt idx="128">
                  <c:v>0.73411707838644</c:v>
                </c:pt>
                <c:pt idx="129">
                  <c:v>0.745907385774146</c:v>
                </c:pt>
                <c:pt idx="130">
                  <c:v>0.869731538701942</c:v>
                </c:pt>
                <c:pt idx="131">
                  <c:v>0.857843785129674</c:v>
                </c:pt>
                <c:pt idx="132">
                  <c:v>0.747663682327375</c:v>
                </c:pt>
                <c:pt idx="133">
                  <c:v>0.748962217452292</c:v>
                </c:pt>
                <c:pt idx="134">
                  <c:v>0.80878064885818</c:v>
                </c:pt>
                <c:pt idx="135">
                  <c:v>0.908954624425461</c:v>
                </c:pt>
                <c:pt idx="136">
                  <c:v>0.861028827139453</c:v>
                </c:pt>
                <c:pt idx="137">
                  <c:v>0.808795231912119</c:v>
                </c:pt>
                <c:pt idx="138">
                  <c:v>0.785692273299731</c:v>
                </c:pt>
                <c:pt idx="139">
                  <c:v>0.870158367247546</c:v>
                </c:pt>
                <c:pt idx="140">
                  <c:v>0.8734233380281</c:v>
                </c:pt>
                <c:pt idx="141">
                  <c:v>0.831183264938687</c:v>
                </c:pt>
                <c:pt idx="142">
                  <c:v>0.833167877475705</c:v>
                </c:pt>
                <c:pt idx="143">
                  <c:v>0.90513034984668</c:v>
                </c:pt>
                <c:pt idx="144">
                  <c:v>0.851525672759952</c:v>
                </c:pt>
                <c:pt idx="145">
                  <c:v>0.825624244691165</c:v>
                </c:pt>
                <c:pt idx="146">
                  <c:v>0.825723582142403</c:v>
                </c:pt>
                <c:pt idx="147">
                  <c:v>0.836494533175275</c:v>
                </c:pt>
                <c:pt idx="148">
                  <c:v>0.829880910795404</c:v>
                </c:pt>
                <c:pt idx="149">
                  <c:v>0.796041252964646</c:v>
                </c:pt>
                <c:pt idx="150">
                  <c:v>0.783474561653292</c:v>
                </c:pt>
                <c:pt idx="151">
                  <c:v>0.816089081429013</c:v>
                </c:pt>
                <c:pt idx="152">
                  <c:v>0.767348286743339</c:v>
                </c:pt>
                <c:pt idx="153">
                  <c:v>0.787253543229066</c:v>
                </c:pt>
                <c:pt idx="154">
                  <c:v>0.784309618921079</c:v>
                </c:pt>
                <c:pt idx="155">
                  <c:v>0.783843135920219</c:v>
                </c:pt>
                <c:pt idx="156">
                  <c:v>0.817061143671166</c:v>
                </c:pt>
                <c:pt idx="157">
                  <c:v>0.77986466303562</c:v>
                </c:pt>
                <c:pt idx="158">
                  <c:v>0.762094218340085</c:v>
                </c:pt>
                <c:pt idx="159">
                  <c:v>0.870307696301505</c:v>
                </c:pt>
                <c:pt idx="160">
                  <c:v>0.773385934545592</c:v>
                </c:pt>
                <c:pt idx="161">
                  <c:v>0.844387592520229</c:v>
                </c:pt>
                <c:pt idx="162">
                  <c:v>0.790169702773483</c:v>
                </c:pt>
                <c:pt idx="163">
                  <c:v>0.778697104696635</c:v>
                </c:pt>
                <c:pt idx="164">
                  <c:v>0.794517227810006</c:v>
                </c:pt>
                <c:pt idx="165">
                  <c:v>0.774193985920915</c:v>
                </c:pt>
                <c:pt idx="166">
                  <c:v>0.825600347794154</c:v>
                </c:pt>
                <c:pt idx="167">
                  <c:v>0.775206824804141</c:v>
                </c:pt>
                <c:pt idx="168">
                  <c:v>0.778566373126707</c:v>
                </c:pt>
                <c:pt idx="169">
                  <c:v>0.803484544024063</c:v>
                </c:pt>
                <c:pt idx="170">
                  <c:v>0.872611251689984</c:v>
                </c:pt>
                <c:pt idx="171">
                  <c:v>0.804686466872469</c:v>
                </c:pt>
                <c:pt idx="172">
                  <c:v>0.855402656437304</c:v>
                </c:pt>
                <c:pt idx="173">
                  <c:v>0.90412736837688</c:v>
                </c:pt>
                <c:pt idx="174">
                  <c:v>0.776311865039324</c:v>
                </c:pt>
                <c:pt idx="175">
                  <c:v>0.89333508939207</c:v>
                </c:pt>
                <c:pt idx="176">
                  <c:v>0.748838643090129</c:v>
                </c:pt>
                <c:pt idx="177">
                  <c:v>0.822635204156087</c:v>
                </c:pt>
                <c:pt idx="178">
                  <c:v>0.743144029393008</c:v>
                </c:pt>
                <c:pt idx="179">
                  <c:v>0.888044640124453</c:v>
                </c:pt>
                <c:pt idx="180">
                  <c:v>0.854002879324682</c:v>
                </c:pt>
                <c:pt idx="181">
                  <c:v>0.761537141431738</c:v>
                </c:pt>
                <c:pt idx="182">
                  <c:v>0.788000415040902</c:v>
                </c:pt>
                <c:pt idx="183">
                  <c:v>0.786268784863232</c:v>
                </c:pt>
                <c:pt idx="184">
                  <c:v>0.860450505353356</c:v>
                </c:pt>
                <c:pt idx="185">
                  <c:v>0.814204756198661</c:v>
                </c:pt>
                <c:pt idx="186">
                  <c:v>0.9139593657428</c:v>
                </c:pt>
                <c:pt idx="187">
                  <c:v>0.832396587434443</c:v>
                </c:pt>
                <c:pt idx="188">
                  <c:v>0.768621032295399</c:v>
                </c:pt>
                <c:pt idx="189">
                  <c:v>0.848955262087282</c:v>
                </c:pt>
                <c:pt idx="190">
                  <c:v>0.794654468532551</c:v>
                </c:pt>
                <c:pt idx="191">
                  <c:v>0.792697325807858</c:v>
                </c:pt>
                <c:pt idx="192">
                  <c:v>0.853942563539936</c:v>
                </c:pt>
                <c:pt idx="193">
                  <c:v>0.835760693729834</c:v>
                </c:pt>
                <c:pt idx="194">
                  <c:v>0.823258368842507</c:v>
                </c:pt>
                <c:pt idx="195">
                  <c:v>0.858791627012901</c:v>
                </c:pt>
                <c:pt idx="196">
                  <c:v>0.718905077143721</c:v>
                </c:pt>
                <c:pt idx="197">
                  <c:v>0.818285734223895</c:v>
                </c:pt>
                <c:pt idx="198">
                  <c:v>0.728588248791983</c:v>
                </c:pt>
                <c:pt idx="199">
                  <c:v>0.792551002169017</c:v>
                </c:pt>
                <c:pt idx="200">
                  <c:v>0.747691719618005</c:v>
                </c:pt>
                <c:pt idx="201">
                  <c:v>0.732477218087182</c:v>
                </c:pt>
                <c:pt idx="202">
                  <c:v>0.880309738709715</c:v>
                </c:pt>
                <c:pt idx="203">
                  <c:v>0.789203417030505</c:v>
                </c:pt>
                <c:pt idx="204">
                  <c:v>0.71783007114106</c:v>
                </c:pt>
                <c:pt idx="205">
                  <c:v>0.799646563786723</c:v>
                </c:pt>
                <c:pt idx="206">
                  <c:v>0.859756668988505</c:v>
                </c:pt>
                <c:pt idx="207">
                  <c:v>0.867590409922553</c:v>
                </c:pt>
                <c:pt idx="208">
                  <c:v>0.890586766325016</c:v>
                </c:pt>
                <c:pt idx="209">
                  <c:v>0.910151834923294</c:v>
                </c:pt>
                <c:pt idx="210">
                  <c:v>0.79531358082383</c:v>
                </c:pt>
                <c:pt idx="211">
                  <c:v>0.889503562511807</c:v>
                </c:pt>
                <c:pt idx="212">
                  <c:v>0.835804384793099</c:v>
                </c:pt>
                <c:pt idx="213">
                  <c:v>0.782772049327476</c:v>
                </c:pt>
                <c:pt idx="214">
                  <c:v>0.835005868970165</c:v>
                </c:pt>
                <c:pt idx="215">
                  <c:v>0.784164469249728</c:v>
                </c:pt>
                <c:pt idx="216">
                  <c:v>0.816083216211286</c:v>
                </c:pt>
                <c:pt idx="217">
                  <c:v>0.910123367244215</c:v>
                </c:pt>
                <c:pt idx="218">
                  <c:v>0.899849077783244</c:v>
                </c:pt>
                <c:pt idx="219">
                  <c:v>0.816085349585474</c:v>
                </c:pt>
                <c:pt idx="220">
                  <c:v>0.900998245176767</c:v>
                </c:pt>
                <c:pt idx="221">
                  <c:v>0.797284830832511</c:v>
                </c:pt>
                <c:pt idx="222">
                  <c:v>0.810051303061265</c:v>
                </c:pt>
                <c:pt idx="223">
                  <c:v>0.846161135606755</c:v>
                </c:pt>
                <c:pt idx="224">
                  <c:v>0.762565853898725</c:v>
                </c:pt>
                <c:pt idx="225">
                  <c:v>0.710971190648966</c:v>
                </c:pt>
                <c:pt idx="226">
                  <c:v>0.789028807932558</c:v>
                </c:pt>
                <c:pt idx="227">
                  <c:v>0.744533103794113</c:v>
                </c:pt>
                <c:pt idx="228">
                  <c:v>0.912179986727674</c:v>
                </c:pt>
                <c:pt idx="229">
                  <c:v>0.818723930734326</c:v>
                </c:pt>
                <c:pt idx="230">
                  <c:v>0.802565113693833</c:v>
                </c:pt>
                <c:pt idx="231">
                  <c:v>0.886383062585274</c:v>
                </c:pt>
                <c:pt idx="232">
                  <c:v>0.894774012054953</c:v>
                </c:pt>
                <c:pt idx="233">
                  <c:v>0.720473305452942</c:v>
                </c:pt>
                <c:pt idx="234">
                  <c:v>0.793290255386949</c:v>
                </c:pt>
                <c:pt idx="235">
                  <c:v>0.864375292379918</c:v>
                </c:pt>
                <c:pt idx="236">
                  <c:v>0.833244583819784</c:v>
                </c:pt>
                <c:pt idx="237">
                  <c:v>0.832207110523257</c:v>
                </c:pt>
                <c:pt idx="238">
                  <c:v>0.80635119471019</c:v>
                </c:pt>
                <c:pt idx="239">
                  <c:v>0.711779059177517</c:v>
                </c:pt>
                <c:pt idx="240">
                  <c:v>0.881001656904147</c:v>
                </c:pt>
                <c:pt idx="241">
                  <c:v>0.899922269258892</c:v>
                </c:pt>
                <c:pt idx="242">
                  <c:v>0.815247017499512</c:v>
                </c:pt>
                <c:pt idx="243">
                  <c:v>0.815979792935525</c:v>
                </c:pt>
                <c:pt idx="244">
                  <c:v>0.82601078254167</c:v>
                </c:pt>
                <c:pt idx="245">
                  <c:v>0.837894835438654</c:v>
                </c:pt>
                <c:pt idx="246">
                  <c:v>0.679137559084713</c:v>
                </c:pt>
                <c:pt idx="247">
                  <c:v>0.873827353553177</c:v>
                </c:pt>
                <c:pt idx="248">
                  <c:v>0.804422115970285</c:v>
                </c:pt>
                <c:pt idx="249">
                  <c:v>0.77492107620548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711047"/>
        <c:axId val="9354773"/>
      </c:lineChart>
      <c:catAx>
        <c:axId val="367110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9354773"/>
        <c:crosses val="autoZero"/>
        <c:auto val="1"/>
        <c:lblAlgn val="ctr"/>
        <c:lblOffset val="100"/>
        <c:noMultiLvlLbl val="0"/>
      </c:catAx>
      <c:valAx>
        <c:axId val="935477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OEE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367110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7</xdr:row>
      <xdr:rowOff>10800</xdr:rowOff>
    </xdr:from>
    <xdr:to>
      <xdr:col>6</xdr:col>
      <xdr:colOff>1358640</xdr:colOff>
      <xdr:row>20</xdr:row>
      <xdr:rowOff>53280</xdr:rowOff>
    </xdr:to>
    <xdr:graphicFrame>
      <xdr:nvGraphicFramePr>
        <xdr:cNvPr id="0" name="Chart 1"/>
        <xdr:cNvGraphicFramePr/>
      </xdr:nvGraphicFramePr>
      <xdr:xfrm>
        <a:off x="2960280" y="1515600"/>
        <a:ext cx="431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23</xdr:row>
      <xdr:rowOff>10800</xdr:rowOff>
    </xdr:from>
    <xdr:to>
      <xdr:col>10</xdr:col>
      <xdr:colOff>337320</xdr:colOff>
      <xdr:row>38</xdr:row>
      <xdr:rowOff>32400</xdr:rowOff>
    </xdr:to>
    <xdr:graphicFrame>
      <xdr:nvGraphicFramePr>
        <xdr:cNvPr id="1" name="Chart 2"/>
        <xdr:cNvGraphicFramePr/>
      </xdr:nvGraphicFramePr>
      <xdr:xfrm>
        <a:off x="2960280" y="4563720"/>
        <a:ext cx="71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OEE_Data" displayName="OEE_Data" ref="A3:AZ754" headerRowCount="1" totalsRowCount="0" totalsRowShown="0">
  <autoFilter ref="A3:AZ754"/>
  <tableColumns count="52">
    <tableColumn id="1" name="S.No."/>
    <tableColumn id="2" name="Date"/>
    <tableColumn id="3" name="Production Hour"/>
    <tableColumn id="4" name="Shift"/>
    <tableColumn id="5" name="Machine Name"/>
    <tableColumn id="6" name="Material Name"/>
    <tableColumn id="7" name="Machine No."/>
    <tableColumn id="8" name="Start Time"/>
    <tableColumn id="9" name="Stop Time"/>
    <tableColumn id="10" name="Shift Time (Minutes)"/>
    <tableColumn id="11" name="Shift Incharge"/>
    <tableColumn id="12" name="Operator Name"/>
    <tableColumn id="13" name="Part Name "/>
    <tableColumn id="14" name="Part No."/>
    <tableColumn id="15" name="Cavity"/>
    <tableColumn id="16" name="Cycle Time (Sec.)"/>
    <tableColumn id="17" name="Target Qty./Hr. (Pcs.)"/>
    <tableColumn id="18" name="Actual Production Qty."/>
    <tableColumn id="19" name="Planned Down Time (Tea/Lunch)"/>
    <tableColumn id="20" name="Available Time"/>
    <tableColumn id="21" name="Reason of Idle Time (Unplanned BD Time in Minutes)"/>
    <tableColumn id="22" name="None"/>
    <tableColumn id="23" name="None2"/>
    <tableColumn id="24" name="None3"/>
    <tableColumn id="25" name="None4"/>
    <tableColumn id="26" name="None5"/>
    <tableColumn id="27" name="None6"/>
    <tableColumn id="28" name="None7"/>
    <tableColumn id="29" name="None8"/>
    <tableColumn id="30" name="None9"/>
    <tableColumn id="31" name="None10"/>
    <tableColumn id="32" name="Total Idle Time (Minutes)"/>
    <tableColumn id="33" name="Total Run Time (Minutes)"/>
    <tableColumn id="34" name="Availability Ratio (A)"/>
    <tableColumn id="35" name="Actual Qty./ Hr."/>
    <tableColumn id="36" name="Operator Efficiency (Performance Ratio) - (P)"/>
    <tableColumn id="37" name="Machine Efficiency (Machine Utilisation)"/>
    <tableColumn id="38" name="Reason of  Rejection (Qty. in Pcs.)"/>
    <tableColumn id="39" name="None11"/>
    <tableColumn id="40" name="None12"/>
    <tableColumn id="41" name="None13"/>
    <tableColumn id="42" name="None14"/>
    <tableColumn id="43" name="None15"/>
    <tableColumn id="44" name="None16"/>
    <tableColumn id="45" name="None17"/>
    <tableColumn id="46" name="None18"/>
    <tableColumn id="47" name="None19"/>
    <tableColumn id="48" name="Total Rejection (Pcs Qty.)"/>
    <tableColumn id="49" name="Rejection PPM"/>
    <tableColumn id="50" name="Quantity Ratio (Q)"/>
    <tableColumn id="51" name="OEE (A*P*Q)"/>
    <tableColumn id="52" name="Any Other Remark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4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6" min="6" style="1" width="4"/>
    <col collapsed="false" customWidth="true" hidden="false" outlineLevel="0" max="7" min="7" style="1" width="22"/>
    <col collapsed="false" customWidth="true" hidden="false" outlineLevel="0" max="8" min="8" style="1" width="16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7.25" hidden="false" customHeight="true" outlineLevel="0" collapsed="false">
      <c r="A3" s="3" t="s">
        <v>1</v>
      </c>
      <c r="B3" s="4" t="n">
        <v>750</v>
      </c>
      <c r="D3" s="3" t="s">
        <v>2</v>
      </c>
      <c r="E3" s="5" t="n">
        <v>0.815236749806367</v>
      </c>
      <c r="G3" s="3" t="s">
        <v>3</v>
      </c>
      <c r="H3" s="4" t="n">
        <v>2149819</v>
      </c>
    </row>
    <row r="5" customFormat="false" ht="17.25" hidden="false" customHeight="true" outlineLevel="0" collapsed="false">
      <c r="A5" s="3" t="s">
        <v>4</v>
      </c>
      <c r="B5" s="5" t="n">
        <v>0.930872078497201</v>
      </c>
      <c r="D5" s="3" t="s">
        <v>5</v>
      </c>
      <c r="E5" s="5" t="n">
        <v>0.887335477250427</v>
      </c>
      <c r="G5" s="3" t="s">
        <v>6</v>
      </c>
      <c r="H5" s="4" t="n">
        <v>28505</v>
      </c>
    </row>
    <row r="9" customFormat="false" ht="15" hidden="false" customHeight="true" outlineLevel="0" collapsed="false">
      <c r="A9" s="6" t="s">
        <v>7</v>
      </c>
      <c r="B9" s="6" t="s">
        <v>2</v>
      </c>
    </row>
    <row r="10" customFormat="false" ht="15" hidden="false" customHeight="true" outlineLevel="0" collapsed="false">
      <c r="A10" s="1" t="s">
        <v>8</v>
      </c>
      <c r="B10" s="7" t="n">
        <v>0.810580609347883</v>
      </c>
    </row>
    <row r="11" customFormat="false" ht="15" hidden="false" customHeight="true" outlineLevel="0" collapsed="false">
      <c r="A11" s="1" t="s">
        <v>9</v>
      </c>
      <c r="B11" s="7" t="n">
        <v>0.809825904401839</v>
      </c>
    </row>
    <row r="12" customFormat="false" ht="15" hidden="false" customHeight="true" outlineLevel="0" collapsed="false">
      <c r="A12" s="1" t="s">
        <v>10</v>
      </c>
      <c r="B12" s="7" t="n">
        <v>0.812053888859926</v>
      </c>
    </row>
    <row r="13" customFormat="false" ht="15" hidden="false" customHeight="true" outlineLevel="0" collapsed="false">
      <c r="A13" s="1" t="s">
        <v>11</v>
      </c>
      <c r="B13" s="7" t="n">
        <v>0.816876137787437</v>
      </c>
    </row>
    <row r="14" customFormat="false" ht="15" hidden="false" customHeight="true" outlineLevel="0" collapsed="false">
      <c r="A14" s="1" t="s">
        <v>12</v>
      </c>
      <c r="B14" s="7" t="n">
        <v>0.818075114089383</v>
      </c>
    </row>
    <row r="15" customFormat="false" ht="15" hidden="false" customHeight="true" outlineLevel="0" collapsed="false">
      <c r="A15" s="1" t="s">
        <v>13</v>
      </c>
      <c r="B15" s="7" t="n">
        <v>0.824008844351735</v>
      </c>
    </row>
    <row r="18" customFormat="false" ht="15" hidden="false" customHeight="true" outlineLevel="0" collapsed="false">
      <c r="A18" s="6" t="s">
        <v>14</v>
      </c>
      <c r="B18" s="6" t="s">
        <v>2</v>
      </c>
      <c r="C18" s="6" t="s">
        <v>15</v>
      </c>
    </row>
    <row r="19" customFormat="false" ht="15" hidden="false" customHeight="true" outlineLevel="0" collapsed="false">
      <c r="A19" s="8" t="n">
        <v>46023</v>
      </c>
      <c r="B19" s="7" t="n">
        <v>0.791258954785672</v>
      </c>
      <c r="C19" s="1" t="n">
        <v>9007</v>
      </c>
    </row>
    <row r="20" customFormat="false" ht="15" hidden="false" customHeight="true" outlineLevel="0" collapsed="false">
      <c r="A20" s="8" t="n">
        <v>46024</v>
      </c>
      <c r="B20" s="7" t="n">
        <v>0.796076255988342</v>
      </c>
      <c r="C20" s="1" t="n">
        <v>5298</v>
      </c>
    </row>
    <row r="21" customFormat="false" ht="15" hidden="false" customHeight="true" outlineLevel="0" collapsed="false">
      <c r="A21" s="8" t="n">
        <v>46025</v>
      </c>
      <c r="B21" s="7" t="n">
        <v>0.84160533015688</v>
      </c>
      <c r="C21" s="1" t="n">
        <v>11176</v>
      </c>
    </row>
    <row r="22" customFormat="false" ht="15" hidden="false" customHeight="true" outlineLevel="0" collapsed="false">
      <c r="A22" s="8" t="n">
        <v>46026</v>
      </c>
      <c r="B22" s="7" t="n">
        <v>0.88022661063094</v>
      </c>
      <c r="C22" s="1" t="n">
        <v>13720</v>
      </c>
    </row>
    <row r="23" customFormat="false" ht="15" hidden="false" customHeight="true" outlineLevel="0" collapsed="false">
      <c r="A23" s="8" t="n">
        <v>46027</v>
      </c>
      <c r="B23" s="7" t="n">
        <v>0.73107749654664</v>
      </c>
      <c r="C23" s="1" t="n">
        <v>14276</v>
      </c>
    </row>
    <row r="24" customFormat="false" ht="15" hidden="false" customHeight="true" outlineLevel="0" collapsed="false">
      <c r="A24" s="8" t="n">
        <v>46028</v>
      </c>
      <c r="B24" s="7" t="n">
        <v>0.713465183541835</v>
      </c>
      <c r="C24" s="1" t="n">
        <v>3049</v>
      </c>
    </row>
    <row r="25" customFormat="false" ht="15" hidden="false" customHeight="true" outlineLevel="0" collapsed="false">
      <c r="A25" s="8" t="n">
        <v>46029</v>
      </c>
      <c r="B25" s="7" t="n">
        <v>0.79926600340757</v>
      </c>
      <c r="C25" s="1" t="n">
        <v>12102</v>
      </c>
    </row>
    <row r="26" customFormat="false" ht="15" hidden="false" customHeight="true" outlineLevel="0" collapsed="false">
      <c r="A26" s="8" t="n">
        <v>46030</v>
      </c>
      <c r="B26" s="7" t="n">
        <v>0.899616729908308</v>
      </c>
      <c r="C26" s="1" t="n">
        <v>7540</v>
      </c>
    </row>
    <row r="27" customFormat="false" ht="15" hidden="false" customHeight="true" outlineLevel="0" collapsed="false">
      <c r="A27" s="8" t="n">
        <v>46031</v>
      </c>
      <c r="B27" s="7" t="n">
        <v>0.873525391272193</v>
      </c>
      <c r="C27" s="1" t="n">
        <v>12079</v>
      </c>
    </row>
    <row r="28" customFormat="false" ht="15" hidden="false" customHeight="true" outlineLevel="0" collapsed="false">
      <c r="A28" s="8" t="n">
        <v>46032</v>
      </c>
      <c r="B28" s="7" t="n">
        <v>0.803511113789924</v>
      </c>
      <c r="C28" s="1" t="n">
        <v>3092</v>
      </c>
    </row>
    <row r="29" customFormat="false" ht="15" hidden="false" customHeight="true" outlineLevel="0" collapsed="false">
      <c r="A29" s="8" t="n">
        <v>46033</v>
      </c>
      <c r="B29" s="7" t="n">
        <v>0.854385893854263</v>
      </c>
      <c r="C29" s="1" t="n">
        <v>15469</v>
      </c>
    </row>
    <row r="30" customFormat="false" ht="15" hidden="false" customHeight="true" outlineLevel="0" collapsed="false">
      <c r="A30" s="8" t="n">
        <v>46034</v>
      </c>
      <c r="B30" s="7" t="n">
        <v>0.685260940415737</v>
      </c>
      <c r="C30" s="1" t="n">
        <v>5603</v>
      </c>
    </row>
    <row r="31" customFormat="false" ht="15" hidden="false" customHeight="true" outlineLevel="0" collapsed="false">
      <c r="A31" s="8" t="n">
        <v>46035</v>
      </c>
      <c r="B31" s="7" t="n">
        <v>0.754813072348995</v>
      </c>
      <c r="C31" s="1" t="n">
        <v>3294</v>
      </c>
    </row>
    <row r="32" customFormat="false" ht="15" hidden="false" customHeight="true" outlineLevel="0" collapsed="false">
      <c r="A32" s="8" t="n">
        <v>46036</v>
      </c>
      <c r="B32" s="7" t="n">
        <v>0.817034016515604</v>
      </c>
      <c r="C32" s="1" t="n">
        <v>8539</v>
      </c>
    </row>
    <row r="33" customFormat="false" ht="15" hidden="false" customHeight="true" outlineLevel="0" collapsed="false">
      <c r="A33" s="8" t="n">
        <v>46037</v>
      </c>
      <c r="B33" s="7" t="n">
        <v>0.788262994703542</v>
      </c>
      <c r="C33" s="1" t="n">
        <v>7962</v>
      </c>
    </row>
    <row r="34" customFormat="false" ht="15" hidden="false" customHeight="true" outlineLevel="0" collapsed="false">
      <c r="A34" s="8" t="n">
        <v>46038</v>
      </c>
      <c r="B34" s="7" t="n">
        <v>0.833304891400585</v>
      </c>
      <c r="C34" s="1" t="n">
        <v>10128</v>
      </c>
    </row>
    <row r="35" customFormat="false" ht="15" hidden="false" customHeight="true" outlineLevel="0" collapsed="false">
      <c r="A35" s="8" t="n">
        <v>46039</v>
      </c>
      <c r="B35" s="7" t="n">
        <v>0.810090531144273</v>
      </c>
      <c r="C35" s="1" t="n">
        <v>9394</v>
      </c>
    </row>
    <row r="36" customFormat="false" ht="15" hidden="false" customHeight="true" outlineLevel="0" collapsed="false">
      <c r="A36" s="8" t="n">
        <v>46040</v>
      </c>
      <c r="B36" s="7" t="n">
        <v>0.925755699354411</v>
      </c>
      <c r="C36" s="1" t="n">
        <v>4372</v>
      </c>
    </row>
    <row r="37" customFormat="false" ht="15" hidden="false" customHeight="true" outlineLevel="0" collapsed="false">
      <c r="A37" s="8" t="n">
        <v>46041</v>
      </c>
      <c r="B37" s="7" t="n">
        <v>0.825335784280964</v>
      </c>
      <c r="C37" s="1" t="n">
        <v>6619</v>
      </c>
    </row>
    <row r="38" customFormat="false" ht="15" hidden="false" customHeight="true" outlineLevel="0" collapsed="false">
      <c r="A38" s="8" t="n">
        <v>46042</v>
      </c>
      <c r="B38" s="7" t="n">
        <v>0.855574648810758</v>
      </c>
      <c r="C38" s="1" t="n">
        <v>9221</v>
      </c>
    </row>
    <row r="39" customFormat="false" ht="15" hidden="false" customHeight="true" outlineLevel="0" collapsed="false">
      <c r="A39" s="8" t="n">
        <v>46043</v>
      </c>
      <c r="B39" s="7" t="n">
        <v>0.725434427255695</v>
      </c>
      <c r="C39" s="1" t="n">
        <v>5968</v>
      </c>
    </row>
    <row r="40" customFormat="false" ht="15" hidden="false" customHeight="true" outlineLevel="0" collapsed="false">
      <c r="A40" s="8" t="n">
        <v>46044</v>
      </c>
      <c r="B40" s="7" t="n">
        <v>0.830593392874888</v>
      </c>
      <c r="C40" s="1" t="n">
        <v>10228</v>
      </c>
    </row>
    <row r="41" customFormat="false" ht="15" hidden="false" customHeight="true" outlineLevel="0" collapsed="false">
      <c r="A41" s="8" t="n">
        <v>46045</v>
      </c>
      <c r="B41" s="7" t="n">
        <v>0.825817613844173</v>
      </c>
      <c r="C41" s="1" t="n">
        <v>3325</v>
      </c>
    </row>
    <row r="42" customFormat="false" ht="15" hidden="false" customHeight="true" outlineLevel="0" collapsed="false">
      <c r="A42" s="8" t="n">
        <v>46046</v>
      </c>
      <c r="B42" s="7" t="n">
        <v>0.811665524431255</v>
      </c>
      <c r="C42" s="1" t="n">
        <v>7036</v>
      </c>
    </row>
    <row r="43" customFormat="false" ht="15" hidden="false" customHeight="true" outlineLevel="0" collapsed="false">
      <c r="A43" s="8" t="n">
        <v>46047</v>
      </c>
      <c r="B43" s="7" t="n">
        <v>0.802377716223513</v>
      </c>
      <c r="C43" s="1" t="n">
        <v>22312</v>
      </c>
    </row>
    <row r="44" customFormat="false" ht="15" hidden="false" customHeight="true" outlineLevel="0" collapsed="false">
      <c r="A44" s="8" t="n">
        <v>46048</v>
      </c>
      <c r="B44" s="7" t="n">
        <v>0.825086722541769</v>
      </c>
      <c r="C44" s="1" t="n">
        <v>4328</v>
      </c>
    </row>
    <row r="45" customFormat="false" ht="15" hidden="false" customHeight="true" outlineLevel="0" collapsed="false">
      <c r="A45" s="8" t="n">
        <v>46049</v>
      </c>
      <c r="B45" s="7" t="n">
        <v>0.843927421155024</v>
      </c>
      <c r="C45" s="1" t="n">
        <v>8229</v>
      </c>
    </row>
    <row r="46" customFormat="false" ht="15" hidden="false" customHeight="true" outlineLevel="0" collapsed="false">
      <c r="A46" s="8" t="n">
        <v>46050</v>
      </c>
      <c r="B46" s="7" t="n">
        <v>0.90098022654875</v>
      </c>
      <c r="C46" s="1" t="n">
        <v>7791</v>
      </c>
    </row>
    <row r="47" customFormat="false" ht="15" hidden="false" customHeight="true" outlineLevel="0" collapsed="false">
      <c r="A47" s="8" t="n">
        <v>46051</v>
      </c>
      <c r="B47" s="7" t="n">
        <v>0.830039905124641</v>
      </c>
      <c r="C47" s="1" t="n">
        <v>8368</v>
      </c>
    </row>
    <row r="48" customFormat="false" ht="15" hidden="false" customHeight="true" outlineLevel="0" collapsed="false">
      <c r="A48" s="8" t="n">
        <v>46052</v>
      </c>
      <c r="B48" s="7" t="n">
        <v>0.919197996686346</v>
      </c>
      <c r="C48" s="1" t="n">
        <v>3422</v>
      </c>
    </row>
    <row r="49" customFormat="false" ht="15" hidden="false" customHeight="true" outlineLevel="0" collapsed="false">
      <c r="A49" s="8" t="n">
        <v>46053</v>
      </c>
      <c r="B49" s="7" t="n">
        <v>0.87143509673575</v>
      </c>
      <c r="C49" s="1" t="n">
        <v>12725</v>
      </c>
    </row>
    <row r="50" customFormat="false" ht="15" hidden="false" customHeight="true" outlineLevel="0" collapsed="false">
      <c r="A50" s="8" t="n">
        <v>46054</v>
      </c>
      <c r="B50" s="7" t="n">
        <v>0.89035635947112</v>
      </c>
      <c r="C50" s="1" t="n">
        <v>5518</v>
      </c>
    </row>
    <row r="51" customFormat="false" ht="15" hidden="false" customHeight="true" outlineLevel="0" collapsed="false">
      <c r="A51" s="8" t="n">
        <v>46055</v>
      </c>
      <c r="B51" s="7" t="n">
        <v>0.903887533679498</v>
      </c>
      <c r="C51" s="1" t="n">
        <v>4489</v>
      </c>
    </row>
    <row r="52" customFormat="false" ht="15" hidden="false" customHeight="true" outlineLevel="0" collapsed="false">
      <c r="A52" s="8" t="n">
        <v>46056</v>
      </c>
      <c r="B52" s="7" t="n">
        <v>0.920478590622501</v>
      </c>
      <c r="C52" s="1" t="n">
        <v>9597</v>
      </c>
    </row>
    <row r="53" customFormat="false" ht="15" hidden="false" customHeight="true" outlineLevel="0" collapsed="false">
      <c r="A53" s="8" t="n">
        <v>46057</v>
      </c>
      <c r="B53" s="7" t="n">
        <v>0.824976184520937</v>
      </c>
      <c r="C53" s="1" t="n">
        <v>6104</v>
      </c>
    </row>
    <row r="54" customFormat="false" ht="15" hidden="false" customHeight="true" outlineLevel="0" collapsed="false">
      <c r="A54" s="8" t="n">
        <v>46058</v>
      </c>
      <c r="B54" s="7" t="n">
        <v>0.759340461841162</v>
      </c>
      <c r="C54" s="1" t="n">
        <v>5858</v>
      </c>
    </row>
    <row r="55" customFormat="false" ht="15" hidden="false" customHeight="true" outlineLevel="0" collapsed="false">
      <c r="A55" s="8" t="n">
        <v>46059</v>
      </c>
      <c r="B55" s="7" t="n">
        <v>0.834241227257282</v>
      </c>
      <c r="C55" s="1" t="n">
        <v>3127</v>
      </c>
    </row>
    <row r="56" customFormat="false" ht="15" hidden="false" customHeight="true" outlineLevel="0" collapsed="false">
      <c r="A56" s="8" t="n">
        <v>46060</v>
      </c>
      <c r="B56" s="7" t="n">
        <v>0.807031495102431</v>
      </c>
      <c r="C56" s="1" t="n">
        <v>6768</v>
      </c>
    </row>
    <row r="57" customFormat="false" ht="15" hidden="false" customHeight="true" outlineLevel="0" collapsed="false">
      <c r="A57" s="8" t="n">
        <v>46061</v>
      </c>
      <c r="B57" s="7" t="n">
        <v>0.838881995517533</v>
      </c>
      <c r="C57" s="1" t="n">
        <v>10218</v>
      </c>
    </row>
    <row r="58" customFormat="false" ht="15" hidden="false" customHeight="true" outlineLevel="0" collapsed="false">
      <c r="A58" s="8" t="n">
        <v>46062</v>
      </c>
      <c r="B58" s="7" t="n">
        <v>0.896868036880522</v>
      </c>
      <c r="C58" s="1" t="n">
        <v>12136</v>
      </c>
    </row>
    <row r="59" customFormat="false" ht="15" hidden="false" customHeight="true" outlineLevel="0" collapsed="false">
      <c r="A59" s="8" t="n">
        <v>46063</v>
      </c>
      <c r="B59" s="7" t="n">
        <v>0.75224658742261</v>
      </c>
      <c r="C59" s="1" t="n">
        <v>4515</v>
      </c>
    </row>
    <row r="60" customFormat="false" ht="15" hidden="false" customHeight="true" outlineLevel="0" collapsed="false">
      <c r="A60" s="8" t="n">
        <v>46064</v>
      </c>
      <c r="B60" s="7" t="n">
        <v>0.821195507214155</v>
      </c>
      <c r="C60" s="1" t="n">
        <v>6920</v>
      </c>
    </row>
    <row r="61" customFormat="false" ht="15" hidden="false" customHeight="true" outlineLevel="0" collapsed="false">
      <c r="A61" s="8" t="n">
        <v>46065</v>
      </c>
      <c r="B61" s="7" t="n">
        <v>0.726441272751202</v>
      </c>
      <c r="C61" s="1" t="n">
        <v>6187</v>
      </c>
    </row>
    <row r="62" customFormat="false" ht="15" hidden="false" customHeight="true" outlineLevel="0" collapsed="false">
      <c r="A62" s="8" t="n">
        <v>46066</v>
      </c>
      <c r="B62" s="7" t="n">
        <v>0.848595291359895</v>
      </c>
      <c r="C62" s="1" t="n">
        <v>8511</v>
      </c>
    </row>
    <row r="63" customFormat="false" ht="15" hidden="false" customHeight="true" outlineLevel="0" collapsed="false">
      <c r="A63" s="8" t="n">
        <v>46067</v>
      </c>
      <c r="B63" s="7" t="n">
        <v>0.760509293420448</v>
      </c>
      <c r="C63" s="1" t="n">
        <v>15414</v>
      </c>
    </row>
    <row r="64" customFormat="false" ht="15" hidden="false" customHeight="true" outlineLevel="0" collapsed="false">
      <c r="A64" s="8" t="n">
        <v>46068</v>
      </c>
      <c r="B64" s="7" t="n">
        <v>0.741510288758778</v>
      </c>
      <c r="C64" s="1" t="n">
        <v>3116</v>
      </c>
    </row>
    <row r="65" customFormat="false" ht="15" hidden="false" customHeight="true" outlineLevel="0" collapsed="false">
      <c r="A65" s="8" t="n">
        <v>46069</v>
      </c>
      <c r="B65" s="7" t="n">
        <v>0.908647903861591</v>
      </c>
      <c r="C65" s="1" t="n">
        <v>10731</v>
      </c>
    </row>
    <row r="66" customFormat="false" ht="15" hidden="false" customHeight="true" outlineLevel="0" collapsed="false">
      <c r="A66" s="8" t="n">
        <v>46070</v>
      </c>
      <c r="B66" s="7" t="n">
        <v>0.849909694331891</v>
      </c>
      <c r="C66" s="1" t="n">
        <v>7333</v>
      </c>
    </row>
    <row r="67" customFormat="false" ht="15" hidden="false" customHeight="true" outlineLevel="0" collapsed="false">
      <c r="A67" s="8" t="n">
        <v>46071</v>
      </c>
      <c r="B67" s="7" t="n">
        <v>0.83937339032699</v>
      </c>
      <c r="C67" s="1" t="n">
        <v>6535</v>
      </c>
    </row>
    <row r="68" customFormat="false" ht="15" hidden="false" customHeight="true" outlineLevel="0" collapsed="false">
      <c r="A68" s="8" t="n">
        <v>46072</v>
      </c>
      <c r="B68" s="7" t="n">
        <v>0.828751705431716</v>
      </c>
      <c r="C68" s="1" t="n">
        <v>10131</v>
      </c>
    </row>
    <row r="69" customFormat="false" ht="15" hidden="false" customHeight="true" outlineLevel="0" collapsed="false">
      <c r="A69" s="8" t="n">
        <v>46073</v>
      </c>
      <c r="B69" s="7" t="n">
        <v>0.820432982536231</v>
      </c>
      <c r="C69" s="1" t="n">
        <v>5204</v>
      </c>
    </row>
    <row r="70" customFormat="false" ht="15" hidden="false" customHeight="true" outlineLevel="0" collapsed="false">
      <c r="A70" s="8" t="n">
        <v>46074</v>
      </c>
      <c r="B70" s="7" t="n">
        <v>0.75758042614874</v>
      </c>
      <c r="C70" s="1" t="n">
        <v>5390</v>
      </c>
    </row>
    <row r="71" customFormat="false" ht="15" hidden="false" customHeight="true" outlineLevel="0" collapsed="false">
      <c r="A71" s="8" t="n">
        <v>46075</v>
      </c>
      <c r="B71" s="7" t="n">
        <v>0.795657545769621</v>
      </c>
      <c r="C71" s="1" t="n">
        <v>11819</v>
      </c>
    </row>
    <row r="72" customFormat="false" ht="15" hidden="false" customHeight="true" outlineLevel="0" collapsed="false">
      <c r="A72" s="8" t="n">
        <v>46076</v>
      </c>
      <c r="B72" s="7" t="n">
        <v>0.822057781998379</v>
      </c>
      <c r="C72" s="1" t="n">
        <v>17484</v>
      </c>
    </row>
    <row r="73" customFormat="false" ht="15" hidden="false" customHeight="true" outlineLevel="0" collapsed="false">
      <c r="A73" s="8" t="n">
        <v>46077</v>
      </c>
      <c r="B73" s="7" t="n">
        <v>0.758182648213237</v>
      </c>
      <c r="C73" s="1" t="n">
        <v>9971</v>
      </c>
    </row>
    <row r="74" customFormat="false" ht="15" hidden="false" customHeight="true" outlineLevel="0" collapsed="false">
      <c r="A74" s="8" t="n">
        <v>46078</v>
      </c>
      <c r="B74" s="7" t="n">
        <v>0.832559311451999</v>
      </c>
      <c r="C74" s="1" t="n">
        <v>7597</v>
      </c>
    </row>
    <row r="75" customFormat="false" ht="15" hidden="false" customHeight="true" outlineLevel="0" collapsed="false">
      <c r="A75" s="8" t="n">
        <v>46079</v>
      </c>
      <c r="B75" s="7" t="n">
        <v>0.853715761162344</v>
      </c>
      <c r="C75" s="1" t="n">
        <v>6196</v>
      </c>
    </row>
    <row r="76" customFormat="false" ht="15" hidden="false" customHeight="true" outlineLevel="0" collapsed="false">
      <c r="A76" s="8" t="n">
        <v>46080</v>
      </c>
      <c r="B76" s="7" t="n">
        <v>0.781285507422648</v>
      </c>
      <c r="C76" s="1" t="n">
        <v>6309</v>
      </c>
    </row>
    <row r="77" customFormat="false" ht="15" hidden="false" customHeight="true" outlineLevel="0" collapsed="false">
      <c r="A77" s="8" t="n">
        <v>46081</v>
      </c>
      <c r="B77" s="7" t="n">
        <v>0.885666781000277</v>
      </c>
      <c r="C77" s="1" t="n">
        <v>5933</v>
      </c>
    </row>
    <row r="78" customFormat="false" ht="15" hidden="false" customHeight="true" outlineLevel="0" collapsed="false">
      <c r="A78" s="8" t="n">
        <v>46082</v>
      </c>
      <c r="B78" s="7" t="n">
        <v>0.816137292118181</v>
      </c>
      <c r="C78" s="1" t="n">
        <v>3887</v>
      </c>
    </row>
    <row r="79" customFormat="false" ht="15" hidden="false" customHeight="true" outlineLevel="0" collapsed="false">
      <c r="A79" s="8" t="n">
        <v>46083</v>
      </c>
      <c r="B79" s="7" t="n">
        <v>0.798512366447313</v>
      </c>
      <c r="C79" s="1" t="n">
        <v>5189</v>
      </c>
    </row>
    <row r="80" customFormat="false" ht="15" hidden="false" customHeight="true" outlineLevel="0" collapsed="false">
      <c r="A80" s="8" t="n">
        <v>46084</v>
      </c>
      <c r="B80" s="7" t="n">
        <v>0.782366605346864</v>
      </c>
      <c r="C80" s="1" t="n">
        <v>6320</v>
      </c>
    </row>
    <row r="81" customFormat="false" ht="15" hidden="false" customHeight="true" outlineLevel="0" collapsed="false">
      <c r="A81" s="8" t="n">
        <v>46085</v>
      </c>
      <c r="B81" s="7" t="n">
        <v>0.855816811300231</v>
      </c>
      <c r="C81" s="1" t="n">
        <v>6352</v>
      </c>
    </row>
    <row r="82" customFormat="false" ht="15" hidden="false" customHeight="true" outlineLevel="0" collapsed="false">
      <c r="A82" s="8" t="n">
        <v>46086</v>
      </c>
      <c r="B82" s="7" t="n">
        <v>0.863066989562628</v>
      </c>
      <c r="C82" s="1" t="n">
        <v>11651</v>
      </c>
    </row>
    <row r="83" customFormat="false" ht="15" hidden="false" customHeight="true" outlineLevel="0" collapsed="false">
      <c r="A83" s="8" t="n">
        <v>46087</v>
      </c>
      <c r="B83" s="7" t="n">
        <v>0.802771320524324</v>
      </c>
      <c r="C83" s="1" t="n">
        <v>16660</v>
      </c>
    </row>
    <row r="84" customFormat="false" ht="15" hidden="false" customHeight="true" outlineLevel="0" collapsed="false">
      <c r="A84" s="8" t="n">
        <v>46088</v>
      </c>
      <c r="B84" s="7" t="n">
        <v>0.814462491700743</v>
      </c>
      <c r="C84" s="1" t="n">
        <v>10612</v>
      </c>
    </row>
    <row r="85" customFormat="false" ht="15" hidden="false" customHeight="true" outlineLevel="0" collapsed="false">
      <c r="A85" s="8" t="n">
        <v>46089</v>
      </c>
      <c r="B85" s="7" t="n">
        <v>0.770530335261725</v>
      </c>
      <c r="C85" s="1" t="n">
        <v>14115</v>
      </c>
    </row>
    <row r="86" customFormat="false" ht="15" hidden="false" customHeight="true" outlineLevel="0" collapsed="false">
      <c r="A86" s="8" t="n">
        <v>46090</v>
      </c>
      <c r="B86" s="7" t="n">
        <v>0.745602634795536</v>
      </c>
      <c r="C86" s="1" t="n">
        <v>6065</v>
      </c>
    </row>
    <row r="87" customFormat="false" ht="15" hidden="false" customHeight="true" outlineLevel="0" collapsed="false">
      <c r="A87" s="8" t="n">
        <v>46091</v>
      </c>
      <c r="B87" s="7" t="n">
        <v>0.845570182911367</v>
      </c>
      <c r="C87" s="1" t="n">
        <v>11818</v>
      </c>
    </row>
    <row r="88" customFormat="false" ht="15" hidden="false" customHeight="true" outlineLevel="0" collapsed="false">
      <c r="A88" s="8" t="n">
        <v>46092</v>
      </c>
      <c r="B88" s="7" t="n">
        <v>0.875331640825943</v>
      </c>
      <c r="C88" s="1" t="n">
        <v>20528</v>
      </c>
    </row>
    <row r="89" customFormat="false" ht="15" hidden="false" customHeight="true" outlineLevel="0" collapsed="false">
      <c r="A89" s="8" t="n">
        <v>46093</v>
      </c>
      <c r="B89" s="7" t="n">
        <v>0.785836181823457</v>
      </c>
      <c r="C89" s="1" t="n">
        <v>4903</v>
      </c>
    </row>
    <row r="90" customFormat="false" ht="15" hidden="false" customHeight="true" outlineLevel="0" collapsed="false">
      <c r="A90" s="8" t="n">
        <v>46094</v>
      </c>
      <c r="B90" s="7" t="n">
        <v>0.774010416037292</v>
      </c>
      <c r="C90" s="1" t="n">
        <v>7217</v>
      </c>
    </row>
    <row r="91" customFormat="false" ht="15" hidden="false" customHeight="true" outlineLevel="0" collapsed="false">
      <c r="A91" s="8" t="n">
        <v>46095</v>
      </c>
      <c r="B91" s="7" t="n">
        <v>0.746376928574583</v>
      </c>
      <c r="C91" s="1" t="n">
        <v>7614</v>
      </c>
    </row>
    <row r="92" customFormat="false" ht="15" hidden="false" customHeight="true" outlineLevel="0" collapsed="false">
      <c r="A92" s="8" t="n">
        <v>46096</v>
      </c>
      <c r="B92" s="7" t="n">
        <v>0.880886434272551</v>
      </c>
      <c r="C92" s="1" t="n">
        <v>7647</v>
      </c>
    </row>
    <row r="93" customFormat="false" ht="15" hidden="false" customHeight="true" outlineLevel="0" collapsed="false">
      <c r="A93" s="8" t="n">
        <v>46097</v>
      </c>
      <c r="B93" s="7" t="n">
        <v>0.952499912785627</v>
      </c>
      <c r="C93" s="1" t="n">
        <v>19765</v>
      </c>
    </row>
    <row r="94" customFormat="false" ht="15" hidden="false" customHeight="true" outlineLevel="0" collapsed="false">
      <c r="A94" s="8" t="n">
        <v>46098</v>
      </c>
      <c r="B94" s="7" t="n">
        <v>0.78835186301118</v>
      </c>
      <c r="C94" s="1" t="n">
        <v>8560</v>
      </c>
    </row>
    <row r="95" customFormat="false" ht="15" hidden="false" customHeight="true" outlineLevel="0" collapsed="false">
      <c r="A95" s="8" t="n">
        <v>46099</v>
      </c>
      <c r="B95" s="7" t="n">
        <v>0.915753371153283</v>
      </c>
      <c r="C95" s="1" t="n">
        <v>13957</v>
      </c>
    </row>
    <row r="96" customFormat="false" ht="15" hidden="false" customHeight="true" outlineLevel="0" collapsed="false">
      <c r="A96" s="8" t="n">
        <v>46100</v>
      </c>
      <c r="B96" s="7" t="n">
        <v>0.747662612315478</v>
      </c>
      <c r="C96" s="1" t="n">
        <v>3579</v>
      </c>
    </row>
    <row r="97" customFormat="false" ht="15" hidden="false" customHeight="true" outlineLevel="0" collapsed="false">
      <c r="A97" s="8" t="n">
        <v>46101</v>
      </c>
      <c r="B97" s="7" t="n">
        <v>0.732368130044682</v>
      </c>
      <c r="C97" s="1" t="n">
        <v>4363</v>
      </c>
    </row>
    <row r="98" customFormat="false" ht="15" hidden="false" customHeight="true" outlineLevel="0" collapsed="false">
      <c r="A98" s="8" t="n">
        <v>46102</v>
      </c>
      <c r="B98" s="7" t="n">
        <v>0.825668084865762</v>
      </c>
      <c r="C98" s="1" t="n">
        <v>3687</v>
      </c>
    </row>
    <row r="99" customFormat="false" ht="15" hidden="false" customHeight="true" outlineLevel="0" collapsed="false">
      <c r="A99" s="8" t="n">
        <v>46103</v>
      </c>
      <c r="B99" s="7" t="n">
        <v>0.728362115781471</v>
      </c>
      <c r="C99" s="1" t="n">
        <v>2455</v>
      </c>
    </row>
    <row r="100" customFormat="false" ht="15" hidden="false" customHeight="true" outlineLevel="0" collapsed="false">
      <c r="A100" s="8" t="n">
        <v>46104</v>
      </c>
      <c r="B100" s="7" t="n">
        <v>0.835095264836489</v>
      </c>
      <c r="C100" s="1" t="n">
        <v>9966</v>
      </c>
    </row>
    <row r="101" customFormat="false" ht="15" hidden="false" customHeight="true" outlineLevel="0" collapsed="false">
      <c r="A101" s="8" t="n">
        <v>46105</v>
      </c>
      <c r="B101" s="7" t="n">
        <v>0.767312038177251</v>
      </c>
      <c r="C101" s="1" t="n">
        <v>14508</v>
      </c>
    </row>
    <row r="102" customFormat="false" ht="15" hidden="false" customHeight="true" outlineLevel="0" collapsed="false">
      <c r="A102" s="8" t="n">
        <v>46106</v>
      </c>
      <c r="B102" s="7" t="n">
        <v>0.833520412064582</v>
      </c>
      <c r="C102" s="1" t="n">
        <v>10152</v>
      </c>
    </row>
    <row r="103" customFormat="false" ht="15" hidden="false" customHeight="true" outlineLevel="0" collapsed="false">
      <c r="A103" s="8" t="n">
        <v>46107</v>
      </c>
      <c r="B103" s="7" t="n">
        <v>0.728502509401252</v>
      </c>
      <c r="C103" s="1" t="n">
        <v>3623</v>
      </c>
    </row>
    <row r="104" customFormat="false" ht="15" hidden="false" customHeight="true" outlineLevel="0" collapsed="false">
      <c r="A104" s="8" t="n">
        <v>46108</v>
      </c>
      <c r="B104" s="7" t="n">
        <v>0.735073857596119</v>
      </c>
      <c r="C104" s="1" t="n">
        <v>7427</v>
      </c>
    </row>
    <row r="105" customFormat="false" ht="15" hidden="false" customHeight="true" outlineLevel="0" collapsed="false">
      <c r="A105" s="8" t="n">
        <v>46109</v>
      </c>
      <c r="B105" s="7" t="n">
        <v>0.878817616380227</v>
      </c>
      <c r="C105" s="1" t="n">
        <v>12774</v>
      </c>
    </row>
    <row r="106" customFormat="false" ht="15" hidden="false" customHeight="true" outlineLevel="0" collapsed="false">
      <c r="A106" s="8" t="n">
        <v>46110</v>
      </c>
      <c r="B106" s="7" t="n">
        <v>0.79970354012767</v>
      </c>
      <c r="C106" s="1" t="n">
        <v>11562</v>
      </c>
    </row>
    <row r="107" customFormat="false" ht="15" hidden="false" customHeight="true" outlineLevel="0" collapsed="false">
      <c r="A107" s="8" t="n">
        <v>46111</v>
      </c>
      <c r="B107" s="7" t="n">
        <v>0.771492941905263</v>
      </c>
      <c r="C107" s="1" t="n">
        <v>10548</v>
      </c>
    </row>
    <row r="108" customFormat="false" ht="15" hidden="false" customHeight="true" outlineLevel="0" collapsed="false">
      <c r="A108" s="8" t="n">
        <v>46112</v>
      </c>
      <c r="B108" s="7" t="n">
        <v>0.87739514240976</v>
      </c>
      <c r="C108" s="1" t="n">
        <v>6875</v>
      </c>
    </row>
    <row r="109" customFormat="false" ht="15" hidden="false" customHeight="true" outlineLevel="0" collapsed="false">
      <c r="A109" s="8" t="n">
        <v>46113</v>
      </c>
      <c r="B109" s="7" t="n">
        <v>0.809916443694753</v>
      </c>
      <c r="C109" s="1" t="n">
        <v>7719</v>
      </c>
    </row>
    <row r="110" customFormat="false" ht="15" hidden="false" customHeight="true" outlineLevel="0" collapsed="false">
      <c r="A110" s="8" t="n">
        <v>46114</v>
      </c>
      <c r="B110" s="7" t="n">
        <v>0.726257356840167</v>
      </c>
      <c r="C110" s="1" t="n">
        <v>8232</v>
      </c>
    </row>
    <row r="111" customFormat="false" ht="15" hidden="false" customHeight="true" outlineLevel="0" collapsed="false">
      <c r="A111" s="8" t="n">
        <v>46115</v>
      </c>
      <c r="B111" s="7" t="n">
        <v>0.756551290489079</v>
      </c>
      <c r="C111" s="1" t="n">
        <v>3718</v>
      </c>
    </row>
    <row r="112" customFormat="false" ht="15" hidden="false" customHeight="true" outlineLevel="0" collapsed="false">
      <c r="A112" s="8" t="n">
        <v>46116</v>
      </c>
      <c r="B112" s="7" t="n">
        <v>0.923651824446441</v>
      </c>
      <c r="C112" s="1" t="n">
        <v>3670</v>
      </c>
    </row>
    <row r="113" customFormat="false" ht="15" hidden="false" customHeight="true" outlineLevel="0" collapsed="false">
      <c r="A113" s="8" t="n">
        <v>46117</v>
      </c>
      <c r="B113" s="7" t="n">
        <v>0.796771075066507</v>
      </c>
      <c r="C113" s="1" t="n">
        <v>10111</v>
      </c>
    </row>
    <row r="114" customFormat="false" ht="15" hidden="false" customHeight="true" outlineLevel="0" collapsed="false">
      <c r="A114" s="8" t="n">
        <v>46118</v>
      </c>
      <c r="B114" s="7" t="n">
        <v>0.753004949604789</v>
      </c>
      <c r="C114" s="1" t="n">
        <v>3682</v>
      </c>
    </row>
    <row r="115" customFormat="false" ht="15" hidden="false" customHeight="true" outlineLevel="0" collapsed="false">
      <c r="A115" s="8" t="n">
        <v>46119</v>
      </c>
      <c r="B115" s="7" t="n">
        <v>0.71947706770437</v>
      </c>
      <c r="C115" s="1" t="n">
        <v>7890</v>
      </c>
    </row>
    <row r="116" customFormat="false" ht="15" hidden="false" customHeight="true" outlineLevel="0" collapsed="false">
      <c r="A116" s="8" t="n">
        <v>46120</v>
      </c>
      <c r="B116" s="7" t="n">
        <v>0.791020770281091</v>
      </c>
      <c r="C116" s="1" t="n">
        <v>3856</v>
      </c>
    </row>
    <row r="117" customFormat="false" ht="15" hidden="false" customHeight="true" outlineLevel="0" collapsed="false">
      <c r="A117" s="8" t="n">
        <v>46121</v>
      </c>
      <c r="B117" s="7" t="n">
        <v>0.749683446530894</v>
      </c>
      <c r="C117" s="1" t="n">
        <v>6606</v>
      </c>
    </row>
    <row r="118" customFormat="false" ht="15" hidden="false" customHeight="true" outlineLevel="0" collapsed="false">
      <c r="A118" s="8" t="n">
        <v>46122</v>
      </c>
      <c r="B118" s="7" t="n">
        <v>0.902428924595321</v>
      </c>
      <c r="C118" s="1" t="n">
        <v>13093</v>
      </c>
    </row>
    <row r="119" customFormat="false" ht="15" hidden="false" customHeight="true" outlineLevel="0" collapsed="false">
      <c r="A119" s="8" t="n">
        <v>46123</v>
      </c>
      <c r="B119" s="7" t="n">
        <v>0.831164529552152</v>
      </c>
      <c r="C119" s="1" t="n">
        <v>3481</v>
      </c>
    </row>
    <row r="120" customFormat="false" ht="15" hidden="false" customHeight="true" outlineLevel="0" collapsed="false">
      <c r="A120" s="8" t="n">
        <v>46124</v>
      </c>
      <c r="B120" s="7" t="n">
        <v>0.774463622294594</v>
      </c>
      <c r="C120" s="1" t="n">
        <v>2202</v>
      </c>
    </row>
    <row r="121" customFormat="false" ht="15" hidden="false" customHeight="true" outlineLevel="0" collapsed="false">
      <c r="A121" s="8" t="n">
        <v>46125</v>
      </c>
      <c r="B121" s="7" t="n">
        <v>0.812546756081333</v>
      </c>
      <c r="C121" s="1" t="n">
        <v>11315</v>
      </c>
    </row>
    <row r="122" customFormat="false" ht="15" hidden="false" customHeight="true" outlineLevel="0" collapsed="false">
      <c r="A122" s="8" t="n">
        <v>46126</v>
      </c>
      <c r="B122" s="7" t="n">
        <v>0.757185439448631</v>
      </c>
      <c r="C122" s="1" t="n">
        <v>3369</v>
      </c>
    </row>
    <row r="123" customFormat="false" ht="15" hidden="false" customHeight="true" outlineLevel="0" collapsed="false">
      <c r="A123" s="8" t="n">
        <v>46127</v>
      </c>
      <c r="B123" s="7" t="n">
        <v>0.777237368472412</v>
      </c>
      <c r="C123" s="1" t="n">
        <v>7295</v>
      </c>
    </row>
    <row r="124" customFormat="false" ht="15" hidden="false" customHeight="true" outlineLevel="0" collapsed="false">
      <c r="A124" s="8" t="n">
        <v>46128</v>
      </c>
      <c r="B124" s="7" t="n">
        <v>0.849504443239037</v>
      </c>
      <c r="C124" s="1" t="n">
        <v>16357</v>
      </c>
    </row>
    <row r="125" customFormat="false" ht="15" hidden="false" customHeight="true" outlineLevel="0" collapsed="false">
      <c r="A125" s="8" t="n">
        <v>46129</v>
      </c>
      <c r="B125" s="7" t="n">
        <v>0.80378809605987</v>
      </c>
      <c r="C125" s="1" t="n">
        <v>12350</v>
      </c>
    </row>
    <row r="126" customFormat="false" ht="15" hidden="false" customHeight="true" outlineLevel="0" collapsed="false">
      <c r="A126" s="8" t="n">
        <v>46130</v>
      </c>
      <c r="B126" s="7" t="n">
        <v>0.813716046502129</v>
      </c>
      <c r="C126" s="1" t="n">
        <v>10786</v>
      </c>
    </row>
    <row r="127" customFormat="false" ht="15" hidden="false" customHeight="true" outlineLevel="0" collapsed="false">
      <c r="A127" s="8" t="n">
        <v>46131</v>
      </c>
      <c r="B127" s="7" t="n">
        <v>0.915920143417894</v>
      </c>
      <c r="C127" s="1" t="n">
        <v>3634</v>
      </c>
    </row>
    <row r="128" customFormat="false" ht="15" hidden="false" customHeight="true" outlineLevel="0" collapsed="false">
      <c r="A128" s="8" t="n">
        <v>46132</v>
      </c>
      <c r="B128" s="7" t="n">
        <v>0.842026162128515</v>
      </c>
      <c r="C128" s="1" t="n">
        <v>7057</v>
      </c>
    </row>
    <row r="129" customFormat="false" ht="15" hidden="false" customHeight="true" outlineLevel="0" collapsed="false">
      <c r="A129" s="8" t="n">
        <v>46133</v>
      </c>
      <c r="B129" s="7" t="n">
        <v>0.83499482716805</v>
      </c>
      <c r="C129" s="1" t="n">
        <v>13545</v>
      </c>
    </row>
    <row r="130" customFormat="false" ht="15" hidden="false" customHeight="true" outlineLevel="0" collapsed="false">
      <c r="A130" s="8" t="n">
        <v>46134</v>
      </c>
      <c r="B130" s="7" t="n">
        <v>0.88269472169273</v>
      </c>
      <c r="C130" s="1" t="n">
        <v>8355</v>
      </c>
    </row>
    <row r="131" customFormat="false" ht="15" hidden="false" customHeight="true" outlineLevel="0" collapsed="false">
      <c r="A131" s="8" t="n">
        <v>46135</v>
      </c>
      <c r="B131" s="7" t="n">
        <v>0.725551449398102</v>
      </c>
      <c r="C131" s="1" t="n">
        <v>4255</v>
      </c>
    </row>
    <row r="132" customFormat="false" ht="15" hidden="false" customHeight="true" outlineLevel="0" collapsed="false">
      <c r="A132" s="8" t="n">
        <v>46136</v>
      </c>
      <c r="B132" s="7" t="n">
        <v>0.808923299314034</v>
      </c>
      <c r="C132" s="1" t="n">
        <v>6043</v>
      </c>
    </row>
    <row r="133" customFormat="false" ht="15" hidden="false" customHeight="true" outlineLevel="0" collapsed="false">
      <c r="A133" s="8" t="n">
        <v>46137</v>
      </c>
      <c r="B133" s="7" t="n">
        <v>0.783561283251389</v>
      </c>
      <c r="C133" s="1" t="n">
        <v>13242</v>
      </c>
    </row>
    <row r="134" customFormat="false" ht="15" hidden="false" customHeight="true" outlineLevel="0" collapsed="false">
      <c r="A134" s="8" t="n">
        <v>46138</v>
      </c>
      <c r="B134" s="7" t="n">
        <v>0.805044767826381</v>
      </c>
      <c r="C134" s="1" t="n">
        <v>3930</v>
      </c>
    </row>
    <row r="135" customFormat="false" ht="15" hidden="false" customHeight="true" outlineLevel="0" collapsed="false">
      <c r="A135" s="8" t="n">
        <v>46139</v>
      </c>
      <c r="B135" s="7" t="n">
        <v>0.756260241853308</v>
      </c>
      <c r="C135" s="1" t="n">
        <v>3490</v>
      </c>
    </row>
    <row r="136" customFormat="false" ht="15" hidden="false" customHeight="true" outlineLevel="0" collapsed="false">
      <c r="A136" s="8" t="n">
        <v>46140</v>
      </c>
      <c r="B136" s="7" t="n">
        <v>0.857088132539658</v>
      </c>
      <c r="C136" s="1" t="n">
        <v>8683</v>
      </c>
    </row>
    <row r="137" customFormat="false" ht="15" hidden="false" customHeight="true" outlineLevel="0" collapsed="false">
      <c r="A137" s="8" t="n">
        <v>46141</v>
      </c>
      <c r="B137" s="7" t="n">
        <v>0.883830934680569</v>
      </c>
      <c r="C137" s="1" t="n">
        <v>6461</v>
      </c>
    </row>
    <row r="138" customFormat="false" ht="15" hidden="false" customHeight="true" outlineLevel="0" collapsed="false">
      <c r="A138" s="8" t="n">
        <v>46142</v>
      </c>
      <c r="B138" s="7" t="n">
        <v>0.751399892531179</v>
      </c>
      <c r="C138" s="1" t="n">
        <v>9790</v>
      </c>
    </row>
    <row r="139" customFormat="false" ht="15" hidden="false" customHeight="true" outlineLevel="0" collapsed="false">
      <c r="A139" s="8" t="n">
        <v>46143</v>
      </c>
      <c r="B139" s="7" t="n">
        <v>0.774334134493591</v>
      </c>
      <c r="C139" s="1" t="n">
        <v>4639</v>
      </c>
    </row>
    <row r="140" customFormat="false" ht="15" hidden="false" customHeight="true" outlineLevel="0" collapsed="false">
      <c r="A140" s="8" t="n">
        <v>46144</v>
      </c>
      <c r="B140" s="7" t="n">
        <v>0.808737085086615</v>
      </c>
      <c r="C140" s="1" t="n">
        <v>6788</v>
      </c>
    </row>
    <row r="141" customFormat="false" ht="15" hidden="false" customHeight="true" outlineLevel="0" collapsed="false">
      <c r="A141" s="8" t="n">
        <v>46145</v>
      </c>
      <c r="B141" s="7" t="n">
        <v>0.810338698683232</v>
      </c>
      <c r="C141" s="1" t="n">
        <v>4312</v>
      </c>
    </row>
    <row r="142" customFormat="false" ht="15" hidden="false" customHeight="true" outlineLevel="0" collapsed="false">
      <c r="A142" s="8" t="n">
        <v>46146</v>
      </c>
      <c r="B142" s="7" t="n">
        <v>0.753793266382873</v>
      </c>
      <c r="C142" s="1" t="n">
        <v>8036</v>
      </c>
    </row>
    <row r="143" customFormat="false" ht="15" hidden="false" customHeight="true" outlineLevel="0" collapsed="false">
      <c r="A143" s="8" t="n">
        <v>46147</v>
      </c>
      <c r="B143" s="7" t="n">
        <v>0.814378979078584</v>
      </c>
      <c r="C143" s="1" t="n">
        <v>4406</v>
      </c>
    </row>
    <row r="144" customFormat="false" ht="15" hidden="false" customHeight="true" outlineLevel="0" collapsed="false">
      <c r="A144" s="8" t="n">
        <v>46148</v>
      </c>
      <c r="B144" s="7" t="n">
        <v>0.79481625360767</v>
      </c>
      <c r="C144" s="1" t="n">
        <v>6173</v>
      </c>
    </row>
    <row r="145" customFormat="false" ht="15" hidden="false" customHeight="true" outlineLevel="0" collapsed="false">
      <c r="A145" s="8" t="n">
        <v>46149</v>
      </c>
      <c r="B145" s="7" t="n">
        <v>0.857118709596153</v>
      </c>
      <c r="C145" s="1" t="n">
        <v>13623</v>
      </c>
    </row>
    <row r="146" customFormat="false" ht="15" hidden="false" customHeight="true" outlineLevel="0" collapsed="false">
      <c r="A146" s="8" t="n">
        <v>46150</v>
      </c>
      <c r="B146" s="7" t="n">
        <v>0.791851320349601</v>
      </c>
      <c r="C146" s="1" t="n">
        <v>7436</v>
      </c>
    </row>
    <row r="147" customFormat="false" ht="15" hidden="false" customHeight="true" outlineLevel="0" collapsed="false">
      <c r="A147" s="8" t="n">
        <v>46151</v>
      </c>
      <c r="B147" s="7" t="n">
        <v>0.73411707838644</v>
      </c>
      <c r="C147" s="1" t="n">
        <v>4267</v>
      </c>
    </row>
    <row r="148" customFormat="false" ht="15" hidden="false" customHeight="true" outlineLevel="0" collapsed="false">
      <c r="A148" s="8" t="n">
        <v>46152</v>
      </c>
      <c r="B148" s="7" t="n">
        <v>0.745907385774146</v>
      </c>
      <c r="C148" s="1" t="n">
        <v>2916</v>
      </c>
    </row>
    <row r="149" customFormat="false" ht="15" hidden="false" customHeight="true" outlineLevel="0" collapsed="false">
      <c r="A149" s="8" t="n">
        <v>46153</v>
      </c>
      <c r="B149" s="7" t="n">
        <v>0.869731538701942</v>
      </c>
      <c r="C149" s="1" t="n">
        <v>7608</v>
      </c>
    </row>
    <row r="150" customFormat="false" ht="15" hidden="false" customHeight="true" outlineLevel="0" collapsed="false">
      <c r="A150" s="8" t="n">
        <v>46154</v>
      </c>
      <c r="B150" s="7" t="n">
        <v>0.857843785129674</v>
      </c>
      <c r="C150" s="1" t="n">
        <v>9346</v>
      </c>
    </row>
    <row r="151" customFormat="false" ht="15" hidden="false" customHeight="true" outlineLevel="0" collapsed="false">
      <c r="A151" s="8" t="n">
        <v>46155</v>
      </c>
      <c r="B151" s="7" t="n">
        <v>0.747663682327375</v>
      </c>
      <c r="C151" s="1" t="n">
        <v>6178</v>
      </c>
    </row>
    <row r="152" customFormat="false" ht="15" hidden="false" customHeight="true" outlineLevel="0" collapsed="false">
      <c r="A152" s="8" t="n">
        <v>46156</v>
      </c>
      <c r="B152" s="7" t="n">
        <v>0.748962217452292</v>
      </c>
      <c r="C152" s="1" t="n">
        <v>7657</v>
      </c>
    </row>
    <row r="153" customFormat="false" ht="15" hidden="false" customHeight="true" outlineLevel="0" collapsed="false">
      <c r="A153" s="8" t="n">
        <v>46157</v>
      </c>
      <c r="B153" s="7" t="n">
        <v>0.80878064885818</v>
      </c>
      <c r="C153" s="1" t="n">
        <v>7604</v>
      </c>
    </row>
    <row r="154" customFormat="false" ht="15" hidden="false" customHeight="true" outlineLevel="0" collapsed="false">
      <c r="A154" s="8" t="n">
        <v>46158</v>
      </c>
      <c r="B154" s="7" t="n">
        <v>0.908954624425461</v>
      </c>
      <c r="C154" s="1" t="n">
        <v>8307</v>
      </c>
    </row>
    <row r="155" customFormat="false" ht="15" hidden="false" customHeight="true" outlineLevel="0" collapsed="false">
      <c r="A155" s="8" t="n">
        <v>46159</v>
      </c>
      <c r="B155" s="7" t="n">
        <v>0.861028827139453</v>
      </c>
      <c r="C155" s="1" t="n">
        <v>13331</v>
      </c>
    </row>
    <row r="156" customFormat="false" ht="15" hidden="false" customHeight="true" outlineLevel="0" collapsed="false">
      <c r="A156" s="8" t="n">
        <v>46160</v>
      </c>
      <c r="B156" s="7" t="n">
        <v>0.808795231912119</v>
      </c>
      <c r="C156" s="1" t="n">
        <v>8834</v>
      </c>
    </row>
    <row r="157" customFormat="false" ht="15" hidden="false" customHeight="true" outlineLevel="0" collapsed="false">
      <c r="A157" s="8" t="n">
        <v>46161</v>
      </c>
      <c r="B157" s="7" t="n">
        <v>0.785692273299731</v>
      </c>
      <c r="C157" s="1" t="n">
        <v>4760</v>
      </c>
    </row>
    <row r="158" customFormat="false" ht="15" hidden="false" customHeight="true" outlineLevel="0" collapsed="false">
      <c r="A158" s="8" t="n">
        <v>46162</v>
      </c>
      <c r="B158" s="7" t="n">
        <v>0.870158367247546</v>
      </c>
      <c r="C158" s="1" t="n">
        <v>9202</v>
      </c>
    </row>
    <row r="159" customFormat="false" ht="15" hidden="false" customHeight="true" outlineLevel="0" collapsed="false">
      <c r="A159" s="8" t="n">
        <v>46163</v>
      </c>
      <c r="B159" s="7" t="n">
        <v>0.8734233380281</v>
      </c>
      <c r="C159" s="1" t="n">
        <v>8314</v>
      </c>
    </row>
    <row r="160" customFormat="false" ht="15" hidden="false" customHeight="true" outlineLevel="0" collapsed="false">
      <c r="A160" s="8" t="n">
        <v>46164</v>
      </c>
      <c r="B160" s="7" t="n">
        <v>0.831183264938687</v>
      </c>
      <c r="C160" s="1" t="n">
        <v>12453</v>
      </c>
    </row>
    <row r="161" customFormat="false" ht="15" hidden="false" customHeight="true" outlineLevel="0" collapsed="false">
      <c r="A161" s="8" t="n">
        <v>46165</v>
      </c>
      <c r="B161" s="7" t="n">
        <v>0.833167877475705</v>
      </c>
      <c r="C161" s="1" t="n">
        <v>3843</v>
      </c>
    </row>
    <row r="162" customFormat="false" ht="15" hidden="false" customHeight="true" outlineLevel="0" collapsed="false">
      <c r="A162" s="8" t="n">
        <v>46166</v>
      </c>
      <c r="B162" s="7" t="n">
        <v>0.90513034984668</v>
      </c>
      <c r="C162" s="1" t="n">
        <v>8605</v>
      </c>
    </row>
    <row r="163" customFormat="false" ht="15" hidden="false" customHeight="true" outlineLevel="0" collapsed="false">
      <c r="A163" s="8" t="n">
        <v>46167</v>
      </c>
      <c r="B163" s="7" t="n">
        <v>0.851525672759952</v>
      </c>
      <c r="C163" s="1" t="n">
        <v>5839</v>
      </c>
    </row>
    <row r="164" customFormat="false" ht="15" hidden="false" customHeight="true" outlineLevel="0" collapsed="false">
      <c r="A164" s="8" t="n">
        <v>46168</v>
      </c>
      <c r="B164" s="7" t="n">
        <v>0.825624244691165</v>
      </c>
      <c r="C164" s="1" t="n">
        <v>14802</v>
      </c>
    </row>
    <row r="165" customFormat="false" ht="15" hidden="false" customHeight="true" outlineLevel="0" collapsed="false">
      <c r="A165" s="8" t="n">
        <v>46169</v>
      </c>
      <c r="B165" s="7" t="n">
        <v>0.825723582142403</v>
      </c>
      <c r="C165" s="1" t="n">
        <v>4576</v>
      </c>
    </row>
    <row r="166" customFormat="false" ht="15" hidden="false" customHeight="true" outlineLevel="0" collapsed="false">
      <c r="A166" s="8" t="n">
        <v>46170</v>
      </c>
      <c r="B166" s="7" t="n">
        <v>0.836494533175275</v>
      </c>
      <c r="C166" s="1" t="n">
        <v>5263</v>
      </c>
    </row>
    <row r="167" customFormat="false" ht="15" hidden="false" customHeight="true" outlineLevel="0" collapsed="false">
      <c r="A167" s="8" t="n">
        <v>46171</v>
      </c>
      <c r="B167" s="7" t="n">
        <v>0.829880910795404</v>
      </c>
      <c r="C167" s="1" t="n">
        <v>13858</v>
      </c>
    </row>
    <row r="168" customFormat="false" ht="15" hidden="false" customHeight="true" outlineLevel="0" collapsed="false">
      <c r="A168" s="8" t="n">
        <v>46172</v>
      </c>
      <c r="B168" s="7" t="n">
        <v>0.796041252964646</v>
      </c>
      <c r="C168" s="1" t="n">
        <v>7489</v>
      </c>
    </row>
    <row r="169" customFormat="false" ht="15" hidden="false" customHeight="true" outlineLevel="0" collapsed="false">
      <c r="A169" s="8" t="n">
        <v>46173</v>
      </c>
      <c r="B169" s="7" t="n">
        <v>0.783474561653292</v>
      </c>
      <c r="C169" s="1" t="n">
        <v>10522</v>
      </c>
    </row>
    <row r="170" customFormat="false" ht="15" hidden="false" customHeight="true" outlineLevel="0" collapsed="false">
      <c r="A170" s="8" t="n">
        <v>46174</v>
      </c>
      <c r="B170" s="7" t="n">
        <v>0.816089081429013</v>
      </c>
      <c r="C170" s="1" t="n">
        <v>5904</v>
      </c>
    </row>
    <row r="171" customFormat="false" ht="15" hidden="false" customHeight="true" outlineLevel="0" collapsed="false">
      <c r="A171" s="8" t="n">
        <v>46175</v>
      </c>
      <c r="B171" s="7" t="n">
        <v>0.767348286743339</v>
      </c>
      <c r="C171" s="1" t="n">
        <v>5970</v>
      </c>
    </row>
    <row r="172" customFormat="false" ht="15" hidden="false" customHeight="true" outlineLevel="0" collapsed="false">
      <c r="A172" s="8" t="n">
        <v>46176</v>
      </c>
      <c r="B172" s="7" t="n">
        <v>0.787253543229066</v>
      </c>
      <c r="C172" s="1" t="n">
        <v>5248</v>
      </c>
    </row>
    <row r="173" customFormat="false" ht="15" hidden="false" customHeight="true" outlineLevel="0" collapsed="false">
      <c r="A173" s="8" t="n">
        <v>46177</v>
      </c>
      <c r="B173" s="7" t="n">
        <v>0.784309618921079</v>
      </c>
      <c r="C173" s="1" t="n">
        <v>12154</v>
      </c>
    </row>
    <row r="174" customFormat="false" ht="15" hidden="false" customHeight="true" outlineLevel="0" collapsed="false">
      <c r="A174" s="8" t="n">
        <v>46178</v>
      </c>
      <c r="B174" s="7" t="n">
        <v>0.783843135920219</v>
      </c>
      <c r="C174" s="1" t="n">
        <v>9460</v>
      </c>
    </row>
    <row r="175" customFormat="false" ht="15" hidden="false" customHeight="true" outlineLevel="0" collapsed="false">
      <c r="A175" s="8" t="n">
        <v>46179</v>
      </c>
      <c r="B175" s="7" t="n">
        <v>0.817061143671166</v>
      </c>
      <c r="C175" s="1" t="n">
        <v>3645</v>
      </c>
    </row>
    <row r="176" customFormat="false" ht="15" hidden="false" customHeight="true" outlineLevel="0" collapsed="false">
      <c r="A176" s="8" t="n">
        <v>46180</v>
      </c>
      <c r="B176" s="7" t="n">
        <v>0.77986466303562</v>
      </c>
      <c r="C176" s="1" t="n">
        <v>18248</v>
      </c>
    </row>
    <row r="177" customFormat="false" ht="15" hidden="false" customHeight="true" outlineLevel="0" collapsed="false">
      <c r="A177" s="8" t="n">
        <v>46181</v>
      </c>
      <c r="B177" s="7" t="n">
        <v>0.762094218340085</v>
      </c>
      <c r="C177" s="1" t="n">
        <v>5647</v>
      </c>
    </row>
    <row r="178" customFormat="false" ht="15" hidden="false" customHeight="true" outlineLevel="0" collapsed="false">
      <c r="A178" s="8" t="n">
        <v>46182</v>
      </c>
      <c r="B178" s="7" t="n">
        <v>0.870307696301505</v>
      </c>
      <c r="C178" s="1" t="n">
        <v>10853</v>
      </c>
    </row>
    <row r="179" customFormat="false" ht="15" hidden="false" customHeight="true" outlineLevel="0" collapsed="false">
      <c r="A179" s="8" t="n">
        <v>46183</v>
      </c>
      <c r="B179" s="7" t="n">
        <v>0.773385934545592</v>
      </c>
      <c r="C179" s="1" t="n">
        <v>4143</v>
      </c>
    </row>
    <row r="180" customFormat="false" ht="15" hidden="false" customHeight="true" outlineLevel="0" collapsed="false">
      <c r="A180" s="8" t="n">
        <v>46184</v>
      </c>
      <c r="B180" s="7" t="n">
        <v>0.844387592520229</v>
      </c>
      <c r="C180" s="1" t="n">
        <v>9476</v>
      </c>
    </row>
    <row r="181" customFormat="false" ht="15" hidden="false" customHeight="true" outlineLevel="0" collapsed="false">
      <c r="A181" s="8" t="n">
        <v>46185</v>
      </c>
      <c r="B181" s="7" t="n">
        <v>0.790169702773483</v>
      </c>
      <c r="C181" s="1" t="n">
        <v>14565</v>
      </c>
    </row>
    <row r="182" customFormat="false" ht="15" hidden="false" customHeight="true" outlineLevel="0" collapsed="false">
      <c r="A182" s="8" t="n">
        <v>46186</v>
      </c>
      <c r="B182" s="7" t="n">
        <v>0.778697104696635</v>
      </c>
      <c r="C182" s="1" t="n">
        <v>8887</v>
      </c>
    </row>
    <row r="183" customFormat="false" ht="15" hidden="false" customHeight="true" outlineLevel="0" collapsed="false">
      <c r="A183" s="8" t="n">
        <v>46187</v>
      </c>
      <c r="B183" s="7" t="n">
        <v>0.794517227810006</v>
      </c>
      <c r="C183" s="1" t="n">
        <v>8646</v>
      </c>
    </row>
    <row r="184" customFormat="false" ht="15" hidden="false" customHeight="true" outlineLevel="0" collapsed="false">
      <c r="A184" s="8" t="n">
        <v>46188</v>
      </c>
      <c r="B184" s="7" t="n">
        <v>0.774193985920915</v>
      </c>
      <c r="C184" s="1" t="n">
        <v>11443</v>
      </c>
    </row>
    <row r="185" customFormat="false" ht="15" hidden="false" customHeight="true" outlineLevel="0" collapsed="false">
      <c r="A185" s="8" t="n">
        <v>46189</v>
      </c>
      <c r="B185" s="7" t="n">
        <v>0.825600347794154</v>
      </c>
      <c r="C185" s="1" t="n">
        <v>5016</v>
      </c>
    </row>
    <row r="186" customFormat="false" ht="15" hidden="false" customHeight="true" outlineLevel="0" collapsed="false">
      <c r="A186" s="8" t="n">
        <v>46190</v>
      </c>
      <c r="B186" s="7" t="n">
        <v>0.775206824804141</v>
      </c>
      <c r="C186" s="1" t="n">
        <v>4996</v>
      </c>
    </row>
    <row r="187" customFormat="false" ht="15" hidden="false" customHeight="true" outlineLevel="0" collapsed="false">
      <c r="A187" s="8" t="n">
        <v>46191</v>
      </c>
      <c r="B187" s="7" t="n">
        <v>0.778566373126707</v>
      </c>
      <c r="C187" s="1" t="n">
        <v>13315</v>
      </c>
    </row>
    <row r="188" customFormat="false" ht="15" hidden="false" customHeight="true" outlineLevel="0" collapsed="false">
      <c r="A188" s="8" t="n">
        <v>46192</v>
      </c>
      <c r="B188" s="7" t="n">
        <v>0.803484544024063</v>
      </c>
      <c r="C188" s="1" t="n">
        <v>6058</v>
      </c>
    </row>
    <row r="189" customFormat="false" ht="15" hidden="false" customHeight="true" outlineLevel="0" collapsed="false">
      <c r="A189" s="8" t="n">
        <v>46193</v>
      </c>
      <c r="B189" s="7" t="n">
        <v>0.872611251689984</v>
      </c>
      <c r="C189" s="1" t="n">
        <v>7079</v>
      </c>
    </row>
    <row r="190" customFormat="false" ht="15" hidden="false" customHeight="true" outlineLevel="0" collapsed="false">
      <c r="A190" s="8" t="n">
        <v>46194</v>
      </c>
      <c r="B190" s="7" t="n">
        <v>0.804686466872469</v>
      </c>
      <c r="C190" s="1" t="n">
        <v>5819</v>
      </c>
    </row>
    <row r="191" customFormat="false" ht="15" hidden="false" customHeight="true" outlineLevel="0" collapsed="false">
      <c r="A191" s="8" t="n">
        <v>46195</v>
      </c>
      <c r="B191" s="7" t="n">
        <v>0.855402656437304</v>
      </c>
      <c r="C191" s="1" t="n">
        <v>21126</v>
      </c>
    </row>
    <row r="192" customFormat="false" ht="15" hidden="false" customHeight="true" outlineLevel="0" collapsed="false">
      <c r="A192" s="8" t="n">
        <v>46196</v>
      </c>
      <c r="B192" s="7" t="n">
        <v>0.90412736837688</v>
      </c>
      <c r="C192" s="1" t="n">
        <v>7444</v>
      </c>
    </row>
    <row r="193" customFormat="false" ht="15" hidden="false" customHeight="true" outlineLevel="0" collapsed="false">
      <c r="A193" s="8" t="n">
        <v>46197</v>
      </c>
      <c r="B193" s="7" t="n">
        <v>0.776311865039324</v>
      </c>
      <c r="C193" s="1" t="n">
        <v>5157</v>
      </c>
    </row>
    <row r="194" customFormat="false" ht="15" hidden="false" customHeight="true" outlineLevel="0" collapsed="false">
      <c r="A194" s="8" t="n">
        <v>46198</v>
      </c>
      <c r="B194" s="7" t="n">
        <v>0.89333508939207</v>
      </c>
      <c r="C194" s="1" t="n">
        <v>10104</v>
      </c>
    </row>
    <row r="195" customFormat="false" ht="15" hidden="false" customHeight="true" outlineLevel="0" collapsed="false">
      <c r="A195" s="8" t="n">
        <v>46199</v>
      </c>
      <c r="B195" s="7" t="n">
        <v>0.748838643090129</v>
      </c>
      <c r="C195" s="1" t="n">
        <v>3840</v>
      </c>
    </row>
    <row r="196" customFormat="false" ht="15" hidden="false" customHeight="true" outlineLevel="0" collapsed="false">
      <c r="A196" s="8" t="n">
        <v>46200</v>
      </c>
      <c r="B196" s="7" t="n">
        <v>0.822635204156087</v>
      </c>
      <c r="C196" s="1" t="n">
        <v>11779</v>
      </c>
    </row>
    <row r="197" customFormat="false" ht="15" hidden="false" customHeight="true" outlineLevel="0" collapsed="false">
      <c r="A197" s="8" t="n">
        <v>46201</v>
      </c>
      <c r="B197" s="7" t="n">
        <v>0.743144029393008</v>
      </c>
      <c r="C197" s="1" t="n">
        <v>5580</v>
      </c>
    </row>
    <row r="198" customFormat="false" ht="15" hidden="false" customHeight="true" outlineLevel="0" collapsed="false">
      <c r="A198" s="8" t="n">
        <v>46202</v>
      </c>
      <c r="B198" s="7" t="n">
        <v>0.888044640124453</v>
      </c>
      <c r="C198" s="1" t="n">
        <v>15392</v>
      </c>
    </row>
    <row r="199" customFormat="false" ht="15" hidden="false" customHeight="true" outlineLevel="0" collapsed="false">
      <c r="A199" s="8" t="n">
        <v>46203</v>
      </c>
      <c r="B199" s="7" t="n">
        <v>0.854002879324682</v>
      </c>
      <c r="C199" s="1" t="n">
        <v>13364</v>
      </c>
    </row>
    <row r="200" customFormat="false" ht="15" hidden="false" customHeight="true" outlineLevel="0" collapsed="false">
      <c r="A200" s="8" t="n">
        <v>46204</v>
      </c>
      <c r="B200" s="7" t="n">
        <v>0.761537141431738</v>
      </c>
      <c r="C200" s="1" t="n">
        <v>5439</v>
      </c>
    </row>
    <row r="201" customFormat="false" ht="15" hidden="false" customHeight="true" outlineLevel="0" collapsed="false">
      <c r="A201" s="8" t="n">
        <v>46205</v>
      </c>
      <c r="B201" s="7" t="n">
        <v>0.788000415040902</v>
      </c>
      <c r="C201" s="1" t="n">
        <v>2739</v>
      </c>
    </row>
    <row r="202" customFormat="false" ht="15" hidden="false" customHeight="true" outlineLevel="0" collapsed="false">
      <c r="A202" s="8" t="n">
        <v>46206</v>
      </c>
      <c r="B202" s="7" t="n">
        <v>0.786268784863232</v>
      </c>
      <c r="C202" s="1" t="n">
        <v>13718</v>
      </c>
    </row>
    <row r="203" customFormat="false" ht="15" hidden="false" customHeight="true" outlineLevel="0" collapsed="false">
      <c r="A203" s="8" t="n">
        <v>46207</v>
      </c>
      <c r="B203" s="7" t="n">
        <v>0.860450505353356</v>
      </c>
      <c r="C203" s="1" t="n">
        <v>14937</v>
      </c>
    </row>
    <row r="204" customFormat="false" ht="15" hidden="false" customHeight="true" outlineLevel="0" collapsed="false">
      <c r="A204" s="8" t="n">
        <v>46208</v>
      </c>
      <c r="B204" s="7" t="n">
        <v>0.814204756198661</v>
      </c>
      <c r="C204" s="1" t="n">
        <v>9941</v>
      </c>
    </row>
    <row r="205" customFormat="false" ht="15" hidden="false" customHeight="true" outlineLevel="0" collapsed="false">
      <c r="A205" s="8" t="n">
        <v>46209</v>
      </c>
      <c r="B205" s="7" t="n">
        <v>0.9139593657428</v>
      </c>
      <c r="C205" s="1" t="n">
        <v>5158</v>
      </c>
    </row>
    <row r="206" customFormat="false" ht="15" hidden="false" customHeight="true" outlineLevel="0" collapsed="false">
      <c r="A206" s="8" t="n">
        <v>46210</v>
      </c>
      <c r="B206" s="7" t="n">
        <v>0.832396587434443</v>
      </c>
      <c r="C206" s="1" t="n">
        <v>11125</v>
      </c>
    </row>
    <row r="207" customFormat="false" ht="15" hidden="false" customHeight="true" outlineLevel="0" collapsed="false">
      <c r="A207" s="8" t="n">
        <v>46211</v>
      </c>
      <c r="B207" s="7" t="n">
        <v>0.768621032295399</v>
      </c>
      <c r="C207" s="1" t="n">
        <v>5717</v>
      </c>
    </row>
    <row r="208" customFormat="false" ht="15" hidden="false" customHeight="true" outlineLevel="0" collapsed="false">
      <c r="A208" s="8" t="n">
        <v>46212</v>
      </c>
      <c r="B208" s="7" t="n">
        <v>0.848955262087282</v>
      </c>
      <c r="C208" s="1" t="n">
        <v>7017</v>
      </c>
    </row>
    <row r="209" customFormat="false" ht="15" hidden="false" customHeight="true" outlineLevel="0" collapsed="false">
      <c r="A209" s="8" t="n">
        <v>46213</v>
      </c>
      <c r="B209" s="7" t="n">
        <v>0.794654468532551</v>
      </c>
      <c r="C209" s="1" t="n">
        <v>7185</v>
      </c>
    </row>
    <row r="210" customFormat="false" ht="15" hidden="false" customHeight="true" outlineLevel="0" collapsed="false">
      <c r="A210" s="8" t="n">
        <v>46214</v>
      </c>
      <c r="B210" s="7" t="n">
        <v>0.792697325807858</v>
      </c>
      <c r="C210" s="1" t="n">
        <v>9705</v>
      </c>
    </row>
    <row r="211" customFormat="false" ht="15" hidden="false" customHeight="true" outlineLevel="0" collapsed="false">
      <c r="A211" s="8" t="n">
        <v>46215</v>
      </c>
      <c r="B211" s="7" t="n">
        <v>0.853942563539936</v>
      </c>
      <c r="C211" s="1" t="n">
        <v>4878</v>
      </c>
    </row>
    <row r="212" customFormat="false" ht="15" hidden="false" customHeight="true" outlineLevel="0" collapsed="false">
      <c r="A212" s="8" t="n">
        <v>46216</v>
      </c>
      <c r="B212" s="7" t="n">
        <v>0.835760693729834</v>
      </c>
      <c r="C212" s="1" t="n">
        <v>5944</v>
      </c>
    </row>
    <row r="213" customFormat="false" ht="15" hidden="false" customHeight="true" outlineLevel="0" collapsed="false">
      <c r="A213" s="8" t="n">
        <v>46217</v>
      </c>
      <c r="B213" s="7" t="n">
        <v>0.823258368842507</v>
      </c>
      <c r="C213" s="1" t="n">
        <v>4765</v>
      </c>
    </row>
    <row r="214" customFormat="false" ht="15" hidden="false" customHeight="true" outlineLevel="0" collapsed="false">
      <c r="A214" s="8" t="n">
        <v>46218</v>
      </c>
      <c r="B214" s="7" t="n">
        <v>0.858791627012901</v>
      </c>
      <c r="C214" s="1" t="n">
        <v>13608</v>
      </c>
    </row>
    <row r="215" customFormat="false" ht="15" hidden="false" customHeight="true" outlineLevel="0" collapsed="false">
      <c r="A215" s="8" t="n">
        <v>46219</v>
      </c>
      <c r="B215" s="7" t="n">
        <v>0.718905077143721</v>
      </c>
      <c r="C215" s="1" t="n">
        <v>1472</v>
      </c>
    </row>
    <row r="216" customFormat="false" ht="15" hidden="false" customHeight="true" outlineLevel="0" collapsed="false">
      <c r="A216" s="8" t="n">
        <v>46220</v>
      </c>
      <c r="B216" s="7" t="n">
        <v>0.818285734223895</v>
      </c>
      <c r="C216" s="1" t="n">
        <v>7779</v>
      </c>
    </row>
    <row r="217" customFormat="false" ht="15" hidden="false" customHeight="true" outlineLevel="0" collapsed="false">
      <c r="A217" s="8" t="n">
        <v>46221</v>
      </c>
      <c r="B217" s="7" t="n">
        <v>0.728588248791983</v>
      </c>
      <c r="C217" s="1" t="n">
        <v>6217</v>
      </c>
    </row>
    <row r="218" customFormat="false" ht="15" hidden="false" customHeight="true" outlineLevel="0" collapsed="false">
      <c r="A218" s="8" t="n">
        <v>46222</v>
      </c>
      <c r="B218" s="7" t="n">
        <v>0.792551002169017</v>
      </c>
      <c r="C218" s="1" t="n">
        <v>4102</v>
      </c>
    </row>
    <row r="219" customFormat="false" ht="15" hidden="false" customHeight="true" outlineLevel="0" collapsed="false">
      <c r="A219" s="8" t="n">
        <v>46223</v>
      </c>
      <c r="B219" s="7" t="n">
        <v>0.747691719618005</v>
      </c>
      <c r="C219" s="1" t="n">
        <v>5505</v>
      </c>
    </row>
    <row r="220" customFormat="false" ht="15" hidden="false" customHeight="true" outlineLevel="0" collapsed="false">
      <c r="A220" s="8" t="n">
        <v>46224</v>
      </c>
      <c r="B220" s="7" t="n">
        <v>0.732477218087182</v>
      </c>
      <c r="C220" s="1" t="n">
        <v>2338</v>
      </c>
    </row>
    <row r="221" customFormat="false" ht="15" hidden="false" customHeight="true" outlineLevel="0" collapsed="false">
      <c r="A221" s="8" t="n">
        <v>46225</v>
      </c>
      <c r="B221" s="7" t="n">
        <v>0.880309738709715</v>
      </c>
      <c r="C221" s="1" t="n">
        <v>15218</v>
      </c>
    </row>
    <row r="222" customFormat="false" ht="15" hidden="false" customHeight="true" outlineLevel="0" collapsed="false">
      <c r="A222" s="8" t="n">
        <v>46226</v>
      </c>
      <c r="B222" s="7" t="n">
        <v>0.789203417030505</v>
      </c>
      <c r="C222" s="1" t="n">
        <v>17094</v>
      </c>
    </row>
    <row r="223" customFormat="false" ht="15" hidden="false" customHeight="true" outlineLevel="0" collapsed="false">
      <c r="A223" s="8" t="n">
        <v>46227</v>
      </c>
      <c r="B223" s="7" t="n">
        <v>0.71783007114106</v>
      </c>
      <c r="C223" s="1" t="n">
        <v>12712</v>
      </c>
    </row>
    <row r="224" customFormat="false" ht="15" hidden="false" customHeight="true" outlineLevel="0" collapsed="false">
      <c r="A224" s="8" t="n">
        <v>46228</v>
      </c>
      <c r="B224" s="7" t="n">
        <v>0.799646563786723</v>
      </c>
      <c r="C224" s="1" t="n">
        <v>4459</v>
      </c>
    </row>
    <row r="225" customFormat="false" ht="15" hidden="false" customHeight="true" outlineLevel="0" collapsed="false">
      <c r="A225" s="8" t="n">
        <v>46229</v>
      </c>
      <c r="B225" s="7" t="n">
        <v>0.859756668988505</v>
      </c>
      <c r="C225" s="1" t="n">
        <v>4044</v>
      </c>
    </row>
    <row r="226" customFormat="false" ht="15" hidden="false" customHeight="true" outlineLevel="0" collapsed="false">
      <c r="A226" s="8" t="n">
        <v>46230</v>
      </c>
      <c r="B226" s="7" t="n">
        <v>0.867590409922553</v>
      </c>
      <c r="C226" s="1" t="n">
        <v>16330</v>
      </c>
    </row>
    <row r="227" customFormat="false" ht="15" hidden="false" customHeight="true" outlineLevel="0" collapsed="false">
      <c r="A227" s="8" t="n">
        <v>46231</v>
      </c>
      <c r="B227" s="7" t="n">
        <v>0.890586766325016</v>
      </c>
      <c r="C227" s="1" t="n">
        <v>11482</v>
      </c>
    </row>
    <row r="228" customFormat="false" ht="15" hidden="false" customHeight="true" outlineLevel="0" collapsed="false">
      <c r="A228" s="8" t="n">
        <v>46232</v>
      </c>
      <c r="B228" s="7" t="n">
        <v>0.910151834923294</v>
      </c>
      <c r="C228" s="1" t="n">
        <v>13569</v>
      </c>
    </row>
    <row r="229" customFormat="false" ht="15" hidden="false" customHeight="true" outlineLevel="0" collapsed="false">
      <c r="A229" s="8" t="n">
        <v>46233</v>
      </c>
      <c r="B229" s="7" t="n">
        <v>0.79531358082383</v>
      </c>
      <c r="C229" s="1" t="n">
        <v>6290</v>
      </c>
    </row>
    <row r="230" customFormat="false" ht="15" hidden="false" customHeight="true" outlineLevel="0" collapsed="false">
      <c r="A230" s="8" t="n">
        <v>46234</v>
      </c>
      <c r="B230" s="7" t="n">
        <v>0.889503562511807</v>
      </c>
      <c r="C230" s="1" t="n">
        <v>13010</v>
      </c>
    </row>
    <row r="231" customFormat="false" ht="15" hidden="false" customHeight="true" outlineLevel="0" collapsed="false">
      <c r="A231" s="8" t="n">
        <v>46235</v>
      </c>
      <c r="B231" s="7" t="n">
        <v>0.835804384793099</v>
      </c>
      <c r="C231" s="1" t="n">
        <v>8657</v>
      </c>
    </row>
    <row r="232" customFormat="false" ht="15" hidden="false" customHeight="true" outlineLevel="0" collapsed="false">
      <c r="A232" s="8" t="n">
        <v>46236</v>
      </c>
      <c r="B232" s="7" t="n">
        <v>0.782772049327476</v>
      </c>
      <c r="C232" s="1" t="n">
        <v>5085</v>
      </c>
    </row>
    <row r="233" customFormat="false" ht="15" hidden="false" customHeight="true" outlineLevel="0" collapsed="false">
      <c r="A233" s="8" t="n">
        <v>46237</v>
      </c>
      <c r="B233" s="7" t="n">
        <v>0.835005868970165</v>
      </c>
      <c r="C233" s="1" t="n">
        <v>14515</v>
      </c>
    </row>
    <row r="234" customFormat="false" ht="15" hidden="false" customHeight="true" outlineLevel="0" collapsed="false">
      <c r="A234" s="8" t="n">
        <v>46238</v>
      </c>
      <c r="B234" s="7" t="n">
        <v>0.784164469249728</v>
      </c>
      <c r="C234" s="1" t="n">
        <v>8973</v>
      </c>
    </row>
    <row r="235" customFormat="false" ht="15" hidden="false" customHeight="true" outlineLevel="0" collapsed="false">
      <c r="A235" s="8" t="n">
        <v>46239</v>
      </c>
      <c r="B235" s="7" t="n">
        <v>0.816083216211286</v>
      </c>
      <c r="C235" s="1" t="n">
        <v>7195</v>
      </c>
    </row>
    <row r="236" customFormat="false" ht="15" hidden="false" customHeight="true" outlineLevel="0" collapsed="false">
      <c r="A236" s="8" t="n">
        <v>46240</v>
      </c>
      <c r="B236" s="7" t="n">
        <v>0.910123367244215</v>
      </c>
      <c r="C236" s="1" t="n">
        <v>5567</v>
      </c>
    </row>
    <row r="237" customFormat="false" ht="15" hidden="false" customHeight="true" outlineLevel="0" collapsed="false">
      <c r="A237" s="8" t="n">
        <v>46241</v>
      </c>
      <c r="B237" s="7" t="n">
        <v>0.899849077783244</v>
      </c>
      <c r="C237" s="1" t="n">
        <v>12300</v>
      </c>
    </row>
    <row r="238" customFormat="false" ht="15" hidden="false" customHeight="true" outlineLevel="0" collapsed="false">
      <c r="A238" s="8" t="n">
        <v>46242</v>
      </c>
      <c r="B238" s="7" t="n">
        <v>0.816085349585474</v>
      </c>
      <c r="C238" s="1" t="n">
        <v>3297</v>
      </c>
    </row>
    <row r="239" customFormat="false" ht="15" hidden="false" customHeight="true" outlineLevel="0" collapsed="false">
      <c r="A239" s="8" t="n">
        <v>46243</v>
      </c>
      <c r="B239" s="7" t="n">
        <v>0.900998245176767</v>
      </c>
      <c r="C239" s="1" t="n">
        <v>23052</v>
      </c>
    </row>
    <row r="240" customFormat="false" ht="15" hidden="false" customHeight="true" outlineLevel="0" collapsed="false">
      <c r="A240" s="8" t="n">
        <v>46244</v>
      </c>
      <c r="B240" s="7" t="n">
        <v>0.797284830832511</v>
      </c>
      <c r="C240" s="1" t="n">
        <v>11579</v>
      </c>
    </row>
    <row r="241" customFormat="false" ht="15" hidden="false" customHeight="true" outlineLevel="0" collapsed="false">
      <c r="A241" s="8" t="n">
        <v>46245</v>
      </c>
      <c r="B241" s="7" t="n">
        <v>0.810051303061265</v>
      </c>
      <c r="C241" s="1" t="n">
        <v>9058</v>
      </c>
    </row>
    <row r="242" customFormat="false" ht="15" hidden="false" customHeight="true" outlineLevel="0" collapsed="false">
      <c r="A242" s="8" t="n">
        <v>46246</v>
      </c>
      <c r="B242" s="7" t="n">
        <v>0.846161135606755</v>
      </c>
      <c r="C242" s="1" t="n">
        <v>5676</v>
      </c>
    </row>
    <row r="243" customFormat="false" ht="15" hidden="false" customHeight="true" outlineLevel="0" collapsed="false">
      <c r="A243" s="8" t="n">
        <v>46247</v>
      </c>
      <c r="B243" s="7" t="n">
        <v>0.762565853898725</v>
      </c>
      <c r="C243" s="1" t="n">
        <v>6666</v>
      </c>
    </row>
    <row r="244" customFormat="false" ht="15" hidden="false" customHeight="true" outlineLevel="0" collapsed="false">
      <c r="A244" s="8" t="n">
        <v>46248</v>
      </c>
      <c r="B244" s="7" t="n">
        <v>0.710971190648966</v>
      </c>
      <c r="C244" s="1" t="n">
        <v>12518</v>
      </c>
    </row>
    <row r="245" customFormat="false" ht="15" hidden="false" customHeight="true" outlineLevel="0" collapsed="false">
      <c r="A245" s="8" t="n">
        <v>46249</v>
      </c>
      <c r="B245" s="7" t="n">
        <v>0.789028807932558</v>
      </c>
      <c r="C245" s="1" t="n">
        <v>8797</v>
      </c>
    </row>
    <row r="246" customFormat="false" ht="15" hidden="false" customHeight="true" outlineLevel="0" collapsed="false">
      <c r="A246" s="8" t="n">
        <v>46250</v>
      </c>
      <c r="B246" s="7" t="n">
        <v>0.744533103794113</v>
      </c>
      <c r="C246" s="1" t="n">
        <v>11267</v>
      </c>
    </row>
    <row r="247" customFormat="false" ht="15" hidden="false" customHeight="true" outlineLevel="0" collapsed="false">
      <c r="A247" s="8" t="n">
        <v>46251</v>
      </c>
      <c r="B247" s="7" t="n">
        <v>0.912179986727674</v>
      </c>
      <c r="C247" s="1" t="n">
        <v>10526</v>
      </c>
    </row>
    <row r="248" customFormat="false" ht="15" hidden="false" customHeight="true" outlineLevel="0" collapsed="false">
      <c r="A248" s="8" t="n">
        <v>46252</v>
      </c>
      <c r="B248" s="7" t="n">
        <v>0.818723930734326</v>
      </c>
      <c r="C248" s="1" t="n">
        <v>13154</v>
      </c>
    </row>
    <row r="249" customFormat="false" ht="15" hidden="false" customHeight="true" outlineLevel="0" collapsed="false">
      <c r="A249" s="8" t="n">
        <v>46253</v>
      </c>
      <c r="B249" s="7" t="n">
        <v>0.802565113693833</v>
      </c>
      <c r="C249" s="1" t="n">
        <v>7227</v>
      </c>
    </row>
    <row r="250" customFormat="false" ht="15" hidden="false" customHeight="true" outlineLevel="0" collapsed="false">
      <c r="A250" s="8" t="n">
        <v>46254</v>
      </c>
      <c r="B250" s="7" t="n">
        <v>0.886383062585274</v>
      </c>
      <c r="C250" s="1" t="n">
        <v>4577</v>
      </c>
    </row>
    <row r="251" customFormat="false" ht="15" hidden="false" customHeight="true" outlineLevel="0" collapsed="false">
      <c r="A251" s="8" t="n">
        <v>46255</v>
      </c>
      <c r="B251" s="7" t="n">
        <v>0.894774012054953</v>
      </c>
      <c r="C251" s="1" t="n">
        <v>4510</v>
      </c>
    </row>
    <row r="252" customFormat="false" ht="15" hidden="false" customHeight="true" outlineLevel="0" collapsed="false">
      <c r="A252" s="8" t="n">
        <v>46256</v>
      </c>
      <c r="B252" s="7" t="n">
        <v>0.720473305452942</v>
      </c>
      <c r="C252" s="1" t="n">
        <v>12285</v>
      </c>
    </row>
    <row r="253" customFormat="false" ht="15" hidden="false" customHeight="true" outlineLevel="0" collapsed="false">
      <c r="A253" s="8" t="n">
        <v>46257</v>
      </c>
      <c r="B253" s="7" t="n">
        <v>0.793290255386949</v>
      </c>
      <c r="C253" s="1" t="n">
        <v>6632</v>
      </c>
    </row>
    <row r="254" customFormat="false" ht="15" hidden="false" customHeight="true" outlineLevel="0" collapsed="false">
      <c r="A254" s="8" t="n">
        <v>46258</v>
      </c>
      <c r="B254" s="7" t="n">
        <v>0.864375292379918</v>
      </c>
      <c r="C254" s="1" t="n">
        <v>16111</v>
      </c>
    </row>
    <row r="255" customFormat="false" ht="15" hidden="false" customHeight="true" outlineLevel="0" collapsed="false">
      <c r="A255" s="8" t="n">
        <v>46259</v>
      </c>
      <c r="B255" s="7" t="n">
        <v>0.833244583819784</v>
      </c>
      <c r="C255" s="1" t="n">
        <v>15070</v>
      </c>
    </row>
    <row r="256" customFormat="false" ht="15" hidden="false" customHeight="true" outlineLevel="0" collapsed="false">
      <c r="A256" s="8" t="n">
        <v>46260</v>
      </c>
      <c r="B256" s="7" t="n">
        <v>0.832207110523257</v>
      </c>
      <c r="C256" s="1" t="n">
        <v>7653</v>
      </c>
    </row>
    <row r="257" customFormat="false" ht="15" hidden="false" customHeight="true" outlineLevel="0" collapsed="false">
      <c r="A257" s="8" t="n">
        <v>46261</v>
      </c>
      <c r="B257" s="7" t="n">
        <v>0.80635119471019</v>
      </c>
      <c r="C257" s="1" t="n">
        <v>5892</v>
      </c>
    </row>
    <row r="258" customFormat="false" ht="15" hidden="false" customHeight="true" outlineLevel="0" collapsed="false">
      <c r="A258" s="8" t="n">
        <v>46262</v>
      </c>
      <c r="B258" s="7" t="n">
        <v>0.711779059177517</v>
      </c>
      <c r="C258" s="1" t="n">
        <v>10149</v>
      </c>
    </row>
    <row r="259" customFormat="false" ht="15" hidden="false" customHeight="true" outlineLevel="0" collapsed="false">
      <c r="A259" s="8" t="n">
        <v>46263</v>
      </c>
      <c r="B259" s="7" t="n">
        <v>0.881001656904147</v>
      </c>
      <c r="C259" s="1" t="n">
        <v>12781</v>
      </c>
    </row>
    <row r="260" customFormat="false" ht="15" hidden="false" customHeight="true" outlineLevel="0" collapsed="false">
      <c r="A260" s="8" t="n">
        <v>46264</v>
      </c>
      <c r="B260" s="7" t="n">
        <v>0.899922269258892</v>
      </c>
      <c r="C260" s="1" t="n">
        <v>19264</v>
      </c>
    </row>
    <row r="261" customFormat="false" ht="15" hidden="false" customHeight="true" outlineLevel="0" collapsed="false">
      <c r="A261" s="8" t="n">
        <v>46265</v>
      </c>
      <c r="B261" s="7" t="n">
        <v>0.815247017499512</v>
      </c>
      <c r="C261" s="1" t="n">
        <v>17591</v>
      </c>
    </row>
    <row r="262" customFormat="false" ht="15" hidden="false" customHeight="true" outlineLevel="0" collapsed="false">
      <c r="A262" s="8" t="n">
        <v>46266</v>
      </c>
      <c r="B262" s="7" t="n">
        <v>0.815979792935525</v>
      </c>
      <c r="C262" s="1" t="n">
        <v>10571</v>
      </c>
    </row>
    <row r="263" customFormat="false" ht="15" hidden="false" customHeight="true" outlineLevel="0" collapsed="false">
      <c r="A263" s="8" t="n">
        <v>46267</v>
      </c>
      <c r="B263" s="7" t="n">
        <v>0.82601078254167</v>
      </c>
      <c r="C263" s="1" t="n">
        <v>10447</v>
      </c>
    </row>
    <row r="264" customFormat="false" ht="15" hidden="false" customHeight="true" outlineLevel="0" collapsed="false">
      <c r="A264" s="8" t="n">
        <v>46268</v>
      </c>
      <c r="B264" s="7" t="n">
        <v>0.837894835438654</v>
      </c>
      <c r="C264" s="1" t="n">
        <v>8354</v>
      </c>
    </row>
    <row r="265" customFormat="false" ht="15" hidden="false" customHeight="true" outlineLevel="0" collapsed="false">
      <c r="A265" s="8" t="n">
        <v>46269</v>
      </c>
      <c r="B265" s="7" t="n">
        <v>0.679137559084713</v>
      </c>
      <c r="C265" s="1" t="n">
        <v>6914</v>
      </c>
    </row>
    <row r="266" customFormat="false" ht="15" hidden="false" customHeight="true" outlineLevel="0" collapsed="false">
      <c r="A266" s="8" t="n">
        <v>46270</v>
      </c>
      <c r="B266" s="7" t="n">
        <v>0.873827353553177</v>
      </c>
      <c r="C266" s="1" t="n">
        <v>12088</v>
      </c>
    </row>
    <row r="267" customFormat="false" ht="15" hidden="false" customHeight="true" outlineLevel="0" collapsed="false">
      <c r="A267" s="8" t="n">
        <v>46271</v>
      </c>
      <c r="B267" s="7" t="n">
        <v>0.804422115970285</v>
      </c>
      <c r="C267" s="1" t="n">
        <v>7313</v>
      </c>
    </row>
    <row r="268" customFormat="false" ht="15" hidden="false" customHeight="true" outlineLevel="0" collapsed="false">
      <c r="A268" s="8" t="n">
        <v>46272</v>
      </c>
      <c r="B268" s="7" t="n">
        <v>0.77492107620548</v>
      </c>
      <c r="C268" s="1" t="n">
        <v>8287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Z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R3" activeCellId="0" sqref="R3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7.16"/>
    <col collapsed="false" customWidth="true" hidden="false" outlineLevel="0" max="3" min="2" style="1" width="9.14"/>
    <col collapsed="false" customWidth="true" hidden="false" outlineLevel="0" max="6" min="4" style="1" width="4.71"/>
    <col collapsed="false" customWidth="true" hidden="false" outlineLevel="0" max="7" min="7" style="1" width="9.42"/>
    <col collapsed="false" customWidth="true" hidden="false" outlineLevel="0" max="9" min="8" style="1" width="6.57"/>
    <col collapsed="false" customWidth="true" hidden="false" outlineLevel="0" max="11" min="10" style="1" width="8.42"/>
    <col collapsed="false" customWidth="true" hidden="false" outlineLevel="0" max="12" min="12" style="1" width="8.29"/>
    <col collapsed="false" customWidth="true" hidden="false" outlineLevel="0" max="14" min="13" style="1" width="7.57"/>
    <col collapsed="false" customWidth="true" hidden="false" outlineLevel="0" max="15" min="15" style="1" width="5.86"/>
    <col collapsed="false" customWidth="true" hidden="false" outlineLevel="0" max="18" min="16" style="1" width="7"/>
    <col collapsed="false" customWidth="true" hidden="false" outlineLevel="0" max="20" min="19" style="1" width="6.14"/>
    <col collapsed="false" customWidth="true" hidden="false" outlineLevel="0" max="31" min="21" style="1" width="5.57"/>
    <col collapsed="false" customWidth="true" hidden="false" outlineLevel="0" max="35" min="32" style="1" width="8.42"/>
    <col collapsed="false" customWidth="true" hidden="false" outlineLevel="0" max="36" min="36" style="1" width="9.42"/>
    <col collapsed="false" customWidth="true" hidden="false" outlineLevel="0" max="37" min="37" style="1" width="9.86"/>
    <col collapsed="false" customWidth="true" hidden="false" outlineLevel="0" max="47" min="38" style="1" width="4.57"/>
    <col collapsed="false" customWidth="true" hidden="false" outlineLevel="0" max="48" min="48" style="1" width="7.86"/>
    <col collapsed="false" customWidth="true" hidden="false" outlineLevel="0" max="49" min="49" style="1" width="8.57"/>
    <col collapsed="false" customWidth="true" hidden="false" outlineLevel="0" max="52" min="50" style="1" width="7.86"/>
  </cols>
  <sheetData>
    <row r="1" customFormat="false" ht="12.75" hidden="false" customHeight="true" outlineLevel="0" collapsed="false">
      <c r="A1" s="9" t="s">
        <v>16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10" t="s">
        <v>16</v>
      </c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</row>
    <row r="2" customFormat="false" ht="12.75" hidden="false" customHeight="true" outlineLevel="0" collapsed="false">
      <c r="A2" s="11" t="s">
        <v>17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2" t="s">
        <v>17</v>
      </c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</row>
    <row r="3" customFormat="false" ht="12.75" hidden="false" customHeight="true" outlineLevel="0" collapsed="false">
      <c r="A3" s="13" t="s">
        <v>18</v>
      </c>
      <c r="B3" s="14" t="s">
        <v>14</v>
      </c>
      <c r="C3" s="14" t="s">
        <v>19</v>
      </c>
      <c r="D3" s="14" t="s">
        <v>20</v>
      </c>
      <c r="E3" s="14" t="s">
        <v>21</v>
      </c>
      <c r="F3" s="14" t="s">
        <v>22</v>
      </c>
      <c r="G3" s="14" t="s">
        <v>23</v>
      </c>
      <c r="H3" s="14" t="s">
        <v>24</v>
      </c>
      <c r="I3" s="14" t="s">
        <v>25</v>
      </c>
      <c r="J3" s="14" t="s">
        <v>26</v>
      </c>
      <c r="K3" s="14" t="s">
        <v>27</v>
      </c>
      <c r="L3" s="14" t="s">
        <v>28</v>
      </c>
      <c r="M3" s="14" t="s">
        <v>29</v>
      </c>
      <c r="N3" s="14" t="s">
        <v>30</v>
      </c>
      <c r="O3" s="14" t="s">
        <v>31</v>
      </c>
      <c r="P3" s="14" t="s">
        <v>32</v>
      </c>
      <c r="Q3" s="14" t="s">
        <v>33</v>
      </c>
      <c r="R3" s="14" t="s">
        <v>34</v>
      </c>
      <c r="S3" s="15" t="s">
        <v>35</v>
      </c>
      <c r="T3" s="15" t="s">
        <v>36</v>
      </c>
      <c r="U3" s="16" t="s">
        <v>37</v>
      </c>
      <c r="V3" s="16"/>
      <c r="W3" s="16"/>
      <c r="X3" s="16"/>
      <c r="Y3" s="16"/>
      <c r="Z3" s="16"/>
      <c r="AA3" s="16"/>
      <c r="AB3" s="16"/>
      <c r="AC3" s="16"/>
      <c r="AD3" s="16"/>
      <c r="AE3" s="16"/>
      <c r="AF3" s="14" t="s">
        <v>38</v>
      </c>
      <c r="AG3" s="14" t="s">
        <v>39</v>
      </c>
      <c r="AH3" s="17" t="s">
        <v>40</v>
      </c>
      <c r="AI3" s="14" t="s">
        <v>41</v>
      </c>
      <c r="AJ3" s="18" t="s">
        <v>42</v>
      </c>
      <c r="AK3" s="14" t="s">
        <v>43</v>
      </c>
      <c r="AL3" s="16" t="s">
        <v>44</v>
      </c>
      <c r="AM3" s="16"/>
      <c r="AN3" s="16"/>
      <c r="AO3" s="16"/>
      <c r="AP3" s="16"/>
      <c r="AQ3" s="16"/>
      <c r="AR3" s="16"/>
      <c r="AS3" s="16"/>
      <c r="AT3" s="16"/>
      <c r="AU3" s="16"/>
      <c r="AV3" s="14" t="s">
        <v>45</v>
      </c>
      <c r="AW3" s="19" t="s">
        <v>46</v>
      </c>
      <c r="AX3" s="20" t="s">
        <v>47</v>
      </c>
      <c r="AY3" s="21" t="s">
        <v>48</v>
      </c>
      <c r="AZ3" s="22" t="s">
        <v>49</v>
      </c>
    </row>
    <row r="4" customFormat="false" ht="87" hidden="false" customHeight="true" outlineLevel="0" collapsed="false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23" t="s">
        <v>50</v>
      </c>
      <c r="V4" s="23" t="s">
        <v>51</v>
      </c>
      <c r="W4" s="23" t="s">
        <v>52</v>
      </c>
      <c r="X4" s="23" t="s">
        <v>53</v>
      </c>
      <c r="Y4" s="23" t="s">
        <v>54</v>
      </c>
      <c r="Z4" s="23" t="s">
        <v>55</v>
      </c>
      <c r="AA4" s="23" t="s">
        <v>56</v>
      </c>
      <c r="AB4" s="23" t="s">
        <v>57</v>
      </c>
      <c r="AC4" s="23" t="s">
        <v>58</v>
      </c>
      <c r="AD4" s="23" t="s">
        <v>59</v>
      </c>
      <c r="AE4" s="23" t="s">
        <v>60</v>
      </c>
      <c r="AF4" s="14"/>
      <c r="AG4" s="14"/>
      <c r="AH4" s="14"/>
      <c r="AI4" s="14"/>
      <c r="AJ4" s="14"/>
      <c r="AK4" s="14"/>
      <c r="AL4" s="23" t="s">
        <v>61</v>
      </c>
      <c r="AM4" s="23" t="s">
        <v>62</v>
      </c>
      <c r="AN4" s="23" t="s">
        <v>63</v>
      </c>
      <c r="AO4" s="23" t="s">
        <v>64</v>
      </c>
      <c r="AP4" s="23" t="s">
        <v>65</v>
      </c>
      <c r="AQ4" s="23" t="s">
        <v>66</v>
      </c>
      <c r="AR4" s="23" t="s">
        <v>67</v>
      </c>
      <c r="AS4" s="23" t="s">
        <v>68</v>
      </c>
      <c r="AT4" s="23" t="s">
        <v>69</v>
      </c>
      <c r="AU4" s="23" t="s">
        <v>70</v>
      </c>
      <c r="AV4" s="14"/>
      <c r="AW4" s="14"/>
      <c r="AX4" s="14"/>
      <c r="AY4" s="14"/>
      <c r="AZ4" s="22"/>
    </row>
    <row r="5" customFormat="false" ht="12.75" hidden="false" customHeight="true" outlineLevel="0" collapsed="false">
      <c r="A5" s="24" t="n">
        <v>1</v>
      </c>
      <c r="B5" s="25" t="n">
        <v>46023</v>
      </c>
      <c r="C5" s="25" t="n">
        <v>12</v>
      </c>
      <c r="D5" s="26" t="s">
        <v>71</v>
      </c>
      <c r="E5" s="26" t="s">
        <v>72</v>
      </c>
      <c r="F5" s="26" t="s">
        <v>73</v>
      </c>
      <c r="G5" s="26" t="s">
        <v>8</v>
      </c>
      <c r="H5" s="27" t="n">
        <v>0.354166666666667</v>
      </c>
      <c r="I5" s="27" t="n">
        <v>0.854166666666667</v>
      </c>
      <c r="J5" s="26" t="n">
        <f aca="false">IFERROR((I5-H5)*24*60,"")</f>
        <v>720</v>
      </c>
      <c r="K5" s="26" t="s">
        <v>74</v>
      </c>
      <c r="L5" s="26" t="s">
        <v>75</v>
      </c>
      <c r="M5" s="26" t="s">
        <v>76</v>
      </c>
      <c r="N5" s="26" t="s">
        <v>77</v>
      </c>
      <c r="O5" s="26" t="n">
        <v>1</v>
      </c>
      <c r="P5" s="26" t="n">
        <v>71</v>
      </c>
      <c r="Q5" s="26" t="n">
        <f aca="false">IFERROR(3600/(P5/O5),"")</f>
        <v>50.7042253521127</v>
      </c>
      <c r="R5" s="26" t="n">
        <v>428</v>
      </c>
      <c r="S5" s="26" t="n">
        <v>70</v>
      </c>
      <c r="T5" s="26" t="n">
        <f aca="false">IFERROR(J5-S5,"")</f>
        <v>650</v>
      </c>
      <c r="U5" s="26"/>
      <c r="V5" s="26" t="n">
        <v>5</v>
      </c>
      <c r="W5" s="26"/>
      <c r="X5" s="26"/>
      <c r="Y5" s="26"/>
      <c r="Z5" s="26"/>
      <c r="AA5" s="26"/>
      <c r="AB5" s="26"/>
      <c r="AC5" s="26"/>
      <c r="AD5" s="26"/>
      <c r="AE5" s="26"/>
      <c r="AF5" s="26" t="n">
        <f aca="false">SUM(U5:AE5)</f>
        <v>5</v>
      </c>
      <c r="AG5" s="26" t="n">
        <f aca="false">T5-AF5</f>
        <v>645</v>
      </c>
      <c r="AH5" s="28" t="n">
        <f aca="false">IFERROR(AG5/T5,"")</f>
        <v>0.992307692307692</v>
      </c>
      <c r="AI5" s="29" t="n">
        <f aca="false">IFERROR(R5/AG5*60,"")</f>
        <v>39.8139534883721</v>
      </c>
      <c r="AJ5" s="30" t="n">
        <f aca="false">IFERROR(AI5/Q5,"")</f>
        <v>0.785219638242894</v>
      </c>
      <c r="AK5" s="31" t="n">
        <f aca="false">IFERROR(R5/(T5/60*Q5),"")</f>
        <v>0.779179487179487</v>
      </c>
      <c r="AL5" s="26" t="n">
        <v>2</v>
      </c>
      <c r="AM5" s="26" t="n">
        <v>2</v>
      </c>
      <c r="AN5" s="26"/>
      <c r="AO5" s="26"/>
      <c r="AP5" s="26"/>
      <c r="AQ5" s="26"/>
      <c r="AR5" s="26" t="n">
        <v>1</v>
      </c>
      <c r="AS5" s="26"/>
      <c r="AT5" s="26" t="n">
        <v>1</v>
      </c>
      <c r="AU5" s="26" t="n">
        <v>1</v>
      </c>
      <c r="AV5" s="26" t="n">
        <f aca="false">SUM(AL5:AU5)</f>
        <v>7</v>
      </c>
      <c r="AW5" s="32" t="n">
        <f aca="false">IFERROR(AV5/R5*1000000,"")</f>
        <v>16355.1401869159</v>
      </c>
      <c r="AX5" s="33" t="n">
        <f aca="false">IFERROR((R5-AV5)/R5,"")</f>
        <v>0.983644859813084</v>
      </c>
      <c r="AY5" s="34" t="n">
        <f aca="false">IFERROR(AH5*AJ5*AX5,"")</f>
        <v>0.766435897435898</v>
      </c>
      <c r="AZ5" s="35" t="s">
        <v>78</v>
      </c>
    </row>
    <row r="6" customFormat="false" ht="12.75" hidden="false" customHeight="true" outlineLevel="0" collapsed="false">
      <c r="A6" s="24" t="n">
        <v>2</v>
      </c>
      <c r="B6" s="25" t="n">
        <v>46023</v>
      </c>
      <c r="C6" s="25" t="n">
        <v>12</v>
      </c>
      <c r="D6" s="26" t="s">
        <v>79</v>
      </c>
      <c r="E6" s="26" t="s">
        <v>80</v>
      </c>
      <c r="F6" s="26" t="s">
        <v>81</v>
      </c>
      <c r="G6" s="26" t="s">
        <v>9</v>
      </c>
      <c r="H6" s="27" t="n">
        <v>0.354166666666667</v>
      </c>
      <c r="I6" s="27" t="n">
        <v>0.854166666666667</v>
      </c>
      <c r="J6" s="26" t="n">
        <f aca="false">IFERROR((I6-H6)*24*60,"")</f>
        <v>720</v>
      </c>
      <c r="K6" s="26" t="s">
        <v>82</v>
      </c>
      <c r="L6" s="26" t="s">
        <v>83</v>
      </c>
      <c r="M6" s="26" t="s">
        <v>84</v>
      </c>
      <c r="N6" s="26" t="s">
        <v>85</v>
      </c>
      <c r="O6" s="26" t="n">
        <v>8</v>
      </c>
      <c r="P6" s="26" t="n">
        <v>38</v>
      </c>
      <c r="Q6" s="26" t="n">
        <f aca="false">IFERROR(3600/(P6/O6),"")</f>
        <v>757.894736842105</v>
      </c>
      <c r="R6" s="26" t="n">
        <v>6799</v>
      </c>
      <c r="S6" s="26" t="n">
        <v>65</v>
      </c>
      <c r="T6" s="26" t="n">
        <f aca="false">IFERROR(J6-S6,"")</f>
        <v>655</v>
      </c>
      <c r="U6" s="26" t="n">
        <v>15</v>
      </c>
      <c r="V6" s="26"/>
      <c r="W6" s="26"/>
      <c r="X6" s="26"/>
      <c r="Y6" s="26"/>
      <c r="Z6" s="26"/>
      <c r="AA6" s="26" t="n">
        <v>5</v>
      </c>
      <c r="AB6" s="26"/>
      <c r="AC6" s="26"/>
      <c r="AD6" s="26"/>
      <c r="AE6" s="26"/>
      <c r="AF6" s="26" t="n">
        <f aca="false">SUM(U6:AE6)</f>
        <v>20</v>
      </c>
      <c r="AG6" s="26" t="n">
        <f aca="false">T6-AF6</f>
        <v>635</v>
      </c>
      <c r="AH6" s="28" t="n">
        <f aca="false">IFERROR(AG6/T6,"")</f>
        <v>0.969465648854962</v>
      </c>
      <c r="AI6" s="29" t="n">
        <f aca="false">IFERROR(R6/AG6*60,"")</f>
        <v>642.425196850394</v>
      </c>
      <c r="AJ6" s="30" t="n">
        <f aca="false">IFERROR(AI6/Q6,"")</f>
        <v>0.847644356955381</v>
      </c>
      <c r="AK6" s="31" t="n">
        <f aca="false">IFERROR(R6/(T6/60*Q6),"")</f>
        <v>0.821762086513995</v>
      </c>
      <c r="AL6" s="26" t="n">
        <v>4</v>
      </c>
      <c r="AM6" s="26" t="n">
        <v>10</v>
      </c>
      <c r="AN6" s="26" t="n">
        <v>5</v>
      </c>
      <c r="AO6" s="26" t="n">
        <v>10</v>
      </c>
      <c r="AP6" s="26" t="n">
        <v>7</v>
      </c>
      <c r="AQ6" s="26" t="n">
        <v>10</v>
      </c>
      <c r="AR6" s="26" t="n">
        <v>6</v>
      </c>
      <c r="AS6" s="26" t="n">
        <v>5</v>
      </c>
      <c r="AT6" s="26" t="n">
        <v>4</v>
      </c>
      <c r="AU6" s="26" t="n">
        <v>5</v>
      </c>
      <c r="AV6" s="26" t="n">
        <f aca="false">SUM(AL6:AU6)</f>
        <v>66</v>
      </c>
      <c r="AW6" s="32" t="n">
        <f aca="false">IFERROR(AV6/R6*1000000,"")</f>
        <v>9707.30989851449</v>
      </c>
      <c r="AX6" s="33" t="n">
        <f aca="false">IFERROR((R6-AV6)/R6,"")</f>
        <v>0.990292690101486</v>
      </c>
      <c r="AY6" s="34" t="n">
        <f aca="false">IFERROR(AH6*AJ6*AX6,"")</f>
        <v>0.813784987277354</v>
      </c>
      <c r="AZ6" s="35" t="s">
        <v>86</v>
      </c>
    </row>
    <row r="7" customFormat="false" ht="12.75" hidden="false" customHeight="true" outlineLevel="0" collapsed="false">
      <c r="A7" s="24" t="n">
        <v>3</v>
      </c>
      <c r="B7" s="25" t="n">
        <v>46023</v>
      </c>
      <c r="C7" s="25" t="n">
        <v>12</v>
      </c>
      <c r="D7" s="26" t="s">
        <v>87</v>
      </c>
      <c r="E7" s="26" t="s">
        <v>88</v>
      </c>
      <c r="F7" s="26" t="s">
        <v>73</v>
      </c>
      <c r="G7" s="26" t="s">
        <v>10</v>
      </c>
      <c r="H7" s="27" t="n">
        <v>0.354166666666667</v>
      </c>
      <c r="I7" s="27" t="n">
        <v>0.854166666666667</v>
      </c>
      <c r="J7" s="26" t="n">
        <f aca="false">IFERROR((I7-H7)*24*60,"")</f>
        <v>720</v>
      </c>
      <c r="K7" s="26" t="s">
        <v>89</v>
      </c>
      <c r="L7" s="26" t="s">
        <v>90</v>
      </c>
      <c r="M7" s="26" t="s">
        <v>91</v>
      </c>
      <c r="N7" s="26" t="s">
        <v>92</v>
      </c>
      <c r="O7" s="26" t="n">
        <v>4</v>
      </c>
      <c r="P7" s="26" t="n">
        <v>71</v>
      </c>
      <c r="Q7" s="26" t="n">
        <f aca="false">IFERROR(3600/(P7/O7),"")</f>
        <v>202.816901408451</v>
      </c>
      <c r="R7" s="26" t="n">
        <v>1780</v>
      </c>
      <c r="S7" s="26" t="n">
        <v>65</v>
      </c>
      <c r="T7" s="26" t="n">
        <f aca="false">IFERROR(J7-S7,"")</f>
        <v>655</v>
      </c>
      <c r="U7" s="26"/>
      <c r="V7" s="26"/>
      <c r="W7" s="26" t="n">
        <v>10</v>
      </c>
      <c r="X7" s="26"/>
      <c r="Y7" s="26"/>
      <c r="Z7" s="26" t="n">
        <v>28</v>
      </c>
      <c r="AA7" s="26"/>
      <c r="AB7" s="26"/>
      <c r="AC7" s="26" t="n">
        <v>40</v>
      </c>
      <c r="AD7" s="26"/>
      <c r="AE7" s="26"/>
      <c r="AF7" s="26" t="n">
        <f aca="false">SUM(U7:AE7)</f>
        <v>78</v>
      </c>
      <c r="AG7" s="26" t="n">
        <f aca="false">T7-AF7</f>
        <v>577</v>
      </c>
      <c r="AH7" s="28" t="n">
        <f aca="false">IFERROR(AG7/T7,"")</f>
        <v>0.880916030534351</v>
      </c>
      <c r="AI7" s="29" t="n">
        <f aca="false">IFERROR(R7/AG7*60,"")</f>
        <v>185.095320623917</v>
      </c>
      <c r="AJ7" s="30" t="n">
        <f aca="false">IFERROR(AI7/Q7,"")</f>
        <v>0.91262276140959</v>
      </c>
      <c r="AK7" s="31" t="n">
        <f aca="false">IFERROR(R7/(T7/60*Q7),"")</f>
        <v>0.803944020356234</v>
      </c>
      <c r="AL7" s="26" t="n">
        <v>2</v>
      </c>
      <c r="AM7" s="26" t="n">
        <v>4</v>
      </c>
      <c r="AN7" s="26" t="n">
        <v>3</v>
      </c>
      <c r="AO7" s="26"/>
      <c r="AP7" s="26" t="n">
        <v>3</v>
      </c>
      <c r="AQ7" s="26" t="n">
        <v>1</v>
      </c>
      <c r="AR7" s="26" t="n">
        <v>4</v>
      </c>
      <c r="AS7" s="26" t="n">
        <v>1</v>
      </c>
      <c r="AT7" s="26" t="n">
        <v>3</v>
      </c>
      <c r="AU7" s="26" t="n">
        <v>2</v>
      </c>
      <c r="AV7" s="26" t="n">
        <f aca="false">SUM(AL7:AU7)</f>
        <v>23</v>
      </c>
      <c r="AW7" s="32" t="n">
        <f aca="false">IFERROR(AV7/R7*1000000,"")</f>
        <v>12921.3483146067</v>
      </c>
      <c r="AX7" s="33" t="n">
        <f aca="false">IFERROR((R7-AV7)/R7,"")</f>
        <v>0.987078651685393</v>
      </c>
      <c r="AY7" s="34" t="n">
        <f aca="false">IFERROR(AH7*AJ7*AX7,"")</f>
        <v>0.793555979643766</v>
      </c>
      <c r="AZ7" s="35" t="s">
        <v>93</v>
      </c>
    </row>
    <row r="8" customFormat="false" ht="12.75" hidden="false" customHeight="true" outlineLevel="0" collapsed="false">
      <c r="A8" s="24" t="n">
        <v>4</v>
      </c>
      <c r="B8" s="25" t="n">
        <v>46024</v>
      </c>
      <c r="C8" s="25" t="n">
        <v>12</v>
      </c>
      <c r="D8" s="26" t="s">
        <v>71</v>
      </c>
      <c r="E8" s="26" t="s">
        <v>94</v>
      </c>
      <c r="F8" s="26" t="s">
        <v>81</v>
      </c>
      <c r="G8" s="26" t="s">
        <v>11</v>
      </c>
      <c r="H8" s="27" t="n">
        <v>0.354166666666667</v>
      </c>
      <c r="I8" s="27" t="n">
        <v>0.854166666666667</v>
      </c>
      <c r="J8" s="26" t="n">
        <f aca="false">IFERROR((I8-H8)*24*60,"")</f>
        <v>720</v>
      </c>
      <c r="K8" s="26" t="s">
        <v>82</v>
      </c>
      <c r="L8" s="26" t="s">
        <v>75</v>
      </c>
      <c r="M8" s="26" t="s">
        <v>95</v>
      </c>
      <c r="N8" s="26" t="s">
        <v>96</v>
      </c>
      <c r="O8" s="26" t="n">
        <v>1</v>
      </c>
      <c r="P8" s="26" t="n">
        <v>64</v>
      </c>
      <c r="Q8" s="26" t="n">
        <f aca="false">IFERROR(3600/(P8/O8),"")</f>
        <v>56.25</v>
      </c>
      <c r="R8" s="26" t="n">
        <v>480</v>
      </c>
      <c r="S8" s="26" t="n">
        <v>62</v>
      </c>
      <c r="T8" s="26" t="n">
        <f aca="false">IFERROR(J8-S8,"")</f>
        <v>658</v>
      </c>
      <c r="U8" s="26"/>
      <c r="V8" s="26"/>
      <c r="W8" s="26" t="n">
        <v>6</v>
      </c>
      <c r="X8" s="26"/>
      <c r="Y8" s="26"/>
      <c r="Z8" s="26" t="n">
        <v>15</v>
      </c>
      <c r="AA8" s="26"/>
      <c r="AB8" s="26"/>
      <c r="AC8" s="26"/>
      <c r="AD8" s="26" t="n">
        <v>11</v>
      </c>
      <c r="AE8" s="26"/>
      <c r="AF8" s="26" t="n">
        <f aca="false">SUM(U8:AE8)</f>
        <v>32</v>
      </c>
      <c r="AG8" s="26" t="n">
        <f aca="false">T8-AF8</f>
        <v>626</v>
      </c>
      <c r="AH8" s="28" t="n">
        <f aca="false">IFERROR(AG8/T8,"")</f>
        <v>0.951367781155015</v>
      </c>
      <c r="AI8" s="29" t="n">
        <f aca="false">IFERROR(R8/AG8*60,"")</f>
        <v>46.0063897763578</v>
      </c>
      <c r="AJ8" s="30" t="n">
        <f aca="false">IFERROR(AI8/Q8,"")</f>
        <v>0.817891373801917</v>
      </c>
      <c r="AK8" s="31" t="n">
        <f aca="false">IFERROR(R8/(T8/60*Q8),"")</f>
        <v>0.778115501519757</v>
      </c>
      <c r="AL8" s="26" t="n">
        <v>2</v>
      </c>
      <c r="AM8" s="26" t="n">
        <v>1</v>
      </c>
      <c r="AN8" s="26"/>
      <c r="AO8" s="26"/>
      <c r="AP8" s="26"/>
      <c r="AQ8" s="26" t="n">
        <v>2</v>
      </c>
      <c r="AR8" s="26"/>
      <c r="AS8" s="26" t="n">
        <v>1</v>
      </c>
      <c r="AT8" s="26" t="n">
        <v>2</v>
      </c>
      <c r="AU8" s="26" t="n">
        <v>1</v>
      </c>
      <c r="AV8" s="26" t="n">
        <f aca="false">SUM(AL8:AU8)</f>
        <v>9</v>
      </c>
      <c r="AW8" s="32" t="n">
        <f aca="false">IFERROR(AV8/R8*1000000,"")</f>
        <v>18750</v>
      </c>
      <c r="AX8" s="33" t="n">
        <f aca="false">IFERROR((R8-AV8)/R8,"")</f>
        <v>0.98125</v>
      </c>
      <c r="AY8" s="34" t="n">
        <f aca="false">IFERROR(AH8*AJ8*AX8,"")</f>
        <v>0.763525835866261</v>
      </c>
      <c r="AZ8" s="35" t="s">
        <v>78</v>
      </c>
    </row>
    <row r="9" customFormat="false" ht="12.75" hidden="false" customHeight="true" outlineLevel="0" collapsed="false">
      <c r="A9" s="24" t="n">
        <v>5</v>
      </c>
      <c r="B9" s="25" t="n">
        <v>46024</v>
      </c>
      <c r="C9" s="25" t="n">
        <v>12</v>
      </c>
      <c r="D9" s="26" t="s">
        <v>79</v>
      </c>
      <c r="E9" s="26" t="s">
        <v>97</v>
      </c>
      <c r="F9" s="26" t="s">
        <v>73</v>
      </c>
      <c r="G9" s="26" t="s">
        <v>12</v>
      </c>
      <c r="H9" s="27" t="n">
        <v>0.354166666666667</v>
      </c>
      <c r="I9" s="27" t="n">
        <v>0.854166666666667</v>
      </c>
      <c r="J9" s="26" t="n">
        <f aca="false">IFERROR((I9-H9)*24*60,"")</f>
        <v>720</v>
      </c>
      <c r="K9" s="26" t="s">
        <v>74</v>
      </c>
      <c r="L9" s="26" t="s">
        <v>98</v>
      </c>
      <c r="M9" s="26" t="s">
        <v>99</v>
      </c>
      <c r="N9" s="26" t="s">
        <v>100</v>
      </c>
      <c r="O9" s="26" t="n">
        <v>1</v>
      </c>
      <c r="P9" s="26" t="n">
        <v>70</v>
      </c>
      <c r="Q9" s="26" t="n">
        <f aca="false">IFERROR(3600/(P9/O9),"")</f>
        <v>51.4285714285714</v>
      </c>
      <c r="R9" s="26" t="n">
        <v>494</v>
      </c>
      <c r="S9" s="26" t="n">
        <v>45</v>
      </c>
      <c r="T9" s="26" t="n">
        <f aca="false">IFERROR(J9-S9,"")</f>
        <v>675</v>
      </c>
      <c r="U9" s="26"/>
      <c r="V9" s="26"/>
      <c r="W9" s="26" t="n">
        <v>5</v>
      </c>
      <c r="X9" s="26"/>
      <c r="Y9" s="26"/>
      <c r="Z9" s="26"/>
      <c r="AA9" s="26"/>
      <c r="AB9" s="26"/>
      <c r="AC9" s="26"/>
      <c r="AD9" s="26"/>
      <c r="AE9" s="26"/>
      <c r="AF9" s="26" t="n">
        <f aca="false">SUM(U9:AE9)</f>
        <v>5</v>
      </c>
      <c r="AG9" s="26" t="n">
        <f aca="false">T9-AF9</f>
        <v>670</v>
      </c>
      <c r="AH9" s="28" t="n">
        <f aca="false">IFERROR(AG9/T9,"")</f>
        <v>0.992592592592593</v>
      </c>
      <c r="AI9" s="29" t="n">
        <f aca="false">IFERROR(R9/AG9*60,"")</f>
        <v>44.2388059701493</v>
      </c>
      <c r="AJ9" s="30" t="n">
        <f aca="false">IFERROR(AI9/Q9,"")</f>
        <v>0.860199004975124</v>
      </c>
      <c r="AK9" s="31" t="n">
        <f aca="false">IFERROR(R9/(T9/60*Q9),"")</f>
        <v>0.853827160493827</v>
      </c>
      <c r="AL9" s="26"/>
      <c r="AM9" s="26"/>
      <c r="AN9" s="26" t="n">
        <v>1</v>
      </c>
      <c r="AO9" s="26" t="n">
        <v>1</v>
      </c>
      <c r="AP9" s="26" t="n">
        <v>1</v>
      </c>
      <c r="AQ9" s="26"/>
      <c r="AR9" s="26" t="n">
        <v>1</v>
      </c>
      <c r="AS9" s="26"/>
      <c r="AT9" s="26" t="n">
        <v>3</v>
      </c>
      <c r="AU9" s="26" t="n">
        <v>1</v>
      </c>
      <c r="AV9" s="26" t="n">
        <f aca="false">SUM(AL9:AU9)</f>
        <v>8</v>
      </c>
      <c r="AW9" s="32" t="n">
        <f aca="false">IFERROR(AV9/R9*1000000,"")</f>
        <v>16194.3319838057</v>
      </c>
      <c r="AX9" s="33" t="n">
        <f aca="false">IFERROR((R9-AV9)/R9,"")</f>
        <v>0.983805668016194</v>
      </c>
      <c r="AY9" s="34" t="n">
        <f aca="false">IFERROR(AH9*AJ9*AX9,"")</f>
        <v>0.84</v>
      </c>
      <c r="AZ9" s="35"/>
    </row>
    <row r="10" customFormat="false" ht="12.75" hidden="false" customHeight="true" outlineLevel="0" collapsed="false">
      <c r="A10" s="24" t="n">
        <v>6</v>
      </c>
      <c r="B10" s="25" t="n">
        <v>46024</v>
      </c>
      <c r="C10" s="25" t="n">
        <v>12</v>
      </c>
      <c r="D10" s="26" t="s">
        <v>87</v>
      </c>
      <c r="E10" s="26" t="s">
        <v>101</v>
      </c>
      <c r="F10" s="26" t="s">
        <v>81</v>
      </c>
      <c r="G10" s="26" t="s">
        <v>13</v>
      </c>
      <c r="H10" s="27" t="n">
        <v>0.354166666666667</v>
      </c>
      <c r="I10" s="27" t="n">
        <v>0.854166666666667</v>
      </c>
      <c r="J10" s="26" t="n">
        <f aca="false">IFERROR((I10-H10)*24*60,"")</f>
        <v>720</v>
      </c>
      <c r="K10" s="26" t="s">
        <v>74</v>
      </c>
      <c r="L10" s="26" t="s">
        <v>102</v>
      </c>
      <c r="M10" s="26" t="s">
        <v>103</v>
      </c>
      <c r="N10" s="26" t="s">
        <v>104</v>
      </c>
      <c r="O10" s="26" t="n">
        <v>8</v>
      </c>
      <c r="P10" s="26" t="n">
        <v>57</v>
      </c>
      <c r="Q10" s="26" t="n">
        <f aca="false">IFERROR(3600/(P10/O10),"")</f>
        <v>505.263157894737</v>
      </c>
      <c r="R10" s="26" t="n">
        <v>4324</v>
      </c>
      <c r="S10" s="26" t="n">
        <v>72</v>
      </c>
      <c r="T10" s="26" t="n">
        <f aca="false">IFERROR(J10-S10,"")</f>
        <v>648</v>
      </c>
      <c r="U10" s="26"/>
      <c r="V10" s="26" t="n">
        <v>10</v>
      </c>
      <c r="W10" s="26"/>
      <c r="X10" s="26"/>
      <c r="Y10" s="26"/>
      <c r="Z10" s="26"/>
      <c r="AA10" s="26"/>
      <c r="AB10" s="26"/>
      <c r="AC10" s="26"/>
      <c r="AD10" s="26"/>
      <c r="AE10" s="26"/>
      <c r="AF10" s="26" t="n">
        <f aca="false">SUM(U10:AE10)</f>
        <v>10</v>
      </c>
      <c r="AG10" s="26" t="n">
        <f aca="false">T10-AF10</f>
        <v>638</v>
      </c>
      <c r="AH10" s="28" t="n">
        <f aca="false">IFERROR(AG10/T10,"")</f>
        <v>0.984567901234568</v>
      </c>
      <c r="AI10" s="29" t="n">
        <f aca="false">IFERROR(R10/AG10*60,"")</f>
        <v>406.645768025078</v>
      </c>
      <c r="AJ10" s="30" t="n">
        <f aca="false">IFERROR(AI10/Q10,"")</f>
        <v>0.804819749216301</v>
      </c>
      <c r="AK10" s="31" t="n">
        <f aca="false">IFERROR(R10/(T10/60*Q10),"")</f>
        <v>0.792399691358025</v>
      </c>
      <c r="AL10" s="26" t="n">
        <v>5</v>
      </c>
      <c r="AM10" s="26" t="n">
        <v>7</v>
      </c>
      <c r="AN10" s="26" t="n">
        <v>1</v>
      </c>
      <c r="AO10" s="26" t="n">
        <v>9</v>
      </c>
      <c r="AP10" s="26" t="n">
        <v>1</v>
      </c>
      <c r="AQ10" s="26" t="n">
        <v>3</v>
      </c>
      <c r="AR10" s="26" t="n">
        <v>5</v>
      </c>
      <c r="AS10" s="26" t="n">
        <v>4</v>
      </c>
      <c r="AT10" s="26" t="n">
        <v>3</v>
      </c>
      <c r="AU10" s="26" t="n">
        <v>4</v>
      </c>
      <c r="AV10" s="26" t="n">
        <f aca="false">SUM(AL10:AU10)</f>
        <v>42</v>
      </c>
      <c r="AW10" s="32" t="n">
        <f aca="false">IFERROR(AV10/R10*1000000,"")</f>
        <v>9713.22849213691</v>
      </c>
      <c r="AX10" s="33" t="n">
        <f aca="false">IFERROR((R10-AV10)/R10,"")</f>
        <v>0.990286771507863</v>
      </c>
      <c r="AY10" s="34" t="n">
        <f aca="false">IFERROR(AH10*AJ10*AX10,"")</f>
        <v>0.784702932098765</v>
      </c>
      <c r="AZ10" s="35" t="s">
        <v>86</v>
      </c>
    </row>
    <row r="11" customFormat="false" ht="12.75" hidden="false" customHeight="true" outlineLevel="0" collapsed="false">
      <c r="A11" s="24" t="n">
        <v>7</v>
      </c>
      <c r="B11" s="25" t="n">
        <v>46025</v>
      </c>
      <c r="C11" s="25" t="n">
        <v>12</v>
      </c>
      <c r="D11" s="26" t="s">
        <v>71</v>
      </c>
      <c r="E11" s="26" t="s">
        <v>72</v>
      </c>
      <c r="F11" s="26" t="s">
        <v>73</v>
      </c>
      <c r="G11" s="26" t="s">
        <v>8</v>
      </c>
      <c r="H11" s="27" t="n">
        <v>0.354166666666667</v>
      </c>
      <c r="I11" s="27" t="n">
        <v>0.854166666666667</v>
      </c>
      <c r="J11" s="26" t="n">
        <f aca="false">IFERROR((I11-H11)*24*60,"")</f>
        <v>720</v>
      </c>
      <c r="K11" s="26" t="s">
        <v>89</v>
      </c>
      <c r="L11" s="26" t="s">
        <v>90</v>
      </c>
      <c r="M11" s="26" t="s">
        <v>76</v>
      </c>
      <c r="N11" s="26" t="s">
        <v>77</v>
      </c>
      <c r="O11" s="26" t="n">
        <v>4</v>
      </c>
      <c r="P11" s="26" t="n">
        <v>53</v>
      </c>
      <c r="Q11" s="26" t="n">
        <f aca="false">IFERROR(3600/(P11/O11),"")</f>
        <v>271.698113207547</v>
      </c>
      <c r="R11" s="26" t="n">
        <v>2289</v>
      </c>
      <c r="S11" s="26" t="n">
        <v>57</v>
      </c>
      <c r="T11" s="26" t="n">
        <f aca="false">IFERROR(J11-S11,"")</f>
        <v>663</v>
      </c>
      <c r="U11" s="26"/>
      <c r="V11" s="26"/>
      <c r="W11" s="26"/>
      <c r="X11" s="26"/>
      <c r="Y11" s="26"/>
      <c r="Z11" s="26"/>
      <c r="AA11" s="26"/>
      <c r="AB11" s="26"/>
      <c r="AC11" s="26" t="n">
        <v>10</v>
      </c>
      <c r="AD11" s="26"/>
      <c r="AE11" s="26"/>
      <c r="AF11" s="26" t="n">
        <f aca="false">SUM(U11:AE11)</f>
        <v>10</v>
      </c>
      <c r="AG11" s="26" t="n">
        <f aca="false">T11-AF11</f>
        <v>653</v>
      </c>
      <c r="AH11" s="28" t="n">
        <f aca="false">IFERROR(AG11/T11,"")</f>
        <v>0.984917043740573</v>
      </c>
      <c r="AI11" s="29" t="n">
        <f aca="false">IFERROR(R11/AG11*60,"")</f>
        <v>210.321592649311</v>
      </c>
      <c r="AJ11" s="30" t="n">
        <f aca="false">IFERROR(AI11/Q11,"")</f>
        <v>0.774100306278714</v>
      </c>
      <c r="AK11" s="31" t="n">
        <f aca="false">IFERROR(R11/(T11/60*Q11),"")</f>
        <v>0.762424585218703</v>
      </c>
      <c r="AL11" s="26" t="n">
        <v>1</v>
      </c>
      <c r="AM11" s="26" t="n">
        <v>1</v>
      </c>
      <c r="AN11" s="26" t="n">
        <v>1</v>
      </c>
      <c r="AO11" s="26" t="n">
        <v>2</v>
      </c>
      <c r="AP11" s="26"/>
      <c r="AQ11" s="26"/>
      <c r="AR11" s="26" t="n">
        <v>1</v>
      </c>
      <c r="AS11" s="26" t="n">
        <v>2</v>
      </c>
      <c r="AT11" s="26" t="n">
        <v>1</v>
      </c>
      <c r="AU11" s="26"/>
      <c r="AV11" s="26" t="n">
        <f aca="false">SUM(AL11:AU11)</f>
        <v>9</v>
      </c>
      <c r="AW11" s="32" t="n">
        <f aca="false">IFERROR(AV11/R11*1000000,"")</f>
        <v>3931.84796854522</v>
      </c>
      <c r="AX11" s="33" t="n">
        <f aca="false">IFERROR((R11-AV11)/R11,"")</f>
        <v>0.996068152031455</v>
      </c>
      <c r="AY11" s="34" t="n">
        <f aca="false">IFERROR(AH11*AJ11*AX11,"")</f>
        <v>0.759426847662142</v>
      </c>
      <c r="AZ11" s="35" t="s">
        <v>86</v>
      </c>
    </row>
    <row r="12" customFormat="false" ht="12.75" hidden="false" customHeight="true" outlineLevel="0" collapsed="false">
      <c r="A12" s="24" t="n">
        <v>8</v>
      </c>
      <c r="B12" s="25" t="n">
        <v>46025</v>
      </c>
      <c r="C12" s="25" t="n">
        <v>12</v>
      </c>
      <c r="D12" s="26" t="s">
        <v>79</v>
      </c>
      <c r="E12" s="26" t="s">
        <v>80</v>
      </c>
      <c r="F12" s="26" t="s">
        <v>81</v>
      </c>
      <c r="G12" s="26" t="s">
        <v>9</v>
      </c>
      <c r="H12" s="27" t="n">
        <v>0.354166666666667</v>
      </c>
      <c r="I12" s="27" t="n">
        <v>0.854166666666667</v>
      </c>
      <c r="J12" s="26" t="n">
        <f aca="false">IFERROR((I12-H12)*24*60,"")</f>
        <v>720</v>
      </c>
      <c r="K12" s="26" t="s">
        <v>105</v>
      </c>
      <c r="L12" s="26" t="s">
        <v>75</v>
      </c>
      <c r="M12" s="26" t="s">
        <v>84</v>
      </c>
      <c r="N12" s="26" t="s">
        <v>85</v>
      </c>
      <c r="O12" s="26" t="n">
        <v>8</v>
      </c>
      <c r="P12" s="26" t="n">
        <v>40</v>
      </c>
      <c r="Q12" s="26" t="n">
        <f aca="false">IFERROR(3600/(P12/O12),"")</f>
        <v>720</v>
      </c>
      <c r="R12" s="26" t="n">
        <v>8074</v>
      </c>
      <c r="S12" s="26" t="n">
        <v>54</v>
      </c>
      <c r="T12" s="26" t="n">
        <f aca="false">IFERROR(J12-S12,"")</f>
        <v>666</v>
      </c>
      <c r="U12" s="26"/>
      <c r="V12" s="26"/>
      <c r="W12" s="26" t="n">
        <v>3</v>
      </c>
      <c r="X12" s="26"/>
      <c r="Y12" s="26"/>
      <c r="Z12" s="26"/>
      <c r="AA12" s="26" t="n">
        <v>4</v>
      </c>
      <c r="AB12" s="26"/>
      <c r="AC12" s="26"/>
      <c r="AD12" s="26"/>
      <c r="AE12" s="26"/>
      <c r="AF12" s="26" t="n">
        <f aca="false">SUM(U12:AE12)</f>
        <v>7</v>
      </c>
      <c r="AG12" s="26" t="n">
        <f aca="false">T12-AF12</f>
        <v>659</v>
      </c>
      <c r="AH12" s="28" t="n">
        <f aca="false">IFERROR(AG12/T12,"")</f>
        <v>0.989489489489489</v>
      </c>
      <c r="AI12" s="29" t="n">
        <f aca="false">IFERROR(R12/AG12*60,"")</f>
        <v>735.113808801214</v>
      </c>
      <c r="AJ12" s="30" t="n">
        <f aca="false">IFERROR(AI12/Q12,"")</f>
        <v>1.0209914011128</v>
      </c>
      <c r="AK12" s="31" t="n">
        <f aca="false">IFERROR(R12/(T12/60*Q12),"")</f>
        <v>1.01026026026026</v>
      </c>
      <c r="AL12" s="26" t="n">
        <v>7</v>
      </c>
      <c r="AM12" s="26" t="n">
        <v>7</v>
      </c>
      <c r="AN12" s="26" t="n">
        <v>3</v>
      </c>
      <c r="AO12" s="26" t="n">
        <v>5</v>
      </c>
      <c r="AP12" s="26" t="n">
        <v>3</v>
      </c>
      <c r="AQ12" s="26" t="n">
        <v>4</v>
      </c>
      <c r="AR12" s="26" t="n">
        <v>3</v>
      </c>
      <c r="AS12" s="26" t="n">
        <v>3</v>
      </c>
      <c r="AT12" s="26" t="n">
        <v>5</v>
      </c>
      <c r="AU12" s="26" t="n">
        <v>11</v>
      </c>
      <c r="AV12" s="26" t="n">
        <f aca="false">SUM(AL12:AU12)</f>
        <v>51</v>
      </c>
      <c r="AW12" s="32" t="n">
        <f aca="false">IFERROR(AV12/R12*1000000,"")</f>
        <v>6316.57171166708</v>
      </c>
      <c r="AX12" s="33" t="n">
        <f aca="false">IFERROR((R12-AV12)/R12,"")</f>
        <v>0.993683428288333</v>
      </c>
      <c r="AY12" s="34" t="n">
        <f aca="false">IFERROR(AH12*AJ12*AX12,"")</f>
        <v>1.00387887887888</v>
      </c>
      <c r="AZ12" s="35" t="s">
        <v>93</v>
      </c>
    </row>
    <row r="13" customFormat="false" ht="12.75" hidden="false" customHeight="true" outlineLevel="0" collapsed="false">
      <c r="A13" s="24" t="n">
        <v>9</v>
      </c>
      <c r="B13" s="25" t="n">
        <v>46025</v>
      </c>
      <c r="C13" s="25" t="n">
        <v>12</v>
      </c>
      <c r="D13" s="26" t="s">
        <v>87</v>
      </c>
      <c r="E13" s="26" t="s">
        <v>88</v>
      </c>
      <c r="F13" s="26" t="s">
        <v>73</v>
      </c>
      <c r="G13" s="26" t="s">
        <v>10</v>
      </c>
      <c r="H13" s="27" t="n">
        <v>0.354166666666667</v>
      </c>
      <c r="I13" s="27" t="n">
        <v>0.854166666666667</v>
      </c>
      <c r="J13" s="26" t="n">
        <f aca="false">IFERROR((I13-H13)*24*60,"")</f>
        <v>720</v>
      </c>
      <c r="K13" s="26" t="s">
        <v>74</v>
      </c>
      <c r="L13" s="26" t="s">
        <v>106</v>
      </c>
      <c r="M13" s="26" t="s">
        <v>91</v>
      </c>
      <c r="N13" s="26" t="s">
        <v>92</v>
      </c>
      <c r="O13" s="26" t="n">
        <v>1</v>
      </c>
      <c r="P13" s="26" t="n">
        <v>39</v>
      </c>
      <c r="Q13" s="26" t="n">
        <f aca="false">IFERROR(3600/(P13/O13),"")</f>
        <v>92.3076923076923</v>
      </c>
      <c r="R13" s="26" t="n">
        <v>813</v>
      </c>
      <c r="S13" s="26" t="n">
        <v>38</v>
      </c>
      <c r="T13" s="26" t="n">
        <f aca="false">IFERROR(J13-S13,"")</f>
        <v>682</v>
      </c>
      <c r="U13" s="26"/>
      <c r="V13" s="26"/>
      <c r="W13" s="26"/>
      <c r="X13" s="26"/>
      <c r="Y13" s="26"/>
      <c r="Z13" s="26"/>
      <c r="AA13" s="26"/>
      <c r="AB13" s="26"/>
      <c r="AC13" s="26" t="n">
        <v>17</v>
      </c>
      <c r="AD13" s="26"/>
      <c r="AE13" s="26"/>
      <c r="AF13" s="26" t="n">
        <f aca="false">SUM(U13:AE13)</f>
        <v>17</v>
      </c>
      <c r="AG13" s="26" t="n">
        <f aca="false">T13-AF13</f>
        <v>665</v>
      </c>
      <c r="AH13" s="28" t="n">
        <f aca="false">IFERROR(AG13/T13,"")</f>
        <v>0.975073313782991</v>
      </c>
      <c r="AI13" s="29" t="n">
        <f aca="false">IFERROR(R13/AG13*60,"")</f>
        <v>73.3533834586466</v>
      </c>
      <c r="AJ13" s="30" t="n">
        <f aca="false">IFERROR(AI13/Q13,"")</f>
        <v>0.794661654135338</v>
      </c>
      <c r="AK13" s="31" t="n">
        <f aca="false">IFERROR(R13/(T13/60*Q13),"")</f>
        <v>0.774853372434018</v>
      </c>
      <c r="AL13" s="26" t="n">
        <v>1</v>
      </c>
      <c r="AM13" s="26" t="n">
        <v>3</v>
      </c>
      <c r="AN13" s="26" t="n">
        <v>2</v>
      </c>
      <c r="AO13" s="26"/>
      <c r="AP13" s="26" t="n">
        <v>4</v>
      </c>
      <c r="AQ13" s="26"/>
      <c r="AR13" s="26"/>
      <c r="AS13" s="26"/>
      <c r="AT13" s="26" t="n">
        <v>3</v>
      </c>
      <c r="AU13" s="26" t="n">
        <v>1</v>
      </c>
      <c r="AV13" s="26" t="n">
        <f aca="false">SUM(AL13:AU13)</f>
        <v>14</v>
      </c>
      <c r="AW13" s="32" t="n">
        <f aca="false">IFERROR(AV13/R13*1000000,"")</f>
        <v>17220.172201722</v>
      </c>
      <c r="AX13" s="33" t="n">
        <f aca="false">IFERROR((R13-AV13)/R13,"")</f>
        <v>0.982779827798278</v>
      </c>
      <c r="AY13" s="34" t="n">
        <f aca="false">IFERROR(AH13*AJ13*AX13,"")</f>
        <v>0.761510263929619</v>
      </c>
      <c r="AZ13" s="35" t="s">
        <v>86</v>
      </c>
    </row>
    <row r="14" customFormat="false" ht="12.75" hidden="false" customHeight="true" outlineLevel="0" collapsed="false">
      <c r="A14" s="24" t="n">
        <v>10</v>
      </c>
      <c r="B14" s="25" t="n">
        <v>46026</v>
      </c>
      <c r="C14" s="25" t="n">
        <v>12</v>
      </c>
      <c r="D14" s="26" t="s">
        <v>71</v>
      </c>
      <c r="E14" s="26" t="s">
        <v>94</v>
      </c>
      <c r="F14" s="26" t="s">
        <v>81</v>
      </c>
      <c r="G14" s="26" t="s">
        <v>11</v>
      </c>
      <c r="H14" s="27" t="n">
        <v>0.354166666666667</v>
      </c>
      <c r="I14" s="27" t="n">
        <v>0.854166666666667</v>
      </c>
      <c r="J14" s="26" t="n">
        <f aca="false">IFERROR((I14-H14)*24*60,"")</f>
        <v>720</v>
      </c>
      <c r="K14" s="26" t="s">
        <v>89</v>
      </c>
      <c r="L14" s="26" t="s">
        <v>75</v>
      </c>
      <c r="M14" s="26" t="s">
        <v>95</v>
      </c>
      <c r="N14" s="26" t="s">
        <v>96</v>
      </c>
      <c r="O14" s="26" t="n">
        <v>8</v>
      </c>
      <c r="P14" s="26" t="n">
        <v>40</v>
      </c>
      <c r="Q14" s="26" t="n">
        <f aca="false">IFERROR(3600/(P14/O14),"")</f>
        <v>720</v>
      </c>
      <c r="R14" s="26" t="n">
        <v>7383</v>
      </c>
      <c r="S14" s="26" t="n">
        <v>73</v>
      </c>
      <c r="T14" s="26" t="n">
        <f aca="false">IFERROR(J14-S14,"")</f>
        <v>647</v>
      </c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 t="n">
        <v>5</v>
      </c>
      <c r="AF14" s="26" t="n">
        <f aca="false">SUM(U14:AE14)</f>
        <v>5</v>
      </c>
      <c r="AG14" s="26" t="n">
        <f aca="false">T14-AF14</f>
        <v>642</v>
      </c>
      <c r="AH14" s="28" t="n">
        <f aca="false">IFERROR(AG14/T14,"")</f>
        <v>0.992272024729521</v>
      </c>
      <c r="AI14" s="29" t="n">
        <f aca="false">IFERROR(R14/AG14*60,"")</f>
        <v>690</v>
      </c>
      <c r="AJ14" s="30" t="n">
        <f aca="false">IFERROR(AI14/Q14,"")</f>
        <v>0.958333333333333</v>
      </c>
      <c r="AK14" s="31" t="n">
        <f aca="false">IFERROR(R14/(T14/60*Q14),"")</f>
        <v>0.950927357032458</v>
      </c>
      <c r="AL14" s="26" t="n">
        <v>11</v>
      </c>
      <c r="AM14" s="26" t="n">
        <v>8</v>
      </c>
      <c r="AN14" s="26" t="n">
        <v>11</v>
      </c>
      <c r="AO14" s="26" t="n">
        <v>9</v>
      </c>
      <c r="AP14" s="26" t="n">
        <v>9</v>
      </c>
      <c r="AQ14" s="26" t="n">
        <v>12</v>
      </c>
      <c r="AR14" s="26" t="n">
        <v>10</v>
      </c>
      <c r="AS14" s="26" t="n">
        <v>3</v>
      </c>
      <c r="AT14" s="26" t="n">
        <v>8</v>
      </c>
      <c r="AU14" s="26" t="n">
        <v>5</v>
      </c>
      <c r="AV14" s="26" t="n">
        <f aca="false">SUM(AL14:AU14)</f>
        <v>86</v>
      </c>
      <c r="AW14" s="32" t="n">
        <f aca="false">IFERROR(AV14/R14*1000000,"")</f>
        <v>11648.3814167683</v>
      </c>
      <c r="AX14" s="33" t="n">
        <f aca="false">IFERROR((R14-AV14)/R14,"")</f>
        <v>0.988351618583232</v>
      </c>
      <c r="AY14" s="34" t="n">
        <f aca="false">IFERROR(AH14*AJ14*AX14,"")</f>
        <v>0.939850592478104</v>
      </c>
      <c r="AZ14" s="35" t="s">
        <v>93</v>
      </c>
    </row>
    <row r="15" customFormat="false" ht="12.75" hidden="false" customHeight="true" outlineLevel="0" collapsed="false">
      <c r="A15" s="24" t="n">
        <v>11</v>
      </c>
      <c r="B15" s="25" t="n">
        <v>46026</v>
      </c>
      <c r="C15" s="25" t="n">
        <v>12</v>
      </c>
      <c r="D15" s="26" t="s">
        <v>79</v>
      </c>
      <c r="E15" s="26" t="s">
        <v>97</v>
      </c>
      <c r="F15" s="26" t="s">
        <v>73</v>
      </c>
      <c r="G15" s="26" t="s">
        <v>12</v>
      </c>
      <c r="H15" s="27" t="n">
        <v>0.354166666666667</v>
      </c>
      <c r="I15" s="27" t="n">
        <v>0.854166666666667</v>
      </c>
      <c r="J15" s="26" t="n">
        <f aca="false">IFERROR((I15-H15)*24*60,"")</f>
        <v>720</v>
      </c>
      <c r="K15" s="26" t="s">
        <v>82</v>
      </c>
      <c r="L15" s="26" t="s">
        <v>107</v>
      </c>
      <c r="M15" s="26" t="s">
        <v>99</v>
      </c>
      <c r="N15" s="26" t="s">
        <v>100</v>
      </c>
      <c r="O15" s="26" t="n">
        <v>1</v>
      </c>
      <c r="P15" s="26" t="n">
        <v>57</v>
      </c>
      <c r="Q15" s="26" t="n">
        <f aca="false">IFERROR(3600/(P15/O15),"")</f>
        <v>63.1578947368421</v>
      </c>
      <c r="R15" s="26" t="n">
        <v>672</v>
      </c>
      <c r="S15" s="26" t="n">
        <v>32</v>
      </c>
      <c r="T15" s="26" t="n">
        <f aca="false">IFERROR(J15-S15,"")</f>
        <v>688</v>
      </c>
      <c r="U15" s="26"/>
      <c r="V15" s="26"/>
      <c r="W15" s="26"/>
      <c r="X15" s="26"/>
      <c r="Y15" s="26"/>
      <c r="Z15" s="26" t="n">
        <v>9</v>
      </c>
      <c r="AA15" s="26" t="n">
        <v>32</v>
      </c>
      <c r="AB15" s="26"/>
      <c r="AC15" s="26"/>
      <c r="AD15" s="26"/>
      <c r="AE15" s="26" t="n">
        <v>24</v>
      </c>
      <c r="AF15" s="26" t="n">
        <f aca="false">SUM(U15:AE15)</f>
        <v>65</v>
      </c>
      <c r="AG15" s="26" t="n">
        <f aca="false">T15-AF15</f>
        <v>623</v>
      </c>
      <c r="AH15" s="28" t="n">
        <f aca="false">IFERROR(AG15/T15,"")</f>
        <v>0.905523255813954</v>
      </c>
      <c r="AI15" s="29" t="n">
        <f aca="false">IFERROR(R15/AG15*60,"")</f>
        <v>64.7191011235955</v>
      </c>
      <c r="AJ15" s="30" t="n">
        <f aca="false">IFERROR(AI15/Q15,"")</f>
        <v>1.0247191011236</v>
      </c>
      <c r="AK15" s="31" t="n">
        <f aca="false">IFERROR(R15/(T15/60*Q15),"")</f>
        <v>0.927906976744186</v>
      </c>
      <c r="AL15" s="26"/>
      <c r="AM15" s="26"/>
      <c r="AN15" s="26"/>
      <c r="AO15" s="26"/>
      <c r="AP15" s="26"/>
      <c r="AQ15" s="26" t="n">
        <v>1</v>
      </c>
      <c r="AR15" s="26"/>
      <c r="AS15" s="26"/>
      <c r="AT15" s="26"/>
      <c r="AU15" s="26" t="n">
        <v>1</v>
      </c>
      <c r="AV15" s="26" t="n">
        <f aca="false">SUM(AL15:AU15)</f>
        <v>2</v>
      </c>
      <c r="AW15" s="32" t="n">
        <f aca="false">IFERROR(AV15/R15*1000000,"")</f>
        <v>2976.19047619048</v>
      </c>
      <c r="AX15" s="33" t="n">
        <f aca="false">IFERROR((R15-AV15)/R15,"")</f>
        <v>0.99702380952381</v>
      </c>
      <c r="AY15" s="34" t="n">
        <f aca="false">IFERROR(AH15*AJ15*AX15,"")</f>
        <v>0.925145348837209</v>
      </c>
      <c r="AZ15" s="35" t="s">
        <v>93</v>
      </c>
    </row>
    <row r="16" customFormat="false" ht="12.75" hidden="false" customHeight="true" outlineLevel="0" collapsed="false">
      <c r="A16" s="24" t="n">
        <v>12</v>
      </c>
      <c r="B16" s="25" t="n">
        <v>46026</v>
      </c>
      <c r="C16" s="25" t="n">
        <v>12</v>
      </c>
      <c r="D16" s="26" t="s">
        <v>87</v>
      </c>
      <c r="E16" s="26" t="s">
        <v>101</v>
      </c>
      <c r="F16" s="26" t="s">
        <v>81</v>
      </c>
      <c r="G16" s="26" t="s">
        <v>13</v>
      </c>
      <c r="H16" s="27" t="n">
        <v>0.354166666666667</v>
      </c>
      <c r="I16" s="27" t="n">
        <v>0.854166666666667</v>
      </c>
      <c r="J16" s="26" t="n">
        <f aca="false">IFERROR((I16-H16)*24*60,"")</f>
        <v>720</v>
      </c>
      <c r="K16" s="26" t="s">
        <v>105</v>
      </c>
      <c r="L16" s="26" t="s">
        <v>108</v>
      </c>
      <c r="M16" s="26" t="s">
        <v>103</v>
      </c>
      <c r="N16" s="26" t="s">
        <v>104</v>
      </c>
      <c r="O16" s="26" t="n">
        <v>8</v>
      </c>
      <c r="P16" s="26" t="n">
        <v>44</v>
      </c>
      <c r="Q16" s="26" t="n">
        <f aca="false">IFERROR(3600/(P16/O16),"")</f>
        <v>654.545454545455</v>
      </c>
      <c r="R16" s="26" t="n">
        <v>5665</v>
      </c>
      <c r="S16" s="26" t="n">
        <v>62</v>
      </c>
      <c r="T16" s="26" t="n">
        <f aca="false">IFERROR(J16-S16,"")</f>
        <v>658</v>
      </c>
      <c r="U16" s="26"/>
      <c r="V16" s="26"/>
      <c r="W16" s="26" t="n">
        <v>20</v>
      </c>
      <c r="X16" s="26"/>
      <c r="Y16" s="26"/>
      <c r="Z16" s="26"/>
      <c r="AA16" s="26" t="n">
        <v>6</v>
      </c>
      <c r="AB16" s="26"/>
      <c r="AC16" s="26"/>
      <c r="AD16" s="26"/>
      <c r="AE16" s="26"/>
      <c r="AF16" s="26" t="n">
        <f aca="false">SUM(U16:AE16)</f>
        <v>26</v>
      </c>
      <c r="AG16" s="26" t="n">
        <f aca="false">T16-AF16</f>
        <v>632</v>
      </c>
      <c r="AH16" s="28" t="n">
        <f aca="false">IFERROR(AG16/T16,"")</f>
        <v>0.96048632218845</v>
      </c>
      <c r="AI16" s="29" t="n">
        <f aca="false">IFERROR(R16/AG16*60,"")</f>
        <v>537.816455696203</v>
      </c>
      <c r="AJ16" s="30" t="n">
        <f aca="false">IFERROR(AI16/Q16,"")</f>
        <v>0.821664029535865</v>
      </c>
      <c r="AK16" s="31" t="n">
        <f aca="false">IFERROR(R16/(T16/60*Q16),"")</f>
        <v>0.789197061803445</v>
      </c>
      <c r="AL16" s="26" t="n">
        <v>5</v>
      </c>
      <c r="AM16" s="26" t="n">
        <v>7</v>
      </c>
      <c r="AN16" s="26" t="n">
        <v>10</v>
      </c>
      <c r="AO16" s="26" t="n">
        <v>15</v>
      </c>
      <c r="AP16" s="26" t="n">
        <v>10</v>
      </c>
      <c r="AQ16" s="26" t="n">
        <v>5</v>
      </c>
      <c r="AR16" s="26" t="n">
        <v>9</v>
      </c>
      <c r="AS16" s="26" t="n">
        <v>16</v>
      </c>
      <c r="AT16" s="26" t="n">
        <v>11</v>
      </c>
      <c r="AU16" s="26" t="n">
        <v>9</v>
      </c>
      <c r="AV16" s="26" t="n">
        <f aca="false">SUM(AL16:AU16)</f>
        <v>97</v>
      </c>
      <c r="AW16" s="32" t="n">
        <f aca="false">IFERROR(AV16/R16*1000000,"")</f>
        <v>17122.6831421006</v>
      </c>
      <c r="AX16" s="33" t="n">
        <f aca="false">IFERROR((R16-AV16)/R16,"")</f>
        <v>0.982877316857899</v>
      </c>
      <c r="AY16" s="34" t="n">
        <f aca="false">IFERROR(AH16*AJ16*AX16,"")</f>
        <v>0.775683890577508</v>
      </c>
      <c r="AZ16" s="35"/>
    </row>
    <row r="17" customFormat="false" ht="12.75" hidden="false" customHeight="true" outlineLevel="0" collapsed="false">
      <c r="A17" s="24" t="n">
        <v>13</v>
      </c>
      <c r="B17" s="25" t="n">
        <v>46027</v>
      </c>
      <c r="C17" s="25" t="n">
        <v>12</v>
      </c>
      <c r="D17" s="26" t="s">
        <v>71</v>
      </c>
      <c r="E17" s="26" t="s">
        <v>72</v>
      </c>
      <c r="F17" s="26" t="s">
        <v>73</v>
      </c>
      <c r="G17" s="26" t="s">
        <v>8</v>
      </c>
      <c r="H17" s="27" t="n">
        <v>0.354166666666667</v>
      </c>
      <c r="I17" s="27" t="n">
        <v>0.854166666666667</v>
      </c>
      <c r="J17" s="26" t="n">
        <f aca="false">IFERROR((I17-H17)*24*60,"")</f>
        <v>720</v>
      </c>
      <c r="K17" s="26" t="s">
        <v>105</v>
      </c>
      <c r="L17" s="26" t="s">
        <v>90</v>
      </c>
      <c r="M17" s="26" t="s">
        <v>76</v>
      </c>
      <c r="N17" s="26" t="s">
        <v>77</v>
      </c>
      <c r="O17" s="26" t="n">
        <v>8</v>
      </c>
      <c r="P17" s="26" t="n">
        <v>50</v>
      </c>
      <c r="Q17" s="26" t="n">
        <f aca="false">IFERROR(3600/(P17/O17),"")</f>
        <v>576</v>
      </c>
      <c r="R17" s="26" t="n">
        <v>4194</v>
      </c>
      <c r="S17" s="26" t="n">
        <v>51</v>
      </c>
      <c r="T17" s="26" t="n">
        <f aca="false">IFERROR(J17-S17,"")</f>
        <v>669</v>
      </c>
      <c r="U17" s="26" t="n">
        <v>25</v>
      </c>
      <c r="V17" s="26"/>
      <c r="W17" s="26"/>
      <c r="X17" s="26"/>
      <c r="Y17" s="26"/>
      <c r="Z17" s="26"/>
      <c r="AA17" s="26"/>
      <c r="AB17" s="26"/>
      <c r="AC17" s="26"/>
      <c r="AD17" s="26" t="n">
        <v>27</v>
      </c>
      <c r="AE17" s="26"/>
      <c r="AF17" s="26" t="n">
        <f aca="false">SUM(U17:AE17)</f>
        <v>52</v>
      </c>
      <c r="AG17" s="26" t="n">
        <f aca="false">T17-AF17</f>
        <v>617</v>
      </c>
      <c r="AH17" s="28" t="n">
        <f aca="false">IFERROR(AG17/T17,"")</f>
        <v>0.922272047832586</v>
      </c>
      <c r="AI17" s="29" t="n">
        <f aca="false">IFERROR(R17/AG17*60,"")</f>
        <v>407.844408427877</v>
      </c>
      <c r="AJ17" s="30" t="n">
        <f aca="false">IFERROR(AI17/Q17,"")</f>
        <v>0.708063209076175</v>
      </c>
      <c r="AK17" s="31" t="n">
        <f aca="false">IFERROR(R17/(T17/60*Q17),"")</f>
        <v>0.653026905829596</v>
      </c>
      <c r="AL17" s="26" t="n">
        <v>11</v>
      </c>
      <c r="AM17" s="26" t="n">
        <v>8</v>
      </c>
      <c r="AN17" s="26" t="n">
        <v>8</v>
      </c>
      <c r="AO17" s="26" t="n">
        <v>10</v>
      </c>
      <c r="AP17" s="26" t="n">
        <v>9</v>
      </c>
      <c r="AQ17" s="26" t="n">
        <v>7</v>
      </c>
      <c r="AR17" s="26" t="n">
        <v>13</v>
      </c>
      <c r="AS17" s="26" t="n">
        <v>9</v>
      </c>
      <c r="AT17" s="26" t="n">
        <v>4</v>
      </c>
      <c r="AU17" s="26" t="n">
        <v>12</v>
      </c>
      <c r="AV17" s="26" t="n">
        <f aca="false">SUM(AL17:AU17)</f>
        <v>91</v>
      </c>
      <c r="AW17" s="32" t="n">
        <f aca="false">IFERROR(AV17/R17*1000000,"")</f>
        <v>21697.6633285646</v>
      </c>
      <c r="AX17" s="33" t="n">
        <f aca="false">IFERROR((R17-AV17)/R17,"")</f>
        <v>0.978302336671435</v>
      </c>
      <c r="AY17" s="34" t="n">
        <f aca="false">IFERROR(AH17*AJ17*AX17,"")</f>
        <v>0.638857747882412</v>
      </c>
      <c r="AZ17" s="35" t="s">
        <v>93</v>
      </c>
    </row>
    <row r="18" customFormat="false" ht="12.75" hidden="false" customHeight="true" outlineLevel="0" collapsed="false">
      <c r="A18" s="24" t="n">
        <v>14</v>
      </c>
      <c r="B18" s="25" t="n">
        <v>46027</v>
      </c>
      <c r="C18" s="25" t="n">
        <v>12</v>
      </c>
      <c r="D18" s="26" t="s">
        <v>79</v>
      </c>
      <c r="E18" s="26" t="s">
        <v>80</v>
      </c>
      <c r="F18" s="26" t="s">
        <v>81</v>
      </c>
      <c r="G18" s="26" t="s">
        <v>9</v>
      </c>
      <c r="H18" s="27" t="n">
        <v>0.354166666666667</v>
      </c>
      <c r="I18" s="27" t="n">
        <v>0.854166666666667</v>
      </c>
      <c r="J18" s="26" t="n">
        <f aca="false">IFERROR((I18-H18)*24*60,"")</f>
        <v>720</v>
      </c>
      <c r="K18" s="26" t="s">
        <v>74</v>
      </c>
      <c r="L18" s="26" t="s">
        <v>102</v>
      </c>
      <c r="M18" s="26" t="s">
        <v>84</v>
      </c>
      <c r="N18" s="26" t="s">
        <v>85</v>
      </c>
      <c r="O18" s="26" t="n">
        <v>4</v>
      </c>
      <c r="P18" s="26" t="n">
        <v>28</v>
      </c>
      <c r="Q18" s="26" t="n">
        <f aca="false">IFERROR(3600/(P18/O18),"")</f>
        <v>514.285714285714</v>
      </c>
      <c r="R18" s="26" t="n">
        <v>4500</v>
      </c>
      <c r="S18" s="26" t="n">
        <v>64</v>
      </c>
      <c r="T18" s="26" t="n">
        <f aca="false">IFERROR(J18-S18,"")</f>
        <v>656</v>
      </c>
      <c r="U18" s="26"/>
      <c r="V18" s="26"/>
      <c r="W18" s="26"/>
      <c r="X18" s="26"/>
      <c r="Y18" s="26"/>
      <c r="Z18" s="26"/>
      <c r="AA18" s="26" t="n">
        <v>3</v>
      </c>
      <c r="AB18" s="26" t="n">
        <v>29</v>
      </c>
      <c r="AC18" s="26"/>
      <c r="AD18" s="26"/>
      <c r="AE18" s="26"/>
      <c r="AF18" s="26" t="n">
        <f aca="false">SUM(U18:AE18)</f>
        <v>32</v>
      </c>
      <c r="AG18" s="26" t="n">
        <f aca="false">T18-AF18</f>
        <v>624</v>
      </c>
      <c r="AH18" s="28" t="n">
        <f aca="false">IFERROR(AG18/T18,"")</f>
        <v>0.951219512195122</v>
      </c>
      <c r="AI18" s="29" t="n">
        <f aca="false">IFERROR(R18/AG18*60,"")</f>
        <v>432.692307692308</v>
      </c>
      <c r="AJ18" s="30" t="n">
        <f aca="false">IFERROR(AI18/Q18,"")</f>
        <v>0.841346153846154</v>
      </c>
      <c r="AK18" s="31" t="n">
        <f aca="false">IFERROR(R18/(T18/60*Q18),"")</f>
        <v>0.800304878048781</v>
      </c>
      <c r="AL18" s="26"/>
      <c r="AM18" s="26" t="n">
        <v>1</v>
      </c>
      <c r="AN18" s="26" t="n">
        <v>2</v>
      </c>
      <c r="AO18" s="26" t="n">
        <v>1</v>
      </c>
      <c r="AP18" s="26" t="n">
        <v>3</v>
      </c>
      <c r="AQ18" s="26" t="n">
        <v>2</v>
      </c>
      <c r="AR18" s="26" t="n">
        <v>2</v>
      </c>
      <c r="AS18" s="26" t="n">
        <v>4</v>
      </c>
      <c r="AT18" s="26" t="n">
        <v>2</v>
      </c>
      <c r="AU18" s="26" t="n">
        <v>2</v>
      </c>
      <c r="AV18" s="26" t="n">
        <f aca="false">SUM(AL18:AU18)</f>
        <v>19</v>
      </c>
      <c r="AW18" s="32" t="n">
        <f aca="false">IFERROR(AV18/R18*1000000,"")</f>
        <v>4222.22222222222</v>
      </c>
      <c r="AX18" s="33" t="n">
        <f aca="false">IFERROR((R18-AV18)/R18,"")</f>
        <v>0.995777777777778</v>
      </c>
      <c r="AY18" s="34" t="n">
        <f aca="false">IFERROR(AH18*AJ18*AX18,"")</f>
        <v>0.79692581300813</v>
      </c>
      <c r="AZ18" s="35"/>
    </row>
    <row r="19" customFormat="false" ht="12.75" hidden="false" customHeight="true" outlineLevel="0" collapsed="false">
      <c r="A19" s="24" t="n">
        <v>15</v>
      </c>
      <c r="B19" s="25" t="n">
        <v>46027</v>
      </c>
      <c r="C19" s="25" t="n">
        <v>12</v>
      </c>
      <c r="D19" s="26" t="s">
        <v>87</v>
      </c>
      <c r="E19" s="26" t="s">
        <v>88</v>
      </c>
      <c r="F19" s="26" t="s">
        <v>73</v>
      </c>
      <c r="G19" s="26" t="s">
        <v>10</v>
      </c>
      <c r="H19" s="27" t="n">
        <v>0.354166666666667</v>
      </c>
      <c r="I19" s="27" t="n">
        <v>0.854166666666667</v>
      </c>
      <c r="J19" s="26" t="n">
        <f aca="false">IFERROR((I19-H19)*24*60,"")</f>
        <v>720</v>
      </c>
      <c r="K19" s="26" t="s">
        <v>74</v>
      </c>
      <c r="L19" s="26" t="s">
        <v>106</v>
      </c>
      <c r="M19" s="26" t="s">
        <v>91</v>
      </c>
      <c r="N19" s="26" t="s">
        <v>92</v>
      </c>
      <c r="O19" s="26" t="n">
        <v>8</v>
      </c>
      <c r="P19" s="26" t="n">
        <v>44</v>
      </c>
      <c r="Q19" s="26" t="n">
        <f aca="false">IFERROR(3600/(P19/O19),"")</f>
        <v>654.545454545455</v>
      </c>
      <c r="R19" s="26" t="n">
        <v>5582</v>
      </c>
      <c r="S19" s="26" t="n">
        <v>51</v>
      </c>
      <c r="T19" s="26" t="n">
        <f aca="false">IFERROR(J19-S19,"")</f>
        <v>669</v>
      </c>
      <c r="U19" s="26"/>
      <c r="V19" s="26"/>
      <c r="W19" s="26"/>
      <c r="X19" s="26"/>
      <c r="Y19" s="26" t="n">
        <v>5</v>
      </c>
      <c r="Z19" s="26"/>
      <c r="AA19" s="26"/>
      <c r="AB19" s="26"/>
      <c r="AC19" s="26"/>
      <c r="AD19" s="26"/>
      <c r="AE19" s="26"/>
      <c r="AF19" s="26" t="n">
        <f aca="false">SUM(U19:AE19)</f>
        <v>5</v>
      </c>
      <c r="AG19" s="26" t="n">
        <f aca="false">T19-AF19</f>
        <v>664</v>
      </c>
      <c r="AH19" s="28" t="n">
        <f aca="false">IFERROR(AG19/T19,"")</f>
        <v>0.992526158445441</v>
      </c>
      <c r="AI19" s="29" t="n">
        <f aca="false">IFERROR(R19/AG19*60,"")</f>
        <v>504.397590361446</v>
      </c>
      <c r="AJ19" s="30" t="n">
        <f aca="false">IFERROR(AI19/Q19,"")</f>
        <v>0.770607429718876</v>
      </c>
      <c r="AK19" s="31" t="n">
        <f aca="false">IFERROR(R19/(T19/60*Q19),"")</f>
        <v>0.764848031888391</v>
      </c>
      <c r="AL19" s="26" t="n">
        <v>2</v>
      </c>
      <c r="AM19" s="26" t="n">
        <v>5</v>
      </c>
      <c r="AN19" s="26" t="n">
        <v>1</v>
      </c>
      <c r="AO19" s="26" t="n">
        <v>10</v>
      </c>
      <c r="AP19" s="26" t="n">
        <v>9</v>
      </c>
      <c r="AQ19" s="26" t="n">
        <v>5</v>
      </c>
      <c r="AR19" s="26" t="n">
        <v>3</v>
      </c>
      <c r="AS19" s="26" t="n">
        <v>7</v>
      </c>
      <c r="AT19" s="26" t="n">
        <v>8</v>
      </c>
      <c r="AU19" s="26" t="n">
        <v>4</v>
      </c>
      <c r="AV19" s="26" t="n">
        <f aca="false">SUM(AL19:AU19)</f>
        <v>54</v>
      </c>
      <c r="AW19" s="32" t="n">
        <f aca="false">IFERROR(AV19/R19*1000000,"")</f>
        <v>9673.95198853458</v>
      </c>
      <c r="AX19" s="33" t="n">
        <f aca="false">IFERROR((R19-AV19)/R19,"")</f>
        <v>0.990326048011465</v>
      </c>
      <c r="AY19" s="34" t="n">
        <f aca="false">IFERROR(AH19*AJ19*AX19,"")</f>
        <v>0.757448928749377</v>
      </c>
      <c r="AZ19" s="35" t="s">
        <v>86</v>
      </c>
    </row>
    <row r="20" customFormat="false" ht="12.75" hidden="false" customHeight="true" outlineLevel="0" collapsed="false">
      <c r="A20" s="24" t="n">
        <v>16</v>
      </c>
      <c r="B20" s="25" t="n">
        <v>46028</v>
      </c>
      <c r="C20" s="25" t="n">
        <v>12</v>
      </c>
      <c r="D20" s="26" t="s">
        <v>71</v>
      </c>
      <c r="E20" s="26" t="s">
        <v>94</v>
      </c>
      <c r="F20" s="26" t="s">
        <v>81</v>
      </c>
      <c r="G20" s="26" t="s">
        <v>11</v>
      </c>
      <c r="H20" s="27" t="n">
        <v>0.354166666666667</v>
      </c>
      <c r="I20" s="27" t="n">
        <v>0.854166666666667</v>
      </c>
      <c r="J20" s="26" t="n">
        <f aca="false">IFERROR((I20-H20)*24*60,"")</f>
        <v>720</v>
      </c>
      <c r="K20" s="26" t="s">
        <v>105</v>
      </c>
      <c r="L20" s="26" t="s">
        <v>75</v>
      </c>
      <c r="M20" s="26" t="s">
        <v>95</v>
      </c>
      <c r="N20" s="26" t="s">
        <v>96</v>
      </c>
      <c r="O20" s="26" t="n">
        <v>2</v>
      </c>
      <c r="P20" s="26" t="n">
        <v>41</v>
      </c>
      <c r="Q20" s="26" t="n">
        <f aca="false">IFERROR(3600/(P20/O20),"")</f>
        <v>175.609756097561</v>
      </c>
      <c r="R20" s="26" t="n">
        <v>1419</v>
      </c>
      <c r="S20" s="26" t="n">
        <v>49</v>
      </c>
      <c r="T20" s="26" t="n">
        <f aca="false">IFERROR(J20-S20,"")</f>
        <v>671</v>
      </c>
      <c r="U20" s="26"/>
      <c r="V20" s="26"/>
      <c r="W20" s="26"/>
      <c r="X20" s="26"/>
      <c r="Y20" s="26" t="n">
        <v>5</v>
      </c>
      <c r="Z20" s="26"/>
      <c r="AA20" s="26"/>
      <c r="AB20" s="26"/>
      <c r="AC20" s="26"/>
      <c r="AD20" s="26"/>
      <c r="AE20" s="26"/>
      <c r="AF20" s="26" t="n">
        <f aca="false">SUM(U20:AE20)</f>
        <v>5</v>
      </c>
      <c r="AG20" s="26" t="n">
        <f aca="false">T20-AF20</f>
        <v>666</v>
      </c>
      <c r="AH20" s="28" t="n">
        <f aca="false">IFERROR(AG20/T20,"")</f>
        <v>0.992548435171386</v>
      </c>
      <c r="AI20" s="29" t="n">
        <f aca="false">IFERROR(R20/AG20*60,"")</f>
        <v>127.837837837838</v>
      </c>
      <c r="AJ20" s="30" t="n">
        <f aca="false">IFERROR(AI20/Q20,"")</f>
        <v>0.727965465465466</v>
      </c>
      <c r="AK20" s="31" t="n">
        <f aca="false">IFERROR(R20/(T20/60*Q20),"")</f>
        <v>0.722540983606557</v>
      </c>
      <c r="AL20" s="26" t="n">
        <v>3</v>
      </c>
      <c r="AM20" s="26" t="n">
        <v>4</v>
      </c>
      <c r="AN20" s="26" t="n">
        <v>4</v>
      </c>
      <c r="AO20" s="26"/>
      <c r="AP20" s="26" t="n">
        <v>3</v>
      </c>
      <c r="AQ20" s="26" t="n">
        <v>1</v>
      </c>
      <c r="AR20" s="26" t="n">
        <v>1</v>
      </c>
      <c r="AS20" s="26" t="n">
        <v>6</v>
      </c>
      <c r="AT20" s="26"/>
      <c r="AU20" s="26" t="n">
        <v>3</v>
      </c>
      <c r="AV20" s="26" t="n">
        <f aca="false">SUM(AL20:AU20)</f>
        <v>25</v>
      </c>
      <c r="AW20" s="32" t="n">
        <f aca="false">IFERROR(AV20/R20*1000000,"")</f>
        <v>17618.0408738548</v>
      </c>
      <c r="AX20" s="33" t="n">
        <f aca="false">IFERROR((R20-AV20)/R20,"")</f>
        <v>0.982381959126145</v>
      </c>
      <c r="AY20" s="34" t="n">
        <f aca="false">IFERROR(AH20*AJ20*AX20,"")</f>
        <v>0.709811227024342</v>
      </c>
      <c r="AZ20" s="35" t="s">
        <v>78</v>
      </c>
    </row>
    <row r="21" customFormat="false" ht="12.75" hidden="false" customHeight="true" outlineLevel="0" collapsed="false">
      <c r="A21" s="24" t="n">
        <v>17</v>
      </c>
      <c r="B21" s="25" t="n">
        <v>46028</v>
      </c>
      <c r="C21" s="25" t="n">
        <v>12</v>
      </c>
      <c r="D21" s="26" t="s">
        <v>79</v>
      </c>
      <c r="E21" s="26" t="s">
        <v>97</v>
      </c>
      <c r="F21" s="26" t="s">
        <v>73</v>
      </c>
      <c r="G21" s="26" t="s">
        <v>12</v>
      </c>
      <c r="H21" s="27" t="n">
        <v>0.354166666666667</v>
      </c>
      <c r="I21" s="27" t="n">
        <v>0.854166666666667</v>
      </c>
      <c r="J21" s="26" t="n">
        <f aca="false">IFERROR((I21-H21)*24*60,"")</f>
        <v>720</v>
      </c>
      <c r="K21" s="26" t="s">
        <v>105</v>
      </c>
      <c r="L21" s="26" t="s">
        <v>83</v>
      </c>
      <c r="M21" s="26" t="s">
        <v>99</v>
      </c>
      <c r="N21" s="26" t="s">
        <v>100</v>
      </c>
      <c r="O21" s="26" t="n">
        <v>2</v>
      </c>
      <c r="P21" s="26" t="n">
        <v>73</v>
      </c>
      <c r="Q21" s="26" t="n">
        <f aca="false">IFERROR(3600/(P21/O21),"")</f>
        <v>98.6301369863014</v>
      </c>
      <c r="R21" s="26" t="n">
        <v>868</v>
      </c>
      <c r="S21" s="26" t="n">
        <v>65</v>
      </c>
      <c r="T21" s="26" t="n">
        <f aca="false">IFERROR(J21-S21,"")</f>
        <v>655</v>
      </c>
      <c r="U21" s="26"/>
      <c r="V21" s="26"/>
      <c r="W21" s="26"/>
      <c r="X21" s="26"/>
      <c r="Y21" s="26" t="n">
        <v>17</v>
      </c>
      <c r="Z21" s="26"/>
      <c r="AA21" s="26" t="n">
        <v>21</v>
      </c>
      <c r="AB21" s="26"/>
      <c r="AC21" s="26"/>
      <c r="AD21" s="26"/>
      <c r="AE21" s="26"/>
      <c r="AF21" s="26" t="n">
        <f aca="false">SUM(U21:AE21)</f>
        <v>38</v>
      </c>
      <c r="AG21" s="26" t="n">
        <f aca="false">T21-AF21</f>
        <v>617</v>
      </c>
      <c r="AH21" s="28" t="n">
        <f aca="false">IFERROR(AG21/T21,"")</f>
        <v>0.941984732824428</v>
      </c>
      <c r="AI21" s="29" t="n">
        <f aca="false">IFERROR(R21/AG21*60,"")</f>
        <v>84.4084278768233</v>
      </c>
      <c r="AJ21" s="30" t="n">
        <f aca="false">IFERROR(AI21/Q21,"")</f>
        <v>0.855807671528903</v>
      </c>
      <c r="AK21" s="31" t="n">
        <f aca="false">IFERROR(R21/(T21/60*Q21),"")</f>
        <v>0.80615776081425</v>
      </c>
      <c r="AL21" s="26" t="n">
        <v>1</v>
      </c>
      <c r="AM21" s="26" t="n">
        <v>1</v>
      </c>
      <c r="AN21" s="26"/>
      <c r="AO21" s="26" t="n">
        <v>2</v>
      </c>
      <c r="AP21" s="26" t="n">
        <v>1</v>
      </c>
      <c r="AQ21" s="26"/>
      <c r="AR21" s="26"/>
      <c r="AS21" s="26"/>
      <c r="AT21" s="26"/>
      <c r="AU21" s="26" t="n">
        <v>2</v>
      </c>
      <c r="AV21" s="26" t="n">
        <f aca="false">SUM(AL21:AU21)</f>
        <v>7</v>
      </c>
      <c r="AW21" s="32" t="n">
        <f aca="false">IFERROR(AV21/R21*1000000,"")</f>
        <v>8064.51612903226</v>
      </c>
      <c r="AX21" s="33" t="n">
        <f aca="false">IFERROR((R21-AV21)/R21,"")</f>
        <v>0.991935483870968</v>
      </c>
      <c r="AY21" s="34" t="n">
        <f aca="false">IFERROR(AH21*AJ21*AX21,"")</f>
        <v>0.799656488549619</v>
      </c>
      <c r="AZ21" s="35" t="s">
        <v>86</v>
      </c>
    </row>
    <row r="22" customFormat="false" ht="12.75" hidden="false" customHeight="true" outlineLevel="0" collapsed="false">
      <c r="A22" s="24" t="n">
        <v>18</v>
      </c>
      <c r="B22" s="25" t="n">
        <v>46028</v>
      </c>
      <c r="C22" s="25" t="n">
        <v>12</v>
      </c>
      <c r="D22" s="26" t="s">
        <v>87</v>
      </c>
      <c r="E22" s="26" t="s">
        <v>101</v>
      </c>
      <c r="F22" s="26" t="s">
        <v>81</v>
      </c>
      <c r="G22" s="26" t="s">
        <v>13</v>
      </c>
      <c r="H22" s="27" t="n">
        <v>0.354166666666667</v>
      </c>
      <c r="I22" s="27" t="n">
        <v>0.854166666666667</v>
      </c>
      <c r="J22" s="26" t="n">
        <f aca="false">IFERROR((I22-H22)*24*60,"")</f>
        <v>720</v>
      </c>
      <c r="K22" s="26" t="s">
        <v>74</v>
      </c>
      <c r="L22" s="26" t="s">
        <v>108</v>
      </c>
      <c r="M22" s="26" t="s">
        <v>103</v>
      </c>
      <c r="N22" s="26" t="s">
        <v>104</v>
      </c>
      <c r="O22" s="26" t="n">
        <v>1</v>
      </c>
      <c r="P22" s="26" t="n">
        <v>34</v>
      </c>
      <c r="Q22" s="26" t="n">
        <f aca="false">IFERROR(3600/(P22/O22),"")</f>
        <v>105.882352941176</v>
      </c>
      <c r="R22" s="26" t="n">
        <v>762</v>
      </c>
      <c r="S22" s="26" t="n">
        <v>41</v>
      </c>
      <c r="T22" s="26" t="n">
        <f aca="false">IFERROR(J22-S22,"")</f>
        <v>679</v>
      </c>
      <c r="U22" s="26"/>
      <c r="V22" s="26"/>
      <c r="W22" s="26"/>
      <c r="X22" s="26" t="n">
        <v>4</v>
      </c>
      <c r="Y22" s="26" t="n">
        <v>33</v>
      </c>
      <c r="Z22" s="26"/>
      <c r="AA22" s="26"/>
      <c r="AB22" s="26"/>
      <c r="AC22" s="26"/>
      <c r="AD22" s="26"/>
      <c r="AE22" s="26"/>
      <c r="AF22" s="26" t="n">
        <f aca="false">SUM(U22:AE22)</f>
        <v>37</v>
      </c>
      <c r="AG22" s="26" t="n">
        <f aca="false">T22-AF22</f>
        <v>642</v>
      </c>
      <c r="AH22" s="28" t="n">
        <f aca="false">IFERROR(AG22/T22,"")</f>
        <v>0.945508100147275</v>
      </c>
      <c r="AI22" s="29" t="n">
        <f aca="false">IFERROR(R22/AG22*60,"")</f>
        <v>71.214953271028</v>
      </c>
      <c r="AJ22" s="30" t="n">
        <f aca="false">IFERROR(AI22/Q22,"")</f>
        <v>0.672585669781932</v>
      </c>
      <c r="AK22" s="31" t="n">
        <f aca="false">IFERROR(R22/(T22/60*Q22),"")</f>
        <v>0.635935198821797</v>
      </c>
      <c r="AL22" s="26"/>
      <c r="AM22" s="26" t="n">
        <v>1</v>
      </c>
      <c r="AN22" s="26"/>
      <c r="AO22" s="26" t="n">
        <v>1</v>
      </c>
      <c r="AP22" s="26" t="n">
        <v>2</v>
      </c>
      <c r="AQ22" s="26"/>
      <c r="AR22" s="26"/>
      <c r="AS22" s="26" t="n">
        <v>1</v>
      </c>
      <c r="AT22" s="26"/>
      <c r="AU22" s="26" t="n">
        <v>1</v>
      </c>
      <c r="AV22" s="26" t="n">
        <f aca="false">SUM(AL22:AU22)</f>
        <v>6</v>
      </c>
      <c r="AW22" s="32" t="n">
        <f aca="false">IFERROR(AV22/R22*1000000,"")</f>
        <v>7874.0157480315</v>
      </c>
      <c r="AX22" s="33" t="n">
        <f aca="false">IFERROR((R22-AV22)/R22,"")</f>
        <v>0.992125984251969</v>
      </c>
      <c r="AY22" s="34" t="n">
        <f aca="false">IFERROR(AH22*AJ22*AX22,"")</f>
        <v>0.630927835051546</v>
      </c>
      <c r="AZ22" s="35" t="s">
        <v>78</v>
      </c>
    </row>
    <row r="23" customFormat="false" ht="12.75" hidden="false" customHeight="true" outlineLevel="0" collapsed="false">
      <c r="A23" s="24" t="n">
        <v>19</v>
      </c>
      <c r="B23" s="25" t="n">
        <v>46029</v>
      </c>
      <c r="C23" s="25" t="n">
        <v>12</v>
      </c>
      <c r="D23" s="26" t="s">
        <v>71</v>
      </c>
      <c r="E23" s="26" t="s">
        <v>72</v>
      </c>
      <c r="F23" s="26" t="s">
        <v>73</v>
      </c>
      <c r="G23" s="26" t="s">
        <v>8</v>
      </c>
      <c r="H23" s="27" t="n">
        <v>0.354166666666667</v>
      </c>
      <c r="I23" s="27" t="n">
        <v>0.854166666666667</v>
      </c>
      <c r="J23" s="26" t="n">
        <f aca="false">IFERROR((I23-H23)*24*60,"")</f>
        <v>720</v>
      </c>
      <c r="K23" s="26" t="s">
        <v>89</v>
      </c>
      <c r="L23" s="26" t="s">
        <v>102</v>
      </c>
      <c r="M23" s="26" t="s">
        <v>76</v>
      </c>
      <c r="N23" s="26" t="s">
        <v>77</v>
      </c>
      <c r="O23" s="26" t="n">
        <v>2</v>
      </c>
      <c r="P23" s="26" t="n">
        <v>41</v>
      </c>
      <c r="Q23" s="26" t="n">
        <f aca="false">IFERROR(3600/(P23/O23),"")</f>
        <v>175.609756097561</v>
      </c>
      <c r="R23" s="26" t="n">
        <v>1795</v>
      </c>
      <c r="S23" s="26" t="n">
        <v>64</v>
      </c>
      <c r="T23" s="26" t="n">
        <f aca="false">IFERROR(J23-S23,"")</f>
        <v>656</v>
      </c>
      <c r="U23" s="26"/>
      <c r="V23" s="26"/>
      <c r="W23" s="26" t="n">
        <v>4</v>
      </c>
      <c r="X23" s="26"/>
      <c r="Y23" s="26"/>
      <c r="Z23" s="26"/>
      <c r="AA23" s="26"/>
      <c r="AB23" s="26"/>
      <c r="AC23" s="26"/>
      <c r="AD23" s="26"/>
      <c r="AE23" s="26"/>
      <c r="AF23" s="26" t="n">
        <f aca="false">SUM(U23:AE23)</f>
        <v>4</v>
      </c>
      <c r="AG23" s="26" t="n">
        <f aca="false">T23-AF23</f>
        <v>652</v>
      </c>
      <c r="AH23" s="28" t="n">
        <f aca="false">IFERROR(AG23/T23,"")</f>
        <v>0.99390243902439</v>
      </c>
      <c r="AI23" s="29" t="n">
        <f aca="false">IFERROR(R23/AG23*60,"")</f>
        <v>165.184049079755</v>
      </c>
      <c r="AJ23" s="30" t="n">
        <f aca="false">IFERROR(AI23/Q23,"")</f>
        <v>0.940631390593047</v>
      </c>
      <c r="AK23" s="31" t="n">
        <f aca="false">IFERROR(R23/(T23/60*Q23),"")</f>
        <v>0.934895833333333</v>
      </c>
      <c r="AL23" s="26" t="n">
        <v>4</v>
      </c>
      <c r="AM23" s="26" t="n">
        <v>3</v>
      </c>
      <c r="AN23" s="26" t="n">
        <v>2</v>
      </c>
      <c r="AO23" s="26" t="n">
        <v>1</v>
      </c>
      <c r="AP23" s="26" t="n">
        <v>6</v>
      </c>
      <c r="AQ23" s="26" t="n">
        <v>1</v>
      </c>
      <c r="AR23" s="26" t="n">
        <v>2</v>
      </c>
      <c r="AS23" s="26" t="n">
        <v>6</v>
      </c>
      <c r="AT23" s="26" t="n">
        <v>3</v>
      </c>
      <c r="AU23" s="26" t="n">
        <v>8</v>
      </c>
      <c r="AV23" s="26" t="n">
        <f aca="false">SUM(AL23:AU23)</f>
        <v>36</v>
      </c>
      <c r="AW23" s="32" t="n">
        <f aca="false">IFERROR(AV23/R23*1000000,"")</f>
        <v>20055.7103064067</v>
      </c>
      <c r="AX23" s="33" t="n">
        <f aca="false">IFERROR((R23-AV23)/R23,"")</f>
        <v>0.979944289693593</v>
      </c>
      <c r="AY23" s="34" t="n">
        <f aca="false">IFERROR(AH23*AJ23*AX23,"")</f>
        <v>0.916145833333333</v>
      </c>
      <c r="AZ23" s="35" t="s">
        <v>78</v>
      </c>
    </row>
    <row r="24" customFormat="false" ht="12.75" hidden="false" customHeight="true" outlineLevel="0" collapsed="false">
      <c r="A24" s="24" t="n">
        <v>20</v>
      </c>
      <c r="B24" s="25" t="n">
        <v>46029</v>
      </c>
      <c r="C24" s="25" t="n">
        <v>12</v>
      </c>
      <c r="D24" s="26" t="s">
        <v>79</v>
      </c>
      <c r="E24" s="26" t="s">
        <v>80</v>
      </c>
      <c r="F24" s="26" t="s">
        <v>81</v>
      </c>
      <c r="G24" s="26" t="s">
        <v>9</v>
      </c>
      <c r="H24" s="27" t="n">
        <v>0.354166666666667</v>
      </c>
      <c r="I24" s="27" t="n">
        <v>0.854166666666667</v>
      </c>
      <c r="J24" s="26" t="n">
        <f aca="false">IFERROR((I24-H24)*24*60,"")</f>
        <v>720</v>
      </c>
      <c r="K24" s="26" t="s">
        <v>74</v>
      </c>
      <c r="L24" s="26" t="s">
        <v>107</v>
      </c>
      <c r="M24" s="26" t="s">
        <v>84</v>
      </c>
      <c r="N24" s="26" t="s">
        <v>85</v>
      </c>
      <c r="O24" s="26" t="n">
        <v>8</v>
      </c>
      <c r="P24" s="26" t="n">
        <v>45</v>
      </c>
      <c r="Q24" s="26" t="n">
        <f aca="false">IFERROR(3600/(P24/O24),"")</f>
        <v>640</v>
      </c>
      <c r="R24" s="26" t="n">
        <v>5338</v>
      </c>
      <c r="S24" s="26" t="n">
        <v>60</v>
      </c>
      <c r="T24" s="26" t="n">
        <f aca="false">IFERROR(J24-S24,"")</f>
        <v>660</v>
      </c>
      <c r="U24" s="26"/>
      <c r="V24" s="26"/>
      <c r="W24" s="26"/>
      <c r="X24" s="26"/>
      <c r="Y24" s="26"/>
      <c r="Z24" s="26" t="n">
        <v>8</v>
      </c>
      <c r="AA24" s="26"/>
      <c r="AB24" s="26"/>
      <c r="AC24" s="26"/>
      <c r="AD24" s="26"/>
      <c r="AE24" s="26"/>
      <c r="AF24" s="26" t="n">
        <f aca="false">SUM(U24:AE24)</f>
        <v>8</v>
      </c>
      <c r="AG24" s="26" t="n">
        <f aca="false">T24-AF24</f>
        <v>652</v>
      </c>
      <c r="AH24" s="28" t="n">
        <f aca="false">IFERROR(AG24/T24,"")</f>
        <v>0.987878787878788</v>
      </c>
      <c r="AI24" s="29" t="n">
        <f aca="false">IFERROR(R24/AG24*60,"")</f>
        <v>491.226993865031</v>
      </c>
      <c r="AJ24" s="30" t="n">
        <f aca="false">IFERROR(AI24/Q24,"")</f>
        <v>0.76754217791411</v>
      </c>
      <c r="AK24" s="31" t="n">
        <f aca="false">IFERROR(R24/(T24/60*Q24),"")</f>
        <v>0.758238636363636</v>
      </c>
      <c r="AL24" s="26" t="n">
        <v>6</v>
      </c>
      <c r="AM24" s="26" t="n">
        <v>6</v>
      </c>
      <c r="AN24" s="26" t="n">
        <v>4</v>
      </c>
      <c r="AO24" s="26" t="n">
        <v>6</v>
      </c>
      <c r="AP24" s="26" t="n">
        <v>7</v>
      </c>
      <c r="AQ24" s="26" t="n">
        <v>3</v>
      </c>
      <c r="AR24" s="26" t="n">
        <v>6</v>
      </c>
      <c r="AS24" s="26" t="n">
        <v>12</v>
      </c>
      <c r="AT24" s="26" t="n">
        <v>9</v>
      </c>
      <c r="AU24" s="26" t="n">
        <v>2</v>
      </c>
      <c r="AV24" s="26" t="n">
        <f aca="false">SUM(AL24:AU24)</f>
        <v>61</v>
      </c>
      <c r="AW24" s="32" t="n">
        <f aca="false">IFERROR(AV24/R24*1000000,"")</f>
        <v>11427.5009366804</v>
      </c>
      <c r="AX24" s="33" t="n">
        <f aca="false">IFERROR((R24-AV24)/R24,"")</f>
        <v>0.98857249906332</v>
      </c>
      <c r="AY24" s="34" t="n">
        <f aca="false">IFERROR(AH24*AJ24*AX24,"")</f>
        <v>0.749573863636364</v>
      </c>
      <c r="AZ24" s="35" t="s">
        <v>93</v>
      </c>
    </row>
    <row r="25" customFormat="false" ht="12.75" hidden="false" customHeight="true" outlineLevel="0" collapsed="false">
      <c r="A25" s="24" t="n">
        <v>21</v>
      </c>
      <c r="B25" s="25" t="n">
        <v>46029</v>
      </c>
      <c r="C25" s="25" t="n">
        <v>12</v>
      </c>
      <c r="D25" s="26" t="s">
        <v>87</v>
      </c>
      <c r="E25" s="26" t="s">
        <v>88</v>
      </c>
      <c r="F25" s="26" t="s">
        <v>73</v>
      </c>
      <c r="G25" s="26" t="s">
        <v>10</v>
      </c>
      <c r="H25" s="27" t="n">
        <v>0.354166666666667</v>
      </c>
      <c r="I25" s="27" t="n">
        <v>0.854166666666667</v>
      </c>
      <c r="J25" s="26" t="n">
        <f aca="false">IFERROR((I25-H25)*24*60,"")</f>
        <v>720</v>
      </c>
      <c r="K25" s="26" t="s">
        <v>89</v>
      </c>
      <c r="L25" s="26" t="s">
        <v>107</v>
      </c>
      <c r="M25" s="26" t="s">
        <v>91</v>
      </c>
      <c r="N25" s="26" t="s">
        <v>92</v>
      </c>
      <c r="O25" s="26" t="n">
        <v>4</v>
      </c>
      <c r="P25" s="26" t="n">
        <v>24</v>
      </c>
      <c r="Q25" s="26" t="n">
        <f aca="false">IFERROR(3600/(P25/O25),"")</f>
        <v>600</v>
      </c>
      <c r="R25" s="26" t="n">
        <v>4969</v>
      </c>
      <c r="S25" s="26" t="n">
        <v>56</v>
      </c>
      <c r="T25" s="26" t="n">
        <f aca="false">IFERROR(J25-S25,"")</f>
        <v>664</v>
      </c>
      <c r="U25" s="26"/>
      <c r="V25" s="26"/>
      <c r="W25" s="26"/>
      <c r="X25" s="26"/>
      <c r="Y25" s="26"/>
      <c r="Z25" s="26"/>
      <c r="AA25" s="26"/>
      <c r="AB25" s="26" t="n">
        <v>13</v>
      </c>
      <c r="AC25" s="26"/>
      <c r="AD25" s="26" t="n">
        <v>21</v>
      </c>
      <c r="AE25" s="26"/>
      <c r="AF25" s="26" t="n">
        <f aca="false">SUM(U25:AE25)</f>
        <v>34</v>
      </c>
      <c r="AG25" s="26" t="n">
        <f aca="false">T25-AF25</f>
        <v>630</v>
      </c>
      <c r="AH25" s="28" t="n">
        <f aca="false">IFERROR(AG25/T25,"")</f>
        <v>0.948795180722892</v>
      </c>
      <c r="AI25" s="29" t="n">
        <f aca="false">IFERROR(R25/AG25*60,"")</f>
        <v>473.238095238095</v>
      </c>
      <c r="AJ25" s="30" t="n">
        <f aca="false">IFERROR(AI25/Q25,"")</f>
        <v>0.788730158730159</v>
      </c>
      <c r="AK25" s="31" t="n">
        <f aca="false">IFERROR(R25/(T25/60*Q25),"")</f>
        <v>0.748343373493976</v>
      </c>
      <c r="AL25" s="26" t="n">
        <v>8</v>
      </c>
      <c r="AM25" s="26" t="n">
        <v>10</v>
      </c>
      <c r="AN25" s="26" t="n">
        <v>11</v>
      </c>
      <c r="AO25" s="26" t="n">
        <v>9</v>
      </c>
      <c r="AP25" s="26" t="n">
        <v>10</v>
      </c>
      <c r="AQ25" s="26" t="n">
        <v>12</v>
      </c>
      <c r="AR25" s="26" t="n">
        <v>14</v>
      </c>
      <c r="AS25" s="26" t="n">
        <v>16</v>
      </c>
      <c r="AT25" s="26" t="n">
        <v>9</v>
      </c>
      <c r="AU25" s="26" t="n">
        <v>9</v>
      </c>
      <c r="AV25" s="26" t="n">
        <f aca="false">SUM(AL25:AU25)</f>
        <v>108</v>
      </c>
      <c r="AW25" s="32" t="n">
        <f aca="false">IFERROR(AV25/R25*1000000,"")</f>
        <v>21734.7554840008</v>
      </c>
      <c r="AX25" s="33" t="n">
        <f aca="false">IFERROR((R25-AV25)/R25,"")</f>
        <v>0.978265244515999</v>
      </c>
      <c r="AY25" s="34" t="n">
        <f aca="false">IFERROR(AH25*AJ25*AX25,"")</f>
        <v>0.732078313253012</v>
      </c>
      <c r="AZ25" s="35" t="s">
        <v>86</v>
      </c>
    </row>
    <row r="26" customFormat="false" ht="12.75" hidden="false" customHeight="true" outlineLevel="0" collapsed="false">
      <c r="A26" s="24" t="n">
        <v>22</v>
      </c>
      <c r="B26" s="25" t="n">
        <v>46030</v>
      </c>
      <c r="C26" s="25" t="n">
        <v>12</v>
      </c>
      <c r="D26" s="26" t="s">
        <v>71</v>
      </c>
      <c r="E26" s="26" t="s">
        <v>94</v>
      </c>
      <c r="F26" s="26" t="s">
        <v>81</v>
      </c>
      <c r="G26" s="26" t="s">
        <v>11</v>
      </c>
      <c r="H26" s="27" t="n">
        <v>0.354166666666667</v>
      </c>
      <c r="I26" s="27" t="n">
        <v>0.854166666666667</v>
      </c>
      <c r="J26" s="26" t="n">
        <f aca="false">IFERROR((I26-H26)*24*60,"")</f>
        <v>720</v>
      </c>
      <c r="K26" s="26" t="s">
        <v>82</v>
      </c>
      <c r="L26" s="26" t="s">
        <v>106</v>
      </c>
      <c r="M26" s="26" t="s">
        <v>95</v>
      </c>
      <c r="N26" s="26" t="s">
        <v>96</v>
      </c>
      <c r="O26" s="26" t="n">
        <v>4</v>
      </c>
      <c r="P26" s="26" t="n">
        <v>68</v>
      </c>
      <c r="Q26" s="26" t="n">
        <f aca="false">IFERROR(3600/(P26/O26),"")</f>
        <v>211.764705882353</v>
      </c>
      <c r="R26" s="26" t="n">
        <v>1762</v>
      </c>
      <c r="S26" s="26" t="n">
        <v>54</v>
      </c>
      <c r="T26" s="26" t="n">
        <f aca="false">IFERROR(J26-S26,"")</f>
        <v>666</v>
      </c>
      <c r="U26" s="26"/>
      <c r="V26" s="26"/>
      <c r="W26" s="26"/>
      <c r="X26" s="26"/>
      <c r="Y26" s="26" t="n">
        <v>15</v>
      </c>
      <c r="Z26" s="26"/>
      <c r="AA26" s="26"/>
      <c r="AB26" s="26"/>
      <c r="AC26" s="26"/>
      <c r="AD26" s="26" t="n">
        <v>3</v>
      </c>
      <c r="AE26" s="26" t="n">
        <v>37</v>
      </c>
      <c r="AF26" s="26" t="n">
        <f aca="false">SUM(U26:AE26)</f>
        <v>55</v>
      </c>
      <c r="AG26" s="26" t="n">
        <f aca="false">T26-AF26</f>
        <v>611</v>
      </c>
      <c r="AH26" s="28" t="n">
        <f aca="false">IFERROR(AG26/T26,"")</f>
        <v>0.917417417417417</v>
      </c>
      <c r="AI26" s="29" t="n">
        <f aca="false">IFERROR(R26/AG26*60,"")</f>
        <v>173.027823240589</v>
      </c>
      <c r="AJ26" s="30" t="n">
        <f aca="false">IFERROR(AI26/Q26,"")</f>
        <v>0.817075831969449</v>
      </c>
      <c r="AK26" s="31" t="n">
        <f aca="false">IFERROR(R26/(T26/60*Q26),"")</f>
        <v>0.7495995995996</v>
      </c>
      <c r="AL26" s="26" t="n">
        <v>3</v>
      </c>
      <c r="AM26" s="26" t="n">
        <v>2</v>
      </c>
      <c r="AN26" s="26" t="n">
        <v>5</v>
      </c>
      <c r="AO26" s="26" t="n">
        <v>4</v>
      </c>
      <c r="AP26" s="26" t="n">
        <v>6</v>
      </c>
      <c r="AQ26" s="26" t="n">
        <v>4</v>
      </c>
      <c r="AR26" s="26" t="n">
        <v>1</v>
      </c>
      <c r="AS26" s="26" t="n">
        <v>3</v>
      </c>
      <c r="AT26" s="26" t="n">
        <v>3</v>
      </c>
      <c r="AU26" s="26" t="n">
        <v>4</v>
      </c>
      <c r="AV26" s="26" t="n">
        <f aca="false">SUM(AL26:AU26)</f>
        <v>35</v>
      </c>
      <c r="AW26" s="32" t="n">
        <f aca="false">IFERROR(AV26/R26*1000000,"")</f>
        <v>19863.7911464245</v>
      </c>
      <c r="AX26" s="33" t="n">
        <f aca="false">IFERROR((R26-AV26)/R26,"")</f>
        <v>0.980136208853575</v>
      </c>
      <c r="AY26" s="34" t="n">
        <f aca="false">IFERROR(AH26*AJ26*AX26,"")</f>
        <v>0.73470970970971</v>
      </c>
      <c r="AZ26" s="35" t="s">
        <v>78</v>
      </c>
    </row>
    <row r="27" customFormat="false" ht="12.75" hidden="false" customHeight="true" outlineLevel="0" collapsed="false">
      <c r="A27" s="24" t="n">
        <v>23</v>
      </c>
      <c r="B27" s="25" t="n">
        <v>46030</v>
      </c>
      <c r="C27" s="25" t="n">
        <v>12</v>
      </c>
      <c r="D27" s="26" t="s">
        <v>79</v>
      </c>
      <c r="E27" s="26" t="s">
        <v>97</v>
      </c>
      <c r="F27" s="26" t="s">
        <v>73</v>
      </c>
      <c r="G27" s="26" t="s">
        <v>12</v>
      </c>
      <c r="H27" s="27" t="n">
        <v>0.354166666666667</v>
      </c>
      <c r="I27" s="27" t="n">
        <v>0.854166666666667</v>
      </c>
      <c r="J27" s="26" t="n">
        <f aca="false">IFERROR((I27-H27)*24*60,"")</f>
        <v>720</v>
      </c>
      <c r="K27" s="26" t="s">
        <v>105</v>
      </c>
      <c r="L27" s="26" t="s">
        <v>102</v>
      </c>
      <c r="M27" s="26" t="s">
        <v>99</v>
      </c>
      <c r="N27" s="26" t="s">
        <v>100</v>
      </c>
      <c r="O27" s="26" t="n">
        <v>2</v>
      </c>
      <c r="P27" s="26" t="n">
        <v>72</v>
      </c>
      <c r="Q27" s="26" t="n">
        <f aca="false">IFERROR(3600/(P27/O27),"")</f>
        <v>100</v>
      </c>
      <c r="R27" s="26" t="n">
        <v>1111</v>
      </c>
      <c r="S27" s="26" t="n">
        <v>59</v>
      </c>
      <c r="T27" s="26" t="n">
        <f aca="false">IFERROR(J27-S27,"")</f>
        <v>661</v>
      </c>
      <c r="U27" s="26"/>
      <c r="V27" s="26"/>
      <c r="W27" s="26"/>
      <c r="X27" s="26"/>
      <c r="Y27" s="26"/>
      <c r="Z27" s="26" t="n">
        <v>7</v>
      </c>
      <c r="AA27" s="26"/>
      <c r="AB27" s="26"/>
      <c r="AC27" s="26" t="n">
        <v>4</v>
      </c>
      <c r="AD27" s="26"/>
      <c r="AE27" s="26" t="n">
        <v>8</v>
      </c>
      <c r="AF27" s="26" t="n">
        <f aca="false">SUM(U27:AE27)</f>
        <v>19</v>
      </c>
      <c r="AG27" s="26" t="n">
        <f aca="false">T27-AF27</f>
        <v>642</v>
      </c>
      <c r="AH27" s="28" t="n">
        <f aca="false">IFERROR(AG27/T27,"")</f>
        <v>0.97125567322239</v>
      </c>
      <c r="AI27" s="29" t="n">
        <f aca="false">IFERROR(R27/AG27*60,"")</f>
        <v>103.831775700935</v>
      </c>
      <c r="AJ27" s="30" t="n">
        <f aca="false">IFERROR(AI27/Q27,"")</f>
        <v>1.03831775700935</v>
      </c>
      <c r="AK27" s="31" t="n">
        <f aca="false">IFERROR(R27/(T27/60*Q27),"")</f>
        <v>1.00847201210287</v>
      </c>
      <c r="AL27" s="26" t="n">
        <v>1</v>
      </c>
      <c r="AM27" s="26"/>
      <c r="AN27" s="26"/>
      <c r="AO27" s="26"/>
      <c r="AP27" s="26" t="n">
        <v>1</v>
      </c>
      <c r="AQ27" s="26"/>
      <c r="AR27" s="26" t="n">
        <v>1</v>
      </c>
      <c r="AS27" s="26"/>
      <c r="AT27" s="26" t="n">
        <v>1</v>
      </c>
      <c r="AU27" s="26"/>
      <c r="AV27" s="26" t="n">
        <f aca="false">SUM(AL27:AU27)</f>
        <v>4</v>
      </c>
      <c r="AW27" s="32" t="n">
        <f aca="false">IFERROR(AV27/R27*1000000,"")</f>
        <v>3600.3600360036</v>
      </c>
      <c r="AX27" s="33" t="n">
        <f aca="false">IFERROR((R27-AV27)/R27,"")</f>
        <v>0.996399639963996</v>
      </c>
      <c r="AY27" s="34" t="n">
        <f aca="false">IFERROR(AH27*AJ27*AX27,"")</f>
        <v>1.00484114977307</v>
      </c>
      <c r="AZ27" s="35" t="s">
        <v>93</v>
      </c>
    </row>
    <row r="28" customFormat="false" ht="12.75" hidden="false" customHeight="true" outlineLevel="0" collapsed="false">
      <c r="A28" s="24" t="n">
        <v>24</v>
      </c>
      <c r="B28" s="25" t="n">
        <v>46030</v>
      </c>
      <c r="C28" s="25" t="n">
        <v>12</v>
      </c>
      <c r="D28" s="26" t="s">
        <v>87</v>
      </c>
      <c r="E28" s="26" t="s">
        <v>101</v>
      </c>
      <c r="F28" s="26" t="s">
        <v>81</v>
      </c>
      <c r="G28" s="26" t="s">
        <v>13</v>
      </c>
      <c r="H28" s="27" t="n">
        <v>0.354166666666667</v>
      </c>
      <c r="I28" s="27" t="n">
        <v>0.854166666666667</v>
      </c>
      <c r="J28" s="26" t="n">
        <f aca="false">IFERROR((I28-H28)*24*60,"")</f>
        <v>720</v>
      </c>
      <c r="K28" s="26" t="s">
        <v>82</v>
      </c>
      <c r="L28" s="26" t="s">
        <v>102</v>
      </c>
      <c r="M28" s="26" t="s">
        <v>103</v>
      </c>
      <c r="N28" s="26" t="s">
        <v>104</v>
      </c>
      <c r="O28" s="26" t="n">
        <v>8</v>
      </c>
      <c r="P28" s="26" t="n">
        <v>64</v>
      </c>
      <c r="Q28" s="26" t="n">
        <f aca="false">IFERROR(3600/(P28/O28),"")</f>
        <v>450</v>
      </c>
      <c r="R28" s="26" t="n">
        <v>4667</v>
      </c>
      <c r="S28" s="26" t="n">
        <v>73</v>
      </c>
      <c r="T28" s="26" t="n">
        <f aca="false">IFERROR(J28-S28,"")</f>
        <v>647</v>
      </c>
      <c r="U28" s="26"/>
      <c r="V28" s="26"/>
      <c r="W28" s="26"/>
      <c r="X28" s="26"/>
      <c r="Y28" s="26"/>
      <c r="Z28" s="26"/>
      <c r="AA28" s="26"/>
      <c r="AB28" s="26" t="n">
        <v>10</v>
      </c>
      <c r="AC28" s="26"/>
      <c r="AD28" s="26"/>
      <c r="AE28" s="26"/>
      <c r="AF28" s="26" t="n">
        <f aca="false">SUM(U28:AE28)</f>
        <v>10</v>
      </c>
      <c r="AG28" s="26" t="n">
        <f aca="false">T28-AF28</f>
        <v>637</v>
      </c>
      <c r="AH28" s="28" t="n">
        <f aca="false">IFERROR(AG28/T28,"")</f>
        <v>0.984544049459042</v>
      </c>
      <c r="AI28" s="29" t="n">
        <f aca="false">IFERROR(R28/AG28*60,"")</f>
        <v>439.591836734694</v>
      </c>
      <c r="AJ28" s="30" t="n">
        <f aca="false">IFERROR(AI28/Q28,"")</f>
        <v>0.97687074829932</v>
      </c>
      <c r="AK28" s="31" t="n">
        <f aca="false">IFERROR(R28/(T28/60*Q28),"")</f>
        <v>0.961772282328697</v>
      </c>
      <c r="AL28" s="26" t="n">
        <v>2</v>
      </c>
      <c r="AM28" s="26" t="n">
        <v>2</v>
      </c>
      <c r="AN28" s="26" t="n">
        <v>1</v>
      </c>
      <c r="AO28" s="26" t="n">
        <v>1</v>
      </c>
      <c r="AP28" s="26" t="n">
        <v>1</v>
      </c>
      <c r="AQ28" s="26" t="n">
        <v>1</v>
      </c>
      <c r="AR28" s="26" t="n">
        <v>1</v>
      </c>
      <c r="AS28" s="26" t="n">
        <v>1</v>
      </c>
      <c r="AT28" s="26" t="n">
        <v>1</v>
      </c>
      <c r="AU28" s="26" t="n">
        <v>1</v>
      </c>
      <c r="AV28" s="26" t="n">
        <f aca="false">SUM(AL28:AU28)</f>
        <v>12</v>
      </c>
      <c r="AW28" s="32" t="n">
        <f aca="false">IFERROR(AV28/R28*1000000,"")</f>
        <v>2571.24491107778</v>
      </c>
      <c r="AX28" s="33" t="n">
        <f aca="false">IFERROR((R28-AV28)/R28,"")</f>
        <v>0.997428755088922</v>
      </c>
      <c r="AY28" s="34" t="n">
        <f aca="false">IFERROR(AH28*AJ28*AX28,"")</f>
        <v>0.959299330242143</v>
      </c>
      <c r="AZ28" s="35" t="s">
        <v>78</v>
      </c>
    </row>
    <row r="29" customFormat="false" ht="12.75" hidden="false" customHeight="true" outlineLevel="0" collapsed="false">
      <c r="A29" s="24" t="n">
        <v>25</v>
      </c>
      <c r="B29" s="25" t="n">
        <v>46031</v>
      </c>
      <c r="C29" s="25" t="n">
        <v>12</v>
      </c>
      <c r="D29" s="26" t="s">
        <v>71</v>
      </c>
      <c r="E29" s="26" t="s">
        <v>72</v>
      </c>
      <c r="F29" s="26" t="s">
        <v>73</v>
      </c>
      <c r="G29" s="26" t="s">
        <v>8</v>
      </c>
      <c r="H29" s="27" t="n">
        <v>0.354166666666667</v>
      </c>
      <c r="I29" s="27" t="n">
        <v>0.854166666666667</v>
      </c>
      <c r="J29" s="26" t="n">
        <f aca="false">IFERROR((I29-H29)*24*60,"")</f>
        <v>720</v>
      </c>
      <c r="K29" s="26" t="s">
        <v>82</v>
      </c>
      <c r="L29" s="26" t="s">
        <v>75</v>
      </c>
      <c r="M29" s="26" t="s">
        <v>76</v>
      </c>
      <c r="N29" s="26" t="s">
        <v>77</v>
      </c>
      <c r="O29" s="26" t="n">
        <v>2</v>
      </c>
      <c r="P29" s="26" t="n">
        <v>48</v>
      </c>
      <c r="Q29" s="26" t="n">
        <f aca="false">IFERROR(3600/(P29/O29),"")</f>
        <v>150</v>
      </c>
      <c r="R29" s="26" t="n">
        <v>1400</v>
      </c>
      <c r="S29" s="26" t="n">
        <v>36</v>
      </c>
      <c r="T29" s="26" t="n">
        <f aca="false">IFERROR(J29-S29,"")</f>
        <v>684</v>
      </c>
      <c r="U29" s="26"/>
      <c r="V29" s="26"/>
      <c r="W29" s="26"/>
      <c r="X29" s="26"/>
      <c r="Y29" s="26"/>
      <c r="Z29" s="26"/>
      <c r="AA29" s="26" t="n">
        <v>25</v>
      </c>
      <c r="AB29" s="26"/>
      <c r="AC29" s="26"/>
      <c r="AD29" s="26"/>
      <c r="AE29" s="26" t="n">
        <v>15</v>
      </c>
      <c r="AF29" s="26" t="n">
        <f aca="false">SUM(U29:AE29)</f>
        <v>40</v>
      </c>
      <c r="AG29" s="26" t="n">
        <f aca="false">T29-AF29</f>
        <v>644</v>
      </c>
      <c r="AH29" s="28" t="n">
        <f aca="false">IFERROR(AG29/T29,"")</f>
        <v>0.941520467836257</v>
      </c>
      <c r="AI29" s="29" t="n">
        <f aca="false">IFERROR(R29/AG29*60,"")</f>
        <v>130.434782608696</v>
      </c>
      <c r="AJ29" s="30" t="n">
        <f aca="false">IFERROR(AI29/Q29,"")</f>
        <v>0.869565217391304</v>
      </c>
      <c r="AK29" s="31" t="n">
        <f aca="false">IFERROR(R29/(T29/60*Q29),"")</f>
        <v>0.818713450292398</v>
      </c>
      <c r="AL29" s="26" t="n">
        <v>1</v>
      </c>
      <c r="AM29" s="26"/>
      <c r="AN29" s="26"/>
      <c r="AO29" s="26"/>
      <c r="AP29" s="26" t="n">
        <v>1</v>
      </c>
      <c r="AQ29" s="26"/>
      <c r="AR29" s="26" t="n">
        <v>1</v>
      </c>
      <c r="AS29" s="26" t="n">
        <v>1</v>
      </c>
      <c r="AT29" s="26"/>
      <c r="AU29" s="26" t="n">
        <v>1</v>
      </c>
      <c r="AV29" s="26" t="n">
        <f aca="false">SUM(AL29:AU29)</f>
        <v>5</v>
      </c>
      <c r="AW29" s="32" t="n">
        <f aca="false">IFERROR(AV29/R29*1000000,"")</f>
        <v>3571.42857142857</v>
      </c>
      <c r="AX29" s="33" t="n">
        <f aca="false">IFERROR((R29-AV29)/R29,"")</f>
        <v>0.996428571428571</v>
      </c>
      <c r="AY29" s="34" t="n">
        <f aca="false">IFERROR(AH29*AJ29*AX29,"")</f>
        <v>0.815789473684211</v>
      </c>
      <c r="AZ29" s="35"/>
    </row>
    <row r="30" customFormat="false" ht="13.5" hidden="false" customHeight="true" outlineLevel="0" collapsed="false">
      <c r="A30" s="24" t="n">
        <v>26</v>
      </c>
      <c r="B30" s="25" t="n">
        <v>46031</v>
      </c>
      <c r="C30" s="25" t="n">
        <v>12</v>
      </c>
      <c r="D30" s="26" t="s">
        <v>79</v>
      </c>
      <c r="E30" s="26" t="s">
        <v>80</v>
      </c>
      <c r="F30" s="26" t="s">
        <v>81</v>
      </c>
      <c r="G30" s="26" t="s">
        <v>9</v>
      </c>
      <c r="H30" s="27" t="n">
        <v>0.354166666666667</v>
      </c>
      <c r="I30" s="27" t="n">
        <v>0.854166666666667</v>
      </c>
      <c r="J30" s="26" t="n">
        <f aca="false">IFERROR((I30-H30)*24*60,"")</f>
        <v>720</v>
      </c>
      <c r="K30" s="26" t="s">
        <v>82</v>
      </c>
      <c r="L30" s="26" t="s">
        <v>102</v>
      </c>
      <c r="M30" s="26" t="s">
        <v>84</v>
      </c>
      <c r="N30" s="26" t="s">
        <v>85</v>
      </c>
      <c r="O30" s="26" t="n">
        <v>4</v>
      </c>
      <c r="P30" s="26" t="n">
        <v>30</v>
      </c>
      <c r="Q30" s="26" t="n">
        <f aca="false">IFERROR(3600/(P30/O30),"")</f>
        <v>480</v>
      </c>
      <c r="R30" s="26" t="n">
        <v>5193</v>
      </c>
      <c r="S30" s="26" t="n">
        <v>58</v>
      </c>
      <c r="T30" s="26" t="n">
        <f aca="false">IFERROR(J30-S30,"")</f>
        <v>662</v>
      </c>
      <c r="U30" s="26" t="n">
        <v>8</v>
      </c>
      <c r="V30" s="26"/>
      <c r="W30" s="26"/>
      <c r="X30" s="26"/>
      <c r="Y30" s="26"/>
      <c r="Z30" s="26"/>
      <c r="AA30" s="26"/>
      <c r="AB30" s="26"/>
      <c r="AC30" s="26"/>
      <c r="AD30" s="26"/>
      <c r="AE30" s="26" t="n">
        <v>20</v>
      </c>
      <c r="AF30" s="26" t="n">
        <f aca="false">SUM(U30:AE30)</f>
        <v>28</v>
      </c>
      <c r="AG30" s="26" t="n">
        <f aca="false">T30-AF30</f>
        <v>634</v>
      </c>
      <c r="AH30" s="28" t="n">
        <f aca="false">IFERROR(AG30/T30,"")</f>
        <v>0.957703927492447</v>
      </c>
      <c r="AI30" s="29" t="n">
        <f aca="false">IFERROR(R30/AG30*60,"")</f>
        <v>491.451104100946</v>
      </c>
      <c r="AJ30" s="30" t="n">
        <f aca="false">IFERROR(AI30/Q30,"")</f>
        <v>1.02385646687697</v>
      </c>
      <c r="AK30" s="31" t="n">
        <f aca="false">IFERROR(R30/(T30/60*Q30),"")</f>
        <v>0.980551359516616</v>
      </c>
      <c r="AL30" s="26" t="n">
        <v>8</v>
      </c>
      <c r="AM30" s="26" t="n">
        <v>7</v>
      </c>
      <c r="AN30" s="26" t="n">
        <v>8</v>
      </c>
      <c r="AO30" s="26" t="n">
        <v>9</v>
      </c>
      <c r="AP30" s="26" t="n">
        <v>3</v>
      </c>
      <c r="AQ30" s="26" t="n">
        <v>5</v>
      </c>
      <c r="AR30" s="26" t="n">
        <v>1</v>
      </c>
      <c r="AS30" s="26" t="n">
        <v>4</v>
      </c>
      <c r="AT30" s="26" t="n">
        <v>5</v>
      </c>
      <c r="AU30" s="26" t="n">
        <v>7</v>
      </c>
      <c r="AV30" s="26" t="n">
        <f aca="false">SUM(AL30:AU30)</f>
        <v>57</v>
      </c>
      <c r="AW30" s="32" t="n">
        <f aca="false">IFERROR(AV30/R30*1000000,"")</f>
        <v>10976.3142692086</v>
      </c>
      <c r="AX30" s="33" t="n">
        <f aca="false">IFERROR((R30-AV30)/R30,"")</f>
        <v>0.989023685730792</v>
      </c>
      <c r="AY30" s="34" t="n">
        <f aca="false">IFERROR(AH30*AJ30*AX30,"")</f>
        <v>0.969788519637462</v>
      </c>
      <c r="AZ30" s="35" t="s">
        <v>78</v>
      </c>
    </row>
    <row r="31" customFormat="false" ht="12.75" hidden="false" customHeight="true" outlineLevel="0" collapsed="false">
      <c r="A31" s="24" t="n">
        <v>27</v>
      </c>
      <c r="B31" s="25" t="n">
        <v>46031</v>
      </c>
      <c r="C31" s="25" t="n">
        <v>12</v>
      </c>
      <c r="D31" s="26" t="s">
        <v>87</v>
      </c>
      <c r="E31" s="26" t="s">
        <v>88</v>
      </c>
      <c r="F31" s="26" t="s">
        <v>73</v>
      </c>
      <c r="G31" s="26" t="s">
        <v>10</v>
      </c>
      <c r="H31" s="27" t="n">
        <v>0.354166666666667</v>
      </c>
      <c r="I31" s="27" t="n">
        <v>0.854166666666667</v>
      </c>
      <c r="J31" s="26" t="n">
        <f aca="false">IFERROR((I31-H31)*24*60,"")</f>
        <v>720</v>
      </c>
      <c r="K31" s="26" t="s">
        <v>105</v>
      </c>
      <c r="L31" s="26" t="s">
        <v>83</v>
      </c>
      <c r="M31" s="26" t="s">
        <v>91</v>
      </c>
      <c r="N31" s="26" t="s">
        <v>92</v>
      </c>
      <c r="O31" s="26" t="n">
        <v>8</v>
      </c>
      <c r="P31" s="26" t="n">
        <v>51</v>
      </c>
      <c r="Q31" s="26" t="n">
        <f aca="false">IFERROR(3600/(P31/O31),"")</f>
        <v>564.705882352941</v>
      </c>
      <c r="R31" s="26" t="n">
        <v>5486</v>
      </c>
      <c r="S31" s="26" t="n">
        <v>33</v>
      </c>
      <c r="T31" s="26" t="n">
        <f aca="false">IFERROR(J31-S31,"")</f>
        <v>687</v>
      </c>
      <c r="U31" s="26"/>
      <c r="V31" s="26" t="n">
        <v>31</v>
      </c>
      <c r="W31" s="26"/>
      <c r="X31" s="26"/>
      <c r="Y31" s="26"/>
      <c r="Z31" s="26" t="n">
        <v>5</v>
      </c>
      <c r="AA31" s="26"/>
      <c r="AB31" s="26"/>
      <c r="AC31" s="26"/>
      <c r="AD31" s="26"/>
      <c r="AE31" s="26"/>
      <c r="AF31" s="26" t="n">
        <f aca="false">SUM(U31:AE31)</f>
        <v>36</v>
      </c>
      <c r="AG31" s="26" t="n">
        <f aca="false">T31-AF31</f>
        <v>651</v>
      </c>
      <c r="AH31" s="28" t="n">
        <f aca="false">IFERROR(AG31/T31,"")</f>
        <v>0.947598253275109</v>
      </c>
      <c r="AI31" s="29" t="n">
        <f aca="false">IFERROR(R31/AG31*60,"")</f>
        <v>505.622119815668</v>
      </c>
      <c r="AJ31" s="30" t="n">
        <f aca="false">IFERROR(AI31/Q31,"")</f>
        <v>0.895372503840246</v>
      </c>
      <c r="AK31" s="31" t="n">
        <f aca="false">IFERROR(R31/(T31/60*Q31),"")</f>
        <v>0.848453420669578</v>
      </c>
      <c r="AL31" s="26" t="n">
        <v>4</v>
      </c>
      <c r="AM31" s="26" t="n">
        <v>13</v>
      </c>
      <c r="AN31" s="26" t="n">
        <v>5</v>
      </c>
      <c r="AO31" s="26" t="n">
        <v>5</v>
      </c>
      <c r="AP31" s="26" t="n">
        <v>9</v>
      </c>
      <c r="AQ31" s="26" t="n">
        <v>13</v>
      </c>
      <c r="AR31" s="26" t="n">
        <v>11</v>
      </c>
      <c r="AS31" s="26" t="n">
        <v>5</v>
      </c>
      <c r="AT31" s="26" t="n">
        <v>11</v>
      </c>
      <c r="AU31" s="26" t="n">
        <v>11</v>
      </c>
      <c r="AV31" s="26" t="n">
        <f aca="false">SUM(AL31:AU31)</f>
        <v>87</v>
      </c>
      <c r="AW31" s="32" t="n">
        <f aca="false">IFERROR(AV31/R31*1000000,"")</f>
        <v>15858.5490339045</v>
      </c>
      <c r="AX31" s="33" t="n">
        <f aca="false">IFERROR((R31-AV31)/R31,"")</f>
        <v>0.984141450966096</v>
      </c>
      <c r="AY31" s="34" t="n">
        <f aca="false">IFERROR(AH31*AJ31*AX31,"")</f>
        <v>0.834998180494905</v>
      </c>
      <c r="AZ31" s="35" t="s">
        <v>86</v>
      </c>
    </row>
    <row r="32" customFormat="false" ht="12.75" hidden="false" customHeight="true" outlineLevel="0" collapsed="false">
      <c r="A32" s="24" t="n">
        <v>28</v>
      </c>
      <c r="B32" s="25" t="n">
        <v>46032</v>
      </c>
      <c r="C32" s="25" t="n">
        <v>12</v>
      </c>
      <c r="D32" s="26" t="s">
        <v>71</v>
      </c>
      <c r="E32" s="26" t="s">
        <v>94</v>
      </c>
      <c r="F32" s="26" t="s">
        <v>81</v>
      </c>
      <c r="G32" s="26" t="s">
        <v>11</v>
      </c>
      <c r="H32" s="27" t="n">
        <v>0.354166666666667</v>
      </c>
      <c r="I32" s="27" t="n">
        <v>0.854166666666667</v>
      </c>
      <c r="J32" s="26" t="n">
        <f aca="false">IFERROR((I32-H32)*24*60,"")</f>
        <v>720</v>
      </c>
      <c r="K32" s="26" t="s">
        <v>105</v>
      </c>
      <c r="L32" s="26" t="s">
        <v>90</v>
      </c>
      <c r="M32" s="26" t="s">
        <v>95</v>
      </c>
      <c r="N32" s="26" t="s">
        <v>96</v>
      </c>
      <c r="O32" s="26" t="n">
        <v>1</v>
      </c>
      <c r="P32" s="26" t="n">
        <v>33</v>
      </c>
      <c r="Q32" s="26" t="n">
        <f aca="false">IFERROR(3600/(P32/O32),"")</f>
        <v>109.090909090909</v>
      </c>
      <c r="R32" s="26" t="n">
        <v>1039</v>
      </c>
      <c r="S32" s="26" t="n">
        <v>66</v>
      </c>
      <c r="T32" s="26" t="n">
        <f aca="false">IFERROR(J32-S32,"")</f>
        <v>654</v>
      </c>
      <c r="U32" s="26"/>
      <c r="V32" s="26"/>
      <c r="W32" s="26"/>
      <c r="X32" s="26"/>
      <c r="Y32" s="26"/>
      <c r="Z32" s="26"/>
      <c r="AA32" s="26"/>
      <c r="AB32" s="26"/>
      <c r="AC32" s="26" t="n">
        <v>5</v>
      </c>
      <c r="AD32" s="26"/>
      <c r="AE32" s="26"/>
      <c r="AF32" s="26" t="n">
        <f aca="false">SUM(U32:AE32)</f>
        <v>5</v>
      </c>
      <c r="AG32" s="26" t="n">
        <f aca="false">T32-AF32</f>
        <v>649</v>
      </c>
      <c r="AH32" s="28" t="n">
        <f aca="false">IFERROR(AG32/T32,"")</f>
        <v>0.992354740061162</v>
      </c>
      <c r="AI32" s="29" t="n">
        <f aca="false">IFERROR(R32/AG32*60,"")</f>
        <v>96.055469953775</v>
      </c>
      <c r="AJ32" s="30" t="n">
        <f aca="false">IFERROR(AI32/Q32,"")</f>
        <v>0.880508474576271</v>
      </c>
      <c r="AK32" s="31" t="n">
        <f aca="false">IFERROR(R32/(T32/60*Q32),"")</f>
        <v>0.873776758409786</v>
      </c>
      <c r="AL32" s="26"/>
      <c r="AM32" s="26"/>
      <c r="AN32" s="26" t="n">
        <v>1</v>
      </c>
      <c r="AO32" s="26"/>
      <c r="AP32" s="26" t="n">
        <v>1</v>
      </c>
      <c r="AQ32" s="26" t="n">
        <v>3</v>
      </c>
      <c r="AR32" s="26" t="n">
        <v>1</v>
      </c>
      <c r="AS32" s="26" t="n">
        <v>1</v>
      </c>
      <c r="AT32" s="26"/>
      <c r="AU32" s="26"/>
      <c r="AV32" s="26" t="n">
        <f aca="false">SUM(AL32:AU32)</f>
        <v>7</v>
      </c>
      <c r="AW32" s="32" t="n">
        <f aca="false">IFERROR(AV32/R32*1000000,"")</f>
        <v>6737.24735322425</v>
      </c>
      <c r="AX32" s="33" t="n">
        <f aca="false">IFERROR((R32-AV32)/R32,"")</f>
        <v>0.993262752646776</v>
      </c>
      <c r="AY32" s="34" t="n">
        <f aca="false">IFERROR(AH32*AJ32*AX32,"")</f>
        <v>0.867889908256881</v>
      </c>
      <c r="AZ32" s="35" t="s">
        <v>86</v>
      </c>
    </row>
    <row r="33" customFormat="false" ht="12.75" hidden="false" customHeight="true" outlineLevel="0" collapsed="false">
      <c r="A33" s="24" t="n">
        <v>29</v>
      </c>
      <c r="B33" s="25" t="n">
        <v>46032</v>
      </c>
      <c r="C33" s="25" t="n">
        <v>12</v>
      </c>
      <c r="D33" s="26" t="s">
        <v>79</v>
      </c>
      <c r="E33" s="26" t="s">
        <v>97</v>
      </c>
      <c r="F33" s="26" t="s">
        <v>73</v>
      </c>
      <c r="G33" s="26" t="s">
        <v>12</v>
      </c>
      <c r="H33" s="27" t="n">
        <v>0.354166666666667</v>
      </c>
      <c r="I33" s="27" t="n">
        <v>0.854166666666667</v>
      </c>
      <c r="J33" s="26" t="n">
        <f aca="false">IFERROR((I33-H33)*24*60,"")</f>
        <v>720</v>
      </c>
      <c r="K33" s="26" t="s">
        <v>89</v>
      </c>
      <c r="L33" s="26" t="s">
        <v>98</v>
      </c>
      <c r="M33" s="26" t="s">
        <v>99</v>
      </c>
      <c r="N33" s="26" t="s">
        <v>100</v>
      </c>
      <c r="O33" s="26" t="n">
        <v>1</v>
      </c>
      <c r="P33" s="26" t="n">
        <v>41</v>
      </c>
      <c r="Q33" s="26" t="n">
        <f aca="false">IFERROR(3600/(P33/O33),"")</f>
        <v>87.8048780487805</v>
      </c>
      <c r="R33" s="26" t="n">
        <v>841</v>
      </c>
      <c r="S33" s="26" t="n">
        <v>40</v>
      </c>
      <c r="T33" s="26" t="n">
        <f aca="false">IFERROR(J33-S33,"")</f>
        <v>680</v>
      </c>
      <c r="U33" s="26"/>
      <c r="V33" s="26"/>
      <c r="W33" s="26"/>
      <c r="X33" s="26"/>
      <c r="Y33" s="26"/>
      <c r="Z33" s="26"/>
      <c r="AA33" s="26" t="n">
        <v>4</v>
      </c>
      <c r="AB33" s="26"/>
      <c r="AC33" s="26"/>
      <c r="AD33" s="26" t="n">
        <v>6</v>
      </c>
      <c r="AE33" s="26"/>
      <c r="AF33" s="26" t="n">
        <f aca="false">SUM(U33:AE33)</f>
        <v>10</v>
      </c>
      <c r="AG33" s="26" t="n">
        <f aca="false">T33-AF33</f>
        <v>670</v>
      </c>
      <c r="AH33" s="28" t="n">
        <f aca="false">IFERROR(AG33/T33,"")</f>
        <v>0.985294117647059</v>
      </c>
      <c r="AI33" s="29" t="n">
        <f aca="false">IFERROR(R33/AG33*60,"")</f>
        <v>75.3134328358209</v>
      </c>
      <c r="AJ33" s="30" t="n">
        <f aca="false">IFERROR(AI33/Q33,"")</f>
        <v>0.85773631840796</v>
      </c>
      <c r="AK33" s="31" t="n">
        <f aca="false">IFERROR(R33/(T33/60*Q33),"")</f>
        <v>0.845122549019608</v>
      </c>
      <c r="AL33" s="26"/>
      <c r="AM33" s="26" t="n">
        <v>2</v>
      </c>
      <c r="AN33" s="26"/>
      <c r="AO33" s="26"/>
      <c r="AP33" s="26" t="n">
        <v>1</v>
      </c>
      <c r="AQ33" s="26" t="n">
        <v>1</v>
      </c>
      <c r="AR33" s="26" t="n">
        <v>1</v>
      </c>
      <c r="AS33" s="26"/>
      <c r="AT33" s="26" t="n">
        <v>1</v>
      </c>
      <c r="AU33" s="26"/>
      <c r="AV33" s="26" t="n">
        <f aca="false">SUM(AL33:AU33)</f>
        <v>6</v>
      </c>
      <c r="AW33" s="32" t="n">
        <f aca="false">IFERROR(AV33/R33*1000000,"")</f>
        <v>7134.36385255648</v>
      </c>
      <c r="AX33" s="33" t="n">
        <f aca="false">IFERROR((R33-AV33)/R33,"")</f>
        <v>0.992865636147444</v>
      </c>
      <c r="AY33" s="34" t="n">
        <f aca="false">IFERROR(AH33*AJ33*AX33,"")</f>
        <v>0.839093137254902</v>
      </c>
      <c r="AZ33" s="35" t="s">
        <v>78</v>
      </c>
    </row>
    <row r="34" customFormat="false" ht="12.75" hidden="false" customHeight="true" outlineLevel="0" collapsed="false">
      <c r="A34" s="24" t="n">
        <v>30</v>
      </c>
      <c r="B34" s="25" t="n">
        <v>46032</v>
      </c>
      <c r="C34" s="25" t="n">
        <v>12</v>
      </c>
      <c r="D34" s="26" t="s">
        <v>87</v>
      </c>
      <c r="E34" s="26" t="s">
        <v>101</v>
      </c>
      <c r="F34" s="26" t="s">
        <v>81</v>
      </c>
      <c r="G34" s="26" t="s">
        <v>13</v>
      </c>
      <c r="H34" s="27" t="n">
        <v>0.354166666666667</v>
      </c>
      <c r="I34" s="27" t="n">
        <v>0.854166666666667</v>
      </c>
      <c r="J34" s="26" t="n">
        <f aca="false">IFERROR((I34-H34)*24*60,"")</f>
        <v>720</v>
      </c>
      <c r="K34" s="26" t="s">
        <v>89</v>
      </c>
      <c r="L34" s="26" t="s">
        <v>108</v>
      </c>
      <c r="M34" s="26" t="s">
        <v>103</v>
      </c>
      <c r="N34" s="26" t="s">
        <v>104</v>
      </c>
      <c r="O34" s="26" t="n">
        <v>1</v>
      </c>
      <c r="P34" s="26" t="n">
        <v>24</v>
      </c>
      <c r="Q34" s="26" t="n">
        <f aca="false">IFERROR(3600/(P34/O34),"")</f>
        <v>150</v>
      </c>
      <c r="R34" s="26" t="n">
        <v>1212</v>
      </c>
      <c r="S34" s="26" t="n">
        <v>44</v>
      </c>
      <c r="T34" s="26" t="n">
        <f aca="false">IFERROR(J34-S34,"")</f>
        <v>676</v>
      </c>
      <c r="U34" s="26"/>
      <c r="V34" s="26"/>
      <c r="W34" s="26" t="n">
        <v>27</v>
      </c>
      <c r="X34" s="26"/>
      <c r="Y34" s="26"/>
      <c r="Z34" s="26"/>
      <c r="AA34" s="26"/>
      <c r="AB34" s="26"/>
      <c r="AC34" s="26"/>
      <c r="AD34" s="26"/>
      <c r="AE34" s="26"/>
      <c r="AF34" s="26" t="n">
        <f aca="false">SUM(U34:AE34)</f>
        <v>27</v>
      </c>
      <c r="AG34" s="26" t="n">
        <f aca="false">T34-AF34</f>
        <v>649</v>
      </c>
      <c r="AH34" s="28" t="n">
        <f aca="false">IFERROR(AG34/T34,"")</f>
        <v>0.960059171597633</v>
      </c>
      <c r="AI34" s="29" t="n">
        <f aca="false">IFERROR(R34/AG34*60,"")</f>
        <v>112.049306625578</v>
      </c>
      <c r="AJ34" s="30" t="n">
        <f aca="false">IFERROR(AI34/Q34,"")</f>
        <v>0.746995377503852</v>
      </c>
      <c r="AK34" s="31" t="n">
        <f aca="false">IFERROR(R34/(T34/60*Q34),"")</f>
        <v>0.717159763313609</v>
      </c>
      <c r="AL34" s="26" t="n">
        <v>3</v>
      </c>
      <c r="AM34" s="26" t="n">
        <v>3</v>
      </c>
      <c r="AN34" s="26" t="n">
        <v>2</v>
      </c>
      <c r="AO34" s="26" t="n">
        <v>1</v>
      </c>
      <c r="AP34" s="26" t="n">
        <v>1</v>
      </c>
      <c r="AQ34" s="26" t="n">
        <v>3</v>
      </c>
      <c r="AR34" s="26" t="n">
        <v>4</v>
      </c>
      <c r="AS34" s="26" t="n">
        <v>2</v>
      </c>
      <c r="AT34" s="26" t="n">
        <v>3</v>
      </c>
      <c r="AU34" s="26" t="n">
        <v>1</v>
      </c>
      <c r="AV34" s="26" t="n">
        <f aca="false">SUM(AL34:AU34)</f>
        <v>23</v>
      </c>
      <c r="AW34" s="32" t="n">
        <f aca="false">IFERROR(AV34/R34*1000000,"")</f>
        <v>18976.897689769</v>
      </c>
      <c r="AX34" s="33" t="n">
        <f aca="false">IFERROR((R34-AV34)/R34,"")</f>
        <v>0.981023102310231</v>
      </c>
      <c r="AY34" s="34" t="n">
        <f aca="false">IFERROR(AH34*AJ34*AX34,"")</f>
        <v>0.703550295857988</v>
      </c>
      <c r="AZ34" s="35"/>
    </row>
    <row r="35" customFormat="false" ht="12.75" hidden="false" customHeight="true" outlineLevel="0" collapsed="false">
      <c r="A35" s="24" t="n">
        <v>31</v>
      </c>
      <c r="B35" s="25" t="n">
        <v>46033</v>
      </c>
      <c r="C35" s="25" t="n">
        <v>12</v>
      </c>
      <c r="D35" s="26" t="s">
        <v>71</v>
      </c>
      <c r="E35" s="26" t="s">
        <v>72</v>
      </c>
      <c r="F35" s="26" t="s">
        <v>73</v>
      </c>
      <c r="G35" s="26" t="s">
        <v>8</v>
      </c>
      <c r="H35" s="27" t="n">
        <v>0.354166666666667</v>
      </c>
      <c r="I35" s="27" t="n">
        <v>0.854166666666667</v>
      </c>
      <c r="J35" s="26" t="n">
        <f aca="false">IFERROR((I35-H35)*24*60,"")</f>
        <v>720</v>
      </c>
      <c r="K35" s="26" t="s">
        <v>105</v>
      </c>
      <c r="L35" s="26" t="s">
        <v>106</v>
      </c>
      <c r="M35" s="26" t="s">
        <v>76</v>
      </c>
      <c r="N35" s="26" t="s">
        <v>77</v>
      </c>
      <c r="O35" s="26" t="n">
        <v>8</v>
      </c>
      <c r="P35" s="26" t="n">
        <v>25</v>
      </c>
      <c r="Q35" s="26" t="n">
        <f aca="false">IFERROR(3600/(P35/O35),"")</f>
        <v>1152</v>
      </c>
      <c r="R35" s="26" t="n">
        <v>12924</v>
      </c>
      <c r="S35" s="26" t="n">
        <v>48</v>
      </c>
      <c r="T35" s="26" t="n">
        <f aca="false">IFERROR(J35-S35,"")</f>
        <v>672</v>
      </c>
      <c r="U35" s="26"/>
      <c r="V35" s="26"/>
      <c r="W35" s="26"/>
      <c r="X35" s="26"/>
      <c r="Y35" s="26"/>
      <c r="Z35" s="26"/>
      <c r="AA35" s="26"/>
      <c r="AB35" s="26" t="n">
        <v>12</v>
      </c>
      <c r="AC35" s="26"/>
      <c r="AD35" s="26"/>
      <c r="AE35" s="26"/>
      <c r="AF35" s="26" t="n">
        <f aca="false">SUM(U35:AE35)</f>
        <v>12</v>
      </c>
      <c r="AG35" s="26" t="n">
        <f aca="false">T35-AF35</f>
        <v>660</v>
      </c>
      <c r="AH35" s="28" t="n">
        <f aca="false">IFERROR(AG35/T35,"")</f>
        <v>0.982142857142857</v>
      </c>
      <c r="AI35" s="29" t="n">
        <f aca="false">IFERROR(R35/AG35*60,"")</f>
        <v>1174.90909090909</v>
      </c>
      <c r="AJ35" s="30" t="n">
        <f aca="false">IFERROR(AI35/Q35,"")</f>
        <v>1.01988636363636</v>
      </c>
      <c r="AK35" s="31" t="n">
        <f aca="false">IFERROR(R35/(T35/60*Q35),"")</f>
        <v>1.00167410714286</v>
      </c>
      <c r="AL35" s="26" t="n">
        <v>20</v>
      </c>
      <c r="AM35" s="26" t="n">
        <v>31</v>
      </c>
      <c r="AN35" s="26" t="n">
        <v>32</v>
      </c>
      <c r="AO35" s="26" t="n">
        <v>23</v>
      </c>
      <c r="AP35" s="26" t="n">
        <v>24</v>
      </c>
      <c r="AQ35" s="26" t="n">
        <v>32</v>
      </c>
      <c r="AR35" s="26" t="n">
        <v>23</v>
      </c>
      <c r="AS35" s="26" t="n">
        <v>29</v>
      </c>
      <c r="AT35" s="26" t="n">
        <v>29</v>
      </c>
      <c r="AU35" s="26" t="n">
        <v>30</v>
      </c>
      <c r="AV35" s="26" t="n">
        <f aca="false">SUM(AL35:AU35)</f>
        <v>273</v>
      </c>
      <c r="AW35" s="32" t="n">
        <f aca="false">IFERROR(AV35/R35*1000000,"")</f>
        <v>21123.4911792015</v>
      </c>
      <c r="AX35" s="33" t="n">
        <f aca="false">IFERROR((R35-AV35)/R35,"")</f>
        <v>0.978876508820799</v>
      </c>
      <c r="AY35" s="34" t="n">
        <f aca="false">IFERROR(AH35*AJ35*AX35,"")</f>
        <v>0.980515252976191</v>
      </c>
      <c r="AZ35" s="35" t="s">
        <v>78</v>
      </c>
    </row>
    <row r="36" customFormat="false" ht="12.75" hidden="false" customHeight="true" outlineLevel="0" collapsed="false">
      <c r="A36" s="24" t="n">
        <v>32</v>
      </c>
      <c r="B36" s="25" t="n">
        <v>46033</v>
      </c>
      <c r="C36" s="25" t="n">
        <v>12</v>
      </c>
      <c r="D36" s="26" t="s">
        <v>79</v>
      </c>
      <c r="E36" s="26" t="s">
        <v>80</v>
      </c>
      <c r="F36" s="26" t="s">
        <v>81</v>
      </c>
      <c r="G36" s="26" t="s">
        <v>9</v>
      </c>
      <c r="H36" s="27" t="n">
        <v>0.354166666666667</v>
      </c>
      <c r="I36" s="27" t="n">
        <v>0.854166666666667</v>
      </c>
      <c r="J36" s="26" t="n">
        <f aca="false">IFERROR((I36-H36)*24*60,"")</f>
        <v>720</v>
      </c>
      <c r="K36" s="26" t="s">
        <v>105</v>
      </c>
      <c r="L36" s="26" t="s">
        <v>106</v>
      </c>
      <c r="M36" s="26" t="s">
        <v>84</v>
      </c>
      <c r="N36" s="26" t="s">
        <v>85</v>
      </c>
      <c r="O36" s="26" t="n">
        <v>1</v>
      </c>
      <c r="P36" s="26" t="n">
        <v>48</v>
      </c>
      <c r="Q36" s="26" t="n">
        <f aca="false">IFERROR(3600/(P36/O36),"")</f>
        <v>75</v>
      </c>
      <c r="R36" s="26" t="n">
        <v>728</v>
      </c>
      <c r="S36" s="26" t="n">
        <v>63</v>
      </c>
      <c r="T36" s="26" t="n">
        <f aca="false">IFERROR(J36-S36,"")</f>
        <v>657</v>
      </c>
      <c r="U36" s="26"/>
      <c r="V36" s="26"/>
      <c r="W36" s="26"/>
      <c r="X36" s="26"/>
      <c r="Y36" s="26"/>
      <c r="Z36" s="26" t="n">
        <v>27</v>
      </c>
      <c r="AA36" s="26"/>
      <c r="AB36" s="26"/>
      <c r="AC36" s="26"/>
      <c r="AD36" s="26"/>
      <c r="AE36" s="26"/>
      <c r="AF36" s="26" t="n">
        <f aca="false">SUM(U36:AE36)</f>
        <v>27</v>
      </c>
      <c r="AG36" s="26" t="n">
        <f aca="false">T36-AF36</f>
        <v>630</v>
      </c>
      <c r="AH36" s="28" t="n">
        <f aca="false">IFERROR(AG36/T36,"")</f>
        <v>0.958904109589041</v>
      </c>
      <c r="AI36" s="29" t="n">
        <f aca="false">IFERROR(R36/AG36*60,"")</f>
        <v>69.3333333333333</v>
      </c>
      <c r="AJ36" s="30" t="n">
        <f aca="false">IFERROR(AI36/Q36,"")</f>
        <v>0.924444444444444</v>
      </c>
      <c r="AK36" s="31" t="n">
        <f aca="false">IFERROR(R36/(T36/60*Q36),"")</f>
        <v>0.886453576864536</v>
      </c>
      <c r="AL36" s="26" t="n">
        <v>1</v>
      </c>
      <c r="AM36" s="26" t="n">
        <v>1</v>
      </c>
      <c r="AN36" s="26"/>
      <c r="AO36" s="26" t="n">
        <v>1</v>
      </c>
      <c r="AP36" s="26"/>
      <c r="AQ36" s="26" t="n">
        <v>2</v>
      </c>
      <c r="AR36" s="26"/>
      <c r="AS36" s="26"/>
      <c r="AT36" s="26"/>
      <c r="AU36" s="26"/>
      <c r="AV36" s="26" t="n">
        <f aca="false">SUM(AL36:AU36)</f>
        <v>5</v>
      </c>
      <c r="AW36" s="32" t="n">
        <f aca="false">IFERROR(AV36/R36*1000000,"")</f>
        <v>6868.13186813187</v>
      </c>
      <c r="AX36" s="33" t="n">
        <f aca="false">IFERROR((R36-AV36)/R36,"")</f>
        <v>0.993131868131868</v>
      </c>
      <c r="AY36" s="34" t="n">
        <f aca="false">IFERROR(AH36*AJ36*AX36,"")</f>
        <v>0.880365296803653</v>
      </c>
      <c r="AZ36" s="35" t="s">
        <v>86</v>
      </c>
    </row>
    <row r="37" customFormat="false" ht="12.75" hidden="false" customHeight="true" outlineLevel="0" collapsed="false">
      <c r="A37" s="24" t="n">
        <v>33</v>
      </c>
      <c r="B37" s="25" t="n">
        <v>46033</v>
      </c>
      <c r="C37" s="25" t="n">
        <v>12</v>
      </c>
      <c r="D37" s="26" t="s">
        <v>87</v>
      </c>
      <c r="E37" s="26" t="s">
        <v>88</v>
      </c>
      <c r="F37" s="26" t="s">
        <v>73</v>
      </c>
      <c r="G37" s="26" t="s">
        <v>10</v>
      </c>
      <c r="H37" s="27" t="n">
        <v>0.354166666666667</v>
      </c>
      <c r="I37" s="27" t="n">
        <v>0.854166666666667</v>
      </c>
      <c r="J37" s="26" t="n">
        <f aca="false">IFERROR((I37-H37)*24*60,"")</f>
        <v>720</v>
      </c>
      <c r="K37" s="26" t="s">
        <v>82</v>
      </c>
      <c r="L37" s="26" t="s">
        <v>107</v>
      </c>
      <c r="M37" s="26" t="s">
        <v>91</v>
      </c>
      <c r="N37" s="26" t="s">
        <v>92</v>
      </c>
      <c r="O37" s="26" t="n">
        <v>4</v>
      </c>
      <c r="P37" s="26" t="n">
        <v>65</v>
      </c>
      <c r="Q37" s="26" t="n">
        <f aca="false">IFERROR(3600/(P37/O37),"")</f>
        <v>221.538461538462</v>
      </c>
      <c r="R37" s="26" t="n">
        <v>1817</v>
      </c>
      <c r="S37" s="26" t="n">
        <v>32</v>
      </c>
      <c r="T37" s="26" t="n">
        <f aca="false">IFERROR(J37-S37,"")</f>
        <v>688</v>
      </c>
      <c r="U37" s="26"/>
      <c r="V37" s="26" t="n">
        <v>30</v>
      </c>
      <c r="W37" s="26" t="n">
        <v>8</v>
      </c>
      <c r="X37" s="26"/>
      <c r="Y37" s="26"/>
      <c r="Z37" s="26"/>
      <c r="AA37" s="26"/>
      <c r="AB37" s="26" t="n">
        <v>17</v>
      </c>
      <c r="AC37" s="26"/>
      <c r="AD37" s="26"/>
      <c r="AE37" s="26"/>
      <c r="AF37" s="26" t="n">
        <f aca="false">SUM(U37:AE37)</f>
        <v>55</v>
      </c>
      <c r="AG37" s="26" t="n">
        <f aca="false">T37-AF37</f>
        <v>633</v>
      </c>
      <c r="AH37" s="28" t="n">
        <f aca="false">IFERROR(AG37/T37,"")</f>
        <v>0.920058139534884</v>
      </c>
      <c r="AI37" s="29" t="n">
        <f aca="false">IFERROR(R37/AG37*60,"")</f>
        <v>172.227488151659</v>
      </c>
      <c r="AJ37" s="30" t="n">
        <f aca="false">IFERROR(AI37/Q37,"")</f>
        <v>0.777415745129015</v>
      </c>
      <c r="AK37" s="31" t="n">
        <f aca="false">IFERROR(R37/(T37/60*Q37),"")</f>
        <v>0.715267684108527</v>
      </c>
      <c r="AL37" s="26" t="n">
        <v>5</v>
      </c>
      <c r="AM37" s="26" t="n">
        <v>1</v>
      </c>
      <c r="AN37" s="26" t="n">
        <v>1</v>
      </c>
      <c r="AO37" s="26" t="n">
        <v>3</v>
      </c>
      <c r="AP37" s="26" t="n">
        <v>5</v>
      </c>
      <c r="AQ37" s="26" t="n">
        <v>6</v>
      </c>
      <c r="AR37" s="26" t="n">
        <v>4</v>
      </c>
      <c r="AS37" s="26" t="n">
        <v>5</v>
      </c>
      <c r="AT37" s="26" t="n">
        <v>3</v>
      </c>
      <c r="AU37" s="26"/>
      <c r="AV37" s="26" t="n">
        <f aca="false">SUM(AL37:AU37)</f>
        <v>33</v>
      </c>
      <c r="AW37" s="32" t="n">
        <f aca="false">IFERROR(AV37/R37*1000000,"")</f>
        <v>18161.8051733627</v>
      </c>
      <c r="AX37" s="33" t="n">
        <f aca="false">IFERROR((R37-AV37)/R37,"")</f>
        <v>0.981838194826637</v>
      </c>
      <c r="AY37" s="34" t="n">
        <f aca="false">IFERROR(AH37*AJ37*AX37,"")</f>
        <v>0.702277131782946</v>
      </c>
      <c r="AZ37" s="35"/>
    </row>
    <row r="38" customFormat="false" ht="12.75" hidden="false" customHeight="true" outlineLevel="0" collapsed="false">
      <c r="A38" s="24" t="n">
        <v>34</v>
      </c>
      <c r="B38" s="25" t="n">
        <v>46034</v>
      </c>
      <c r="C38" s="25" t="n">
        <v>12</v>
      </c>
      <c r="D38" s="26" t="s">
        <v>71</v>
      </c>
      <c r="E38" s="26" t="s">
        <v>94</v>
      </c>
      <c r="F38" s="26" t="s">
        <v>81</v>
      </c>
      <c r="G38" s="26" t="s">
        <v>11</v>
      </c>
      <c r="H38" s="27" t="n">
        <v>0.354166666666667</v>
      </c>
      <c r="I38" s="27" t="n">
        <v>0.854166666666667</v>
      </c>
      <c r="J38" s="26" t="n">
        <f aca="false">IFERROR((I38-H38)*24*60,"")</f>
        <v>720</v>
      </c>
      <c r="K38" s="26" t="s">
        <v>74</v>
      </c>
      <c r="L38" s="26" t="s">
        <v>90</v>
      </c>
      <c r="M38" s="26" t="s">
        <v>95</v>
      </c>
      <c r="N38" s="26" t="s">
        <v>96</v>
      </c>
      <c r="O38" s="26" t="n">
        <v>2</v>
      </c>
      <c r="P38" s="26" t="n">
        <v>58</v>
      </c>
      <c r="Q38" s="26" t="n">
        <f aca="false">IFERROR(3600/(P38/O38),"")</f>
        <v>124.137931034483</v>
      </c>
      <c r="R38" s="26" t="n">
        <v>1047</v>
      </c>
      <c r="S38" s="26" t="n">
        <v>35</v>
      </c>
      <c r="T38" s="26" t="n">
        <f aca="false">IFERROR(J38-S38,"")</f>
        <v>685</v>
      </c>
      <c r="U38" s="26"/>
      <c r="V38" s="26"/>
      <c r="W38" s="26"/>
      <c r="X38" s="26"/>
      <c r="Y38" s="26"/>
      <c r="Z38" s="26" t="n">
        <v>5</v>
      </c>
      <c r="AA38" s="26"/>
      <c r="AB38" s="26"/>
      <c r="AC38" s="26"/>
      <c r="AD38" s="26"/>
      <c r="AE38" s="26"/>
      <c r="AF38" s="26" t="n">
        <f aca="false">SUM(U38:AE38)</f>
        <v>5</v>
      </c>
      <c r="AG38" s="26" t="n">
        <f aca="false">T38-AF38</f>
        <v>680</v>
      </c>
      <c r="AH38" s="28" t="n">
        <f aca="false">IFERROR(AG38/T38,"")</f>
        <v>0.992700729927007</v>
      </c>
      <c r="AI38" s="29" t="n">
        <f aca="false">IFERROR(R38/AG38*60,"")</f>
        <v>92.3823529411765</v>
      </c>
      <c r="AJ38" s="30" t="n">
        <f aca="false">IFERROR(AI38/Q38,"")</f>
        <v>0.744191176470588</v>
      </c>
      <c r="AK38" s="31" t="n">
        <f aca="false">IFERROR(R38/(T38/60*Q38),"")</f>
        <v>0.738759124087591</v>
      </c>
      <c r="AL38" s="26" t="n">
        <v>2</v>
      </c>
      <c r="AM38" s="26" t="n">
        <v>1</v>
      </c>
      <c r="AN38" s="26" t="n">
        <v>1</v>
      </c>
      <c r="AO38" s="26"/>
      <c r="AP38" s="26" t="n">
        <v>2</v>
      </c>
      <c r="AQ38" s="26" t="n">
        <v>3</v>
      </c>
      <c r="AR38" s="26" t="n">
        <v>3</v>
      </c>
      <c r="AS38" s="26" t="n">
        <v>3</v>
      </c>
      <c r="AT38" s="26" t="n">
        <v>1</v>
      </c>
      <c r="AU38" s="26" t="n">
        <v>2</v>
      </c>
      <c r="AV38" s="26" t="n">
        <f aca="false">SUM(AL38:AU38)</f>
        <v>18</v>
      </c>
      <c r="AW38" s="32" t="n">
        <f aca="false">IFERROR(AV38/R38*1000000,"")</f>
        <v>17191.9770773639</v>
      </c>
      <c r="AX38" s="33" t="n">
        <f aca="false">IFERROR((R38-AV38)/R38,"")</f>
        <v>0.982808022922636</v>
      </c>
      <c r="AY38" s="34" t="n">
        <f aca="false">IFERROR(AH38*AJ38*AX38,"")</f>
        <v>0.726058394160584</v>
      </c>
      <c r="AZ38" s="35" t="s">
        <v>86</v>
      </c>
    </row>
    <row r="39" customFormat="false" ht="12.75" hidden="false" customHeight="true" outlineLevel="0" collapsed="false">
      <c r="A39" s="24" t="n">
        <v>35</v>
      </c>
      <c r="B39" s="25" t="n">
        <v>46034</v>
      </c>
      <c r="C39" s="25" t="n">
        <v>12</v>
      </c>
      <c r="D39" s="26" t="s">
        <v>79</v>
      </c>
      <c r="E39" s="26" t="s">
        <v>97</v>
      </c>
      <c r="F39" s="26" t="s">
        <v>73</v>
      </c>
      <c r="G39" s="26" t="s">
        <v>12</v>
      </c>
      <c r="H39" s="27" t="n">
        <v>0.354166666666667</v>
      </c>
      <c r="I39" s="27" t="n">
        <v>0.854166666666667</v>
      </c>
      <c r="J39" s="26" t="n">
        <f aca="false">IFERROR((I39-H39)*24*60,"")</f>
        <v>720</v>
      </c>
      <c r="K39" s="26" t="s">
        <v>74</v>
      </c>
      <c r="L39" s="26" t="s">
        <v>107</v>
      </c>
      <c r="M39" s="26" t="s">
        <v>99</v>
      </c>
      <c r="N39" s="26" t="s">
        <v>100</v>
      </c>
      <c r="O39" s="26" t="n">
        <v>1</v>
      </c>
      <c r="P39" s="26" t="n">
        <v>32</v>
      </c>
      <c r="Q39" s="26" t="n">
        <f aca="false">IFERROR(3600/(P39/O39),"")</f>
        <v>112.5</v>
      </c>
      <c r="R39" s="26" t="n">
        <v>815</v>
      </c>
      <c r="S39" s="26" t="n">
        <v>68</v>
      </c>
      <c r="T39" s="26" t="n">
        <f aca="false">IFERROR(J39-S39,"")</f>
        <v>652</v>
      </c>
      <c r="U39" s="26" t="n">
        <v>37</v>
      </c>
      <c r="V39" s="26"/>
      <c r="W39" s="26"/>
      <c r="X39" s="26"/>
      <c r="Y39" s="26"/>
      <c r="Z39" s="26" t="n">
        <v>14</v>
      </c>
      <c r="AA39" s="26"/>
      <c r="AB39" s="26"/>
      <c r="AC39" s="26"/>
      <c r="AD39" s="26" t="n">
        <v>15</v>
      </c>
      <c r="AE39" s="26"/>
      <c r="AF39" s="26" t="n">
        <f aca="false">SUM(U39:AE39)</f>
        <v>66</v>
      </c>
      <c r="AG39" s="26" t="n">
        <f aca="false">T39-AF39</f>
        <v>586</v>
      </c>
      <c r="AH39" s="28" t="n">
        <f aca="false">IFERROR(AG39/T39,"")</f>
        <v>0.898773006134969</v>
      </c>
      <c r="AI39" s="29" t="n">
        <f aca="false">IFERROR(R39/AG39*60,"")</f>
        <v>83.4470989761092</v>
      </c>
      <c r="AJ39" s="30" t="n">
        <f aca="false">IFERROR(AI39/Q39,"")</f>
        <v>0.741751990898749</v>
      </c>
      <c r="AK39" s="31" t="n">
        <f aca="false">IFERROR(R39/(T39/60*Q39),"")</f>
        <v>0.666666666666667</v>
      </c>
      <c r="AL39" s="26"/>
      <c r="AM39" s="26" t="n">
        <v>1</v>
      </c>
      <c r="AN39" s="26" t="n">
        <v>1</v>
      </c>
      <c r="AO39" s="26"/>
      <c r="AP39" s="26" t="n">
        <v>1</v>
      </c>
      <c r="AQ39" s="26" t="n">
        <v>4</v>
      </c>
      <c r="AR39" s="26" t="n">
        <v>1</v>
      </c>
      <c r="AS39" s="26" t="n">
        <v>2</v>
      </c>
      <c r="AT39" s="26" t="n">
        <v>1</v>
      </c>
      <c r="AU39" s="26" t="n">
        <v>1</v>
      </c>
      <c r="AV39" s="26" t="n">
        <f aca="false">SUM(AL39:AU39)</f>
        <v>12</v>
      </c>
      <c r="AW39" s="32" t="n">
        <f aca="false">IFERROR(AV39/R39*1000000,"")</f>
        <v>14723.9263803681</v>
      </c>
      <c r="AX39" s="33" t="n">
        <f aca="false">IFERROR((R39-AV39)/R39,"")</f>
        <v>0.985276073619632</v>
      </c>
      <c r="AY39" s="34" t="n">
        <f aca="false">IFERROR(AH39*AJ39*AX39,"")</f>
        <v>0.656850715746421</v>
      </c>
      <c r="AZ39" s="35" t="s">
        <v>78</v>
      </c>
    </row>
    <row r="40" customFormat="false" ht="12.75" hidden="false" customHeight="true" outlineLevel="0" collapsed="false">
      <c r="A40" s="24" t="n">
        <v>36</v>
      </c>
      <c r="B40" s="25" t="n">
        <v>46034</v>
      </c>
      <c r="C40" s="25" t="n">
        <v>12</v>
      </c>
      <c r="D40" s="26" t="s">
        <v>87</v>
      </c>
      <c r="E40" s="26" t="s">
        <v>101</v>
      </c>
      <c r="F40" s="26" t="s">
        <v>81</v>
      </c>
      <c r="G40" s="26" t="s">
        <v>13</v>
      </c>
      <c r="H40" s="27" t="n">
        <v>0.354166666666667</v>
      </c>
      <c r="I40" s="27" t="n">
        <v>0.854166666666667</v>
      </c>
      <c r="J40" s="26" t="n">
        <f aca="false">IFERROR((I40-H40)*24*60,"")</f>
        <v>720</v>
      </c>
      <c r="K40" s="26" t="s">
        <v>82</v>
      </c>
      <c r="L40" s="26" t="s">
        <v>106</v>
      </c>
      <c r="M40" s="26" t="s">
        <v>103</v>
      </c>
      <c r="N40" s="26" t="s">
        <v>104</v>
      </c>
      <c r="O40" s="26" t="n">
        <v>8</v>
      </c>
      <c r="P40" s="26" t="n">
        <v>59</v>
      </c>
      <c r="Q40" s="26" t="n">
        <f aca="false">IFERROR(3600/(P40/O40),"")</f>
        <v>488.135593220339</v>
      </c>
      <c r="R40" s="26" t="n">
        <v>3741</v>
      </c>
      <c r="S40" s="26" t="n">
        <v>41</v>
      </c>
      <c r="T40" s="26" t="n">
        <f aca="false">IFERROR(J40-S40,"")</f>
        <v>679</v>
      </c>
      <c r="U40" s="26"/>
      <c r="V40" s="26"/>
      <c r="W40" s="26"/>
      <c r="X40" s="26" t="n">
        <v>31</v>
      </c>
      <c r="Y40" s="26"/>
      <c r="Z40" s="26"/>
      <c r="AA40" s="26"/>
      <c r="AB40" s="26" t="n">
        <v>12</v>
      </c>
      <c r="AC40" s="26"/>
      <c r="AD40" s="26"/>
      <c r="AE40" s="26"/>
      <c r="AF40" s="26" t="n">
        <f aca="false">SUM(U40:AE40)</f>
        <v>43</v>
      </c>
      <c r="AG40" s="26" t="n">
        <f aca="false">T40-AF40</f>
        <v>636</v>
      </c>
      <c r="AH40" s="28" t="n">
        <f aca="false">IFERROR(AG40/T40,"")</f>
        <v>0.936671575846834</v>
      </c>
      <c r="AI40" s="29" t="n">
        <f aca="false">IFERROR(R40/AG40*60,"")</f>
        <v>352.924528301887</v>
      </c>
      <c r="AJ40" s="30" t="n">
        <f aca="false">IFERROR(AI40/Q40,"")</f>
        <v>0.723005110062893</v>
      </c>
      <c r="AK40" s="31" t="n">
        <f aca="false">IFERROR(R40/(T40/60*Q40),"")</f>
        <v>0.677218335787924</v>
      </c>
      <c r="AL40" s="26" t="n">
        <v>1</v>
      </c>
      <c r="AM40" s="26" t="n">
        <v>4</v>
      </c>
      <c r="AN40" s="26" t="n">
        <v>5</v>
      </c>
      <c r="AO40" s="26" t="n">
        <v>3</v>
      </c>
      <c r="AP40" s="26" t="n">
        <v>2</v>
      </c>
      <c r="AQ40" s="26" t="n">
        <v>3</v>
      </c>
      <c r="AR40" s="26"/>
      <c r="AS40" s="26" t="n">
        <v>3</v>
      </c>
      <c r="AT40" s="26" t="n">
        <v>3</v>
      </c>
      <c r="AU40" s="26"/>
      <c r="AV40" s="26" t="n">
        <f aca="false">SUM(AL40:AU40)</f>
        <v>24</v>
      </c>
      <c r="AW40" s="32" t="n">
        <f aca="false">IFERROR(AV40/R40*1000000,"")</f>
        <v>6415.39695268645</v>
      </c>
      <c r="AX40" s="33" t="n">
        <f aca="false">IFERROR((R40-AV40)/R40,"")</f>
        <v>0.993584603047314</v>
      </c>
      <c r="AY40" s="34" t="n">
        <f aca="false">IFERROR(AH40*AJ40*AX40,"")</f>
        <v>0.672873711340206</v>
      </c>
      <c r="AZ40" s="35"/>
    </row>
    <row r="41" customFormat="false" ht="12.75" hidden="false" customHeight="true" outlineLevel="0" collapsed="false">
      <c r="A41" s="24" t="n">
        <v>37</v>
      </c>
      <c r="B41" s="25" t="n">
        <v>46035</v>
      </c>
      <c r="C41" s="25" t="n">
        <v>12</v>
      </c>
      <c r="D41" s="26" t="s">
        <v>71</v>
      </c>
      <c r="E41" s="26" t="s">
        <v>72</v>
      </c>
      <c r="F41" s="26" t="s">
        <v>73</v>
      </c>
      <c r="G41" s="26" t="s">
        <v>8</v>
      </c>
      <c r="H41" s="27" t="n">
        <v>0.354166666666667</v>
      </c>
      <c r="I41" s="27" t="n">
        <v>0.854166666666667</v>
      </c>
      <c r="J41" s="26" t="n">
        <f aca="false">IFERROR((I41-H41)*24*60,"")</f>
        <v>720</v>
      </c>
      <c r="K41" s="26" t="s">
        <v>82</v>
      </c>
      <c r="L41" s="26" t="s">
        <v>83</v>
      </c>
      <c r="M41" s="26" t="s">
        <v>76</v>
      </c>
      <c r="N41" s="26" t="s">
        <v>77</v>
      </c>
      <c r="O41" s="26" t="n">
        <v>1</v>
      </c>
      <c r="P41" s="26" t="n">
        <v>28</v>
      </c>
      <c r="Q41" s="26" t="n">
        <f aca="false">IFERROR(3600/(P41/O41),"")</f>
        <v>128.571428571429</v>
      </c>
      <c r="R41" s="26" t="n">
        <v>1108</v>
      </c>
      <c r="S41" s="26" t="n">
        <v>65</v>
      </c>
      <c r="T41" s="26" t="n">
        <f aca="false">IFERROR(J41-S41,"")</f>
        <v>655</v>
      </c>
      <c r="U41" s="26"/>
      <c r="V41" s="26"/>
      <c r="W41" s="26"/>
      <c r="X41" s="26"/>
      <c r="Y41" s="26"/>
      <c r="Z41" s="26"/>
      <c r="AA41" s="26" t="n">
        <v>6</v>
      </c>
      <c r="AB41" s="26"/>
      <c r="AC41" s="26" t="n">
        <v>10</v>
      </c>
      <c r="AD41" s="26" t="n">
        <v>10</v>
      </c>
      <c r="AE41" s="26"/>
      <c r="AF41" s="26" t="n">
        <f aca="false">SUM(U41:AE41)</f>
        <v>26</v>
      </c>
      <c r="AG41" s="26" t="n">
        <f aca="false">T41-AF41</f>
        <v>629</v>
      </c>
      <c r="AH41" s="28" t="n">
        <f aca="false">IFERROR(AG41/T41,"")</f>
        <v>0.96030534351145</v>
      </c>
      <c r="AI41" s="29" t="n">
        <f aca="false">IFERROR(R41/AG41*60,"")</f>
        <v>105.691573926868</v>
      </c>
      <c r="AJ41" s="30" t="n">
        <f aca="false">IFERROR(AI41/Q41,"")</f>
        <v>0.822045574986751</v>
      </c>
      <c r="AK41" s="31" t="n">
        <f aca="false">IFERROR(R41/(T41/60*Q41),"")</f>
        <v>0.78941475826972</v>
      </c>
      <c r="AL41" s="26"/>
      <c r="AM41" s="26" t="n">
        <v>1</v>
      </c>
      <c r="AN41" s="26"/>
      <c r="AO41" s="26"/>
      <c r="AP41" s="26"/>
      <c r="AQ41" s="26" t="n">
        <v>1</v>
      </c>
      <c r="AR41" s="26"/>
      <c r="AS41" s="26" t="n">
        <v>2</v>
      </c>
      <c r="AT41" s="26"/>
      <c r="AU41" s="26"/>
      <c r="AV41" s="26" t="n">
        <f aca="false">SUM(AL41:AU41)</f>
        <v>4</v>
      </c>
      <c r="AW41" s="32" t="n">
        <f aca="false">IFERROR(AV41/R41*1000000,"")</f>
        <v>3610.1083032491</v>
      </c>
      <c r="AX41" s="33" t="n">
        <f aca="false">IFERROR((R41-AV41)/R41,"")</f>
        <v>0.996389891696751</v>
      </c>
      <c r="AY41" s="34" t="n">
        <f aca="false">IFERROR(AH41*AJ41*AX41,"")</f>
        <v>0.786564885496183</v>
      </c>
      <c r="AZ41" s="35" t="s">
        <v>86</v>
      </c>
    </row>
    <row r="42" customFormat="false" ht="12.75" hidden="false" customHeight="true" outlineLevel="0" collapsed="false">
      <c r="A42" s="24" t="n">
        <v>38</v>
      </c>
      <c r="B42" s="25" t="n">
        <v>46035</v>
      </c>
      <c r="C42" s="25" t="n">
        <v>12</v>
      </c>
      <c r="D42" s="26" t="s">
        <v>79</v>
      </c>
      <c r="E42" s="26" t="s">
        <v>80</v>
      </c>
      <c r="F42" s="26" t="s">
        <v>81</v>
      </c>
      <c r="G42" s="26" t="s">
        <v>9</v>
      </c>
      <c r="H42" s="27" t="n">
        <v>0.354166666666667</v>
      </c>
      <c r="I42" s="27" t="n">
        <v>0.854166666666667</v>
      </c>
      <c r="J42" s="26" t="n">
        <f aca="false">IFERROR((I42-H42)*24*60,"")</f>
        <v>720</v>
      </c>
      <c r="K42" s="26" t="s">
        <v>105</v>
      </c>
      <c r="L42" s="26" t="s">
        <v>83</v>
      </c>
      <c r="M42" s="26" t="s">
        <v>84</v>
      </c>
      <c r="N42" s="26" t="s">
        <v>85</v>
      </c>
      <c r="O42" s="26" t="n">
        <v>1</v>
      </c>
      <c r="P42" s="26" t="n">
        <v>31</v>
      </c>
      <c r="Q42" s="26" t="n">
        <f aca="false">IFERROR(3600/(P42/O42),"")</f>
        <v>116.129032258065</v>
      </c>
      <c r="R42" s="26" t="n">
        <v>1063</v>
      </c>
      <c r="S42" s="26" t="n">
        <v>38</v>
      </c>
      <c r="T42" s="26" t="n">
        <f aca="false">IFERROR(J42-S42,"")</f>
        <v>682</v>
      </c>
      <c r="U42" s="26"/>
      <c r="V42" s="26"/>
      <c r="W42" s="26" t="n">
        <v>8</v>
      </c>
      <c r="X42" s="26" t="n">
        <v>13</v>
      </c>
      <c r="Y42" s="26"/>
      <c r="Z42" s="26"/>
      <c r="AA42" s="26"/>
      <c r="AB42" s="26"/>
      <c r="AC42" s="26"/>
      <c r="AD42" s="26"/>
      <c r="AE42" s="26"/>
      <c r="AF42" s="26" t="n">
        <f aca="false">SUM(U42:AE42)</f>
        <v>21</v>
      </c>
      <c r="AG42" s="26" t="n">
        <f aca="false">T42-AF42</f>
        <v>661</v>
      </c>
      <c r="AH42" s="28" t="n">
        <f aca="false">IFERROR(AG42/T42,"")</f>
        <v>0.969208211143695</v>
      </c>
      <c r="AI42" s="29" t="n">
        <f aca="false">IFERROR(R42/AG42*60,"")</f>
        <v>96.4901664145234</v>
      </c>
      <c r="AJ42" s="30" t="n">
        <f aca="false">IFERROR(AI42/Q42,"")</f>
        <v>0.830887544125063</v>
      </c>
      <c r="AK42" s="31" t="n">
        <f aca="false">IFERROR(R42/(T42/60*Q42),"")</f>
        <v>0.80530303030303</v>
      </c>
      <c r="AL42" s="26"/>
      <c r="AM42" s="26" t="n">
        <v>1</v>
      </c>
      <c r="AN42" s="26" t="n">
        <v>1</v>
      </c>
      <c r="AO42" s="26" t="n">
        <v>1</v>
      </c>
      <c r="AP42" s="26" t="n">
        <v>4</v>
      </c>
      <c r="AQ42" s="26"/>
      <c r="AR42" s="26"/>
      <c r="AS42" s="26"/>
      <c r="AT42" s="26" t="n">
        <v>2</v>
      </c>
      <c r="AU42" s="26" t="n">
        <v>1</v>
      </c>
      <c r="AV42" s="26" t="n">
        <f aca="false">SUM(AL42:AU42)</f>
        <v>10</v>
      </c>
      <c r="AW42" s="32" t="n">
        <f aca="false">IFERROR(AV42/R42*1000000,"")</f>
        <v>9407.33772342427</v>
      </c>
      <c r="AX42" s="33" t="n">
        <f aca="false">IFERROR((R42-AV42)/R42,"")</f>
        <v>0.990592662276576</v>
      </c>
      <c r="AY42" s="34" t="n">
        <f aca="false">IFERROR(AH42*AJ42*AX42,"")</f>
        <v>0.797727272727273</v>
      </c>
      <c r="AZ42" s="35" t="s">
        <v>86</v>
      </c>
    </row>
    <row r="43" customFormat="false" ht="12.75" hidden="false" customHeight="true" outlineLevel="0" collapsed="false">
      <c r="A43" s="24" t="n">
        <v>39</v>
      </c>
      <c r="B43" s="25" t="n">
        <v>46035</v>
      </c>
      <c r="C43" s="25" t="n">
        <v>12</v>
      </c>
      <c r="D43" s="26" t="s">
        <v>87</v>
      </c>
      <c r="E43" s="26" t="s">
        <v>88</v>
      </c>
      <c r="F43" s="26" t="s">
        <v>73</v>
      </c>
      <c r="G43" s="26" t="s">
        <v>10</v>
      </c>
      <c r="H43" s="27" t="n">
        <v>0.354166666666667</v>
      </c>
      <c r="I43" s="27" t="n">
        <v>0.854166666666667</v>
      </c>
      <c r="J43" s="26" t="n">
        <f aca="false">IFERROR((I43-H43)*24*60,"")</f>
        <v>720</v>
      </c>
      <c r="K43" s="26" t="s">
        <v>89</v>
      </c>
      <c r="L43" s="26" t="s">
        <v>108</v>
      </c>
      <c r="M43" s="26" t="s">
        <v>91</v>
      </c>
      <c r="N43" s="26" t="s">
        <v>92</v>
      </c>
      <c r="O43" s="26" t="n">
        <v>1</v>
      </c>
      <c r="P43" s="26" t="n">
        <v>25</v>
      </c>
      <c r="Q43" s="26" t="n">
        <f aca="false">IFERROR(3600/(P43/O43),"")</f>
        <v>144</v>
      </c>
      <c r="R43" s="26" t="n">
        <v>1123</v>
      </c>
      <c r="S43" s="26" t="n">
        <v>40</v>
      </c>
      <c r="T43" s="26" t="n">
        <f aca="false">IFERROR(J43-S43,"")</f>
        <v>680</v>
      </c>
      <c r="U43" s="26"/>
      <c r="V43" s="26"/>
      <c r="W43" s="26"/>
      <c r="X43" s="26" t="n">
        <v>13</v>
      </c>
      <c r="Y43" s="26" t="n">
        <v>21</v>
      </c>
      <c r="Z43" s="26"/>
      <c r="AA43" s="26"/>
      <c r="AB43" s="26"/>
      <c r="AC43" s="26"/>
      <c r="AD43" s="26" t="n">
        <v>19</v>
      </c>
      <c r="AE43" s="26"/>
      <c r="AF43" s="26" t="n">
        <f aca="false">SUM(U43:AE43)</f>
        <v>53</v>
      </c>
      <c r="AG43" s="26" t="n">
        <f aca="false">T43-AF43</f>
        <v>627</v>
      </c>
      <c r="AH43" s="28" t="n">
        <f aca="false">IFERROR(AG43/T43,"")</f>
        <v>0.922058823529412</v>
      </c>
      <c r="AI43" s="29" t="n">
        <f aca="false">IFERROR(R43/AG43*60,"")</f>
        <v>107.464114832536</v>
      </c>
      <c r="AJ43" s="30" t="n">
        <f aca="false">IFERROR(AI43/Q43,"")</f>
        <v>0.746278575225944</v>
      </c>
      <c r="AK43" s="31" t="n">
        <f aca="false">IFERROR(R43/(T43/60*Q43),"")</f>
        <v>0.688112745098039</v>
      </c>
      <c r="AL43" s="26" t="n">
        <v>2</v>
      </c>
      <c r="AM43" s="26" t="n">
        <v>1</v>
      </c>
      <c r="AN43" s="26" t="n">
        <v>1</v>
      </c>
      <c r="AO43" s="26" t="n">
        <v>1</v>
      </c>
      <c r="AP43" s="26" t="n">
        <v>3</v>
      </c>
      <c r="AQ43" s="26"/>
      <c r="AR43" s="26" t="n">
        <v>1</v>
      </c>
      <c r="AS43" s="26" t="n">
        <v>3</v>
      </c>
      <c r="AT43" s="26" t="n">
        <v>1</v>
      </c>
      <c r="AU43" s="26"/>
      <c r="AV43" s="26" t="n">
        <f aca="false">SUM(AL43:AU43)</f>
        <v>13</v>
      </c>
      <c r="AW43" s="32" t="n">
        <f aca="false">IFERROR(AV43/R43*1000000,"")</f>
        <v>11576.1353517364</v>
      </c>
      <c r="AX43" s="33" t="n">
        <f aca="false">IFERROR((R43-AV43)/R43,"")</f>
        <v>0.988423864648264</v>
      </c>
      <c r="AY43" s="34" t="n">
        <f aca="false">IFERROR(AH43*AJ43*AX43,"")</f>
        <v>0.680147058823529</v>
      </c>
      <c r="AZ43" s="35"/>
    </row>
    <row r="44" customFormat="false" ht="12.75" hidden="false" customHeight="true" outlineLevel="0" collapsed="false">
      <c r="A44" s="24" t="n">
        <v>40</v>
      </c>
      <c r="B44" s="25" t="n">
        <v>46036</v>
      </c>
      <c r="C44" s="25" t="n">
        <v>12</v>
      </c>
      <c r="D44" s="26" t="s">
        <v>71</v>
      </c>
      <c r="E44" s="26" t="s">
        <v>94</v>
      </c>
      <c r="F44" s="26" t="s">
        <v>81</v>
      </c>
      <c r="G44" s="26" t="s">
        <v>11</v>
      </c>
      <c r="H44" s="27" t="n">
        <v>0.354166666666667</v>
      </c>
      <c r="I44" s="27" t="n">
        <v>0.854166666666667</v>
      </c>
      <c r="J44" s="26" t="n">
        <f aca="false">IFERROR((I44-H44)*24*60,"")</f>
        <v>720</v>
      </c>
      <c r="K44" s="26" t="s">
        <v>89</v>
      </c>
      <c r="L44" s="26" t="s">
        <v>98</v>
      </c>
      <c r="M44" s="26" t="s">
        <v>95</v>
      </c>
      <c r="N44" s="26" t="s">
        <v>96</v>
      </c>
      <c r="O44" s="26" t="n">
        <v>4</v>
      </c>
      <c r="P44" s="26" t="n">
        <v>62</v>
      </c>
      <c r="Q44" s="26" t="n">
        <f aca="false">IFERROR(3600/(P44/O44),"")</f>
        <v>232.258064516129</v>
      </c>
      <c r="R44" s="26" t="n">
        <v>1856</v>
      </c>
      <c r="S44" s="26" t="n">
        <v>59</v>
      </c>
      <c r="T44" s="26" t="n">
        <f aca="false">IFERROR(J44-S44,"")</f>
        <v>661</v>
      </c>
      <c r="U44" s="26"/>
      <c r="V44" s="26"/>
      <c r="W44" s="26" t="n">
        <v>9</v>
      </c>
      <c r="X44" s="26"/>
      <c r="Y44" s="26"/>
      <c r="Z44" s="26" t="n">
        <v>27</v>
      </c>
      <c r="AA44" s="26"/>
      <c r="AB44" s="26"/>
      <c r="AC44" s="26"/>
      <c r="AD44" s="26"/>
      <c r="AE44" s="26"/>
      <c r="AF44" s="26" t="n">
        <f aca="false">SUM(U44:AE44)</f>
        <v>36</v>
      </c>
      <c r="AG44" s="26" t="n">
        <f aca="false">T44-AF44</f>
        <v>625</v>
      </c>
      <c r="AH44" s="28" t="n">
        <f aca="false">IFERROR(AG44/T44,"")</f>
        <v>0.94553706505295</v>
      </c>
      <c r="AI44" s="29" t="n">
        <f aca="false">IFERROR(R44/AG44*60,"")</f>
        <v>178.176</v>
      </c>
      <c r="AJ44" s="30" t="n">
        <f aca="false">IFERROR(AI44/Q44,"")</f>
        <v>0.767146666666667</v>
      </c>
      <c r="AK44" s="31" t="n">
        <f aca="false">IFERROR(R44/(T44/60*Q44),"")</f>
        <v>0.725365607665154</v>
      </c>
      <c r="AL44" s="26" t="n">
        <v>1</v>
      </c>
      <c r="AM44" s="26" t="n">
        <v>3</v>
      </c>
      <c r="AN44" s="26" t="n">
        <v>3</v>
      </c>
      <c r="AO44" s="26" t="n">
        <v>4</v>
      </c>
      <c r="AP44" s="26" t="n">
        <v>2</v>
      </c>
      <c r="AQ44" s="26" t="n">
        <v>3</v>
      </c>
      <c r="AR44" s="26" t="n">
        <v>2</v>
      </c>
      <c r="AS44" s="26" t="n">
        <v>4</v>
      </c>
      <c r="AT44" s="26" t="n">
        <v>1</v>
      </c>
      <c r="AU44" s="26" t="n">
        <v>2</v>
      </c>
      <c r="AV44" s="26" t="n">
        <f aca="false">SUM(AL44:AU44)</f>
        <v>25</v>
      </c>
      <c r="AW44" s="32" t="n">
        <f aca="false">IFERROR(AV44/R44*1000000,"")</f>
        <v>13469.8275862069</v>
      </c>
      <c r="AX44" s="33" t="n">
        <f aca="false">IFERROR((R44-AV44)/R44,"")</f>
        <v>0.986530172413793</v>
      </c>
      <c r="AY44" s="34" t="n">
        <f aca="false">IFERROR(AH44*AJ44*AX44,"")</f>
        <v>0.71559505799294</v>
      </c>
      <c r="AZ44" s="35"/>
    </row>
    <row r="45" customFormat="false" ht="12.75" hidden="false" customHeight="true" outlineLevel="0" collapsed="false">
      <c r="A45" s="24" t="n">
        <v>41</v>
      </c>
      <c r="B45" s="25" t="n">
        <v>46036</v>
      </c>
      <c r="C45" s="25" t="n">
        <v>12</v>
      </c>
      <c r="D45" s="26" t="s">
        <v>79</v>
      </c>
      <c r="E45" s="26" t="s">
        <v>97</v>
      </c>
      <c r="F45" s="26" t="s">
        <v>73</v>
      </c>
      <c r="G45" s="26" t="s">
        <v>12</v>
      </c>
      <c r="H45" s="27" t="n">
        <v>0.354166666666667</v>
      </c>
      <c r="I45" s="27" t="n">
        <v>0.854166666666667</v>
      </c>
      <c r="J45" s="26" t="n">
        <f aca="false">IFERROR((I45-H45)*24*60,"")</f>
        <v>720</v>
      </c>
      <c r="K45" s="26" t="s">
        <v>82</v>
      </c>
      <c r="L45" s="26" t="s">
        <v>102</v>
      </c>
      <c r="M45" s="26" t="s">
        <v>99</v>
      </c>
      <c r="N45" s="26" t="s">
        <v>100</v>
      </c>
      <c r="O45" s="26" t="n">
        <v>8</v>
      </c>
      <c r="P45" s="26" t="n">
        <v>56</v>
      </c>
      <c r="Q45" s="26" t="n">
        <f aca="false">IFERROR(3600/(P45/O45),"")</f>
        <v>514.285714285714</v>
      </c>
      <c r="R45" s="26" t="n">
        <v>4986</v>
      </c>
      <c r="S45" s="26" t="n">
        <v>31</v>
      </c>
      <c r="T45" s="26" t="n">
        <f aca="false">IFERROR(J45-S45,"")</f>
        <v>689</v>
      </c>
      <c r="U45" s="26"/>
      <c r="V45" s="26"/>
      <c r="W45" s="26"/>
      <c r="X45" s="26"/>
      <c r="Y45" s="26"/>
      <c r="Z45" s="26"/>
      <c r="AA45" s="26"/>
      <c r="AB45" s="26"/>
      <c r="AC45" s="26"/>
      <c r="AD45" s="26" t="n">
        <v>6</v>
      </c>
      <c r="AE45" s="26"/>
      <c r="AF45" s="26" t="n">
        <f aca="false">SUM(U45:AE45)</f>
        <v>6</v>
      </c>
      <c r="AG45" s="26" t="n">
        <f aca="false">T45-AF45</f>
        <v>683</v>
      </c>
      <c r="AH45" s="28" t="n">
        <f aca="false">IFERROR(AG45/T45,"")</f>
        <v>0.991291727140784</v>
      </c>
      <c r="AI45" s="29" t="n">
        <f aca="false">IFERROR(R45/AG45*60,"")</f>
        <v>438.00878477306</v>
      </c>
      <c r="AJ45" s="30" t="n">
        <f aca="false">IFERROR(AI45/Q45,"")</f>
        <v>0.851683748169839</v>
      </c>
      <c r="AK45" s="31" t="n">
        <f aca="false">IFERROR(R45/(T45/60*Q45),"")</f>
        <v>0.844267053701016</v>
      </c>
      <c r="AL45" s="26" t="n">
        <v>7</v>
      </c>
      <c r="AM45" s="26" t="n">
        <v>4</v>
      </c>
      <c r="AN45" s="26" t="n">
        <v>4</v>
      </c>
      <c r="AO45" s="26" t="n">
        <v>2</v>
      </c>
      <c r="AP45" s="26" t="n">
        <v>5</v>
      </c>
      <c r="AQ45" s="26" t="n">
        <v>6</v>
      </c>
      <c r="AR45" s="26" t="n">
        <v>6</v>
      </c>
      <c r="AS45" s="26" t="n">
        <v>3</v>
      </c>
      <c r="AT45" s="26" t="n">
        <v>8</v>
      </c>
      <c r="AU45" s="26" t="n">
        <v>5</v>
      </c>
      <c r="AV45" s="26" t="n">
        <f aca="false">SUM(AL45:AU45)</f>
        <v>50</v>
      </c>
      <c r="AW45" s="32" t="n">
        <f aca="false">IFERROR(AV45/R45*1000000,"")</f>
        <v>10028.0786201364</v>
      </c>
      <c r="AX45" s="33" t="n">
        <f aca="false">IFERROR((R45-AV45)/R45,"")</f>
        <v>0.989971921379864</v>
      </c>
      <c r="AY45" s="34" t="n">
        <f aca="false">IFERROR(AH45*AJ45*AX45,"")</f>
        <v>0.835800677310111</v>
      </c>
      <c r="AZ45" s="35"/>
    </row>
    <row r="46" customFormat="false" ht="12.75" hidden="false" customHeight="true" outlineLevel="0" collapsed="false">
      <c r="A46" s="24" t="n">
        <v>42</v>
      </c>
      <c r="B46" s="25" t="n">
        <v>46036</v>
      </c>
      <c r="C46" s="25" t="n">
        <v>12</v>
      </c>
      <c r="D46" s="26" t="s">
        <v>87</v>
      </c>
      <c r="E46" s="26" t="s">
        <v>101</v>
      </c>
      <c r="F46" s="26" t="s">
        <v>81</v>
      </c>
      <c r="G46" s="26" t="s">
        <v>13</v>
      </c>
      <c r="H46" s="27" t="n">
        <v>0.354166666666667</v>
      </c>
      <c r="I46" s="27" t="n">
        <v>0.854166666666667</v>
      </c>
      <c r="J46" s="26" t="n">
        <f aca="false">IFERROR((I46-H46)*24*60,"")</f>
        <v>720</v>
      </c>
      <c r="K46" s="26" t="s">
        <v>89</v>
      </c>
      <c r="L46" s="26" t="s">
        <v>83</v>
      </c>
      <c r="M46" s="26" t="s">
        <v>103</v>
      </c>
      <c r="N46" s="26" t="s">
        <v>104</v>
      </c>
      <c r="O46" s="26" t="n">
        <v>2</v>
      </c>
      <c r="P46" s="26" t="n">
        <v>44</v>
      </c>
      <c r="Q46" s="26" t="n">
        <f aca="false">IFERROR(3600/(P46/O46),"")</f>
        <v>163.636363636364</v>
      </c>
      <c r="R46" s="26" t="n">
        <v>1697</v>
      </c>
      <c r="S46" s="26" t="n">
        <v>39</v>
      </c>
      <c r="T46" s="26" t="n">
        <f aca="false">IFERROR(J46-S46,"")</f>
        <v>681</v>
      </c>
      <c r="U46" s="26"/>
      <c r="V46" s="26"/>
      <c r="W46" s="26"/>
      <c r="X46" s="26"/>
      <c r="Y46" s="26" t="n">
        <v>22</v>
      </c>
      <c r="Z46" s="26"/>
      <c r="AA46" s="26" t="n">
        <v>13</v>
      </c>
      <c r="AB46" s="26"/>
      <c r="AC46" s="26"/>
      <c r="AD46" s="26"/>
      <c r="AE46" s="26"/>
      <c r="AF46" s="26" t="n">
        <f aca="false">SUM(U46:AE46)</f>
        <v>35</v>
      </c>
      <c r="AG46" s="26" t="n">
        <f aca="false">T46-AF46</f>
        <v>646</v>
      </c>
      <c r="AH46" s="28" t="n">
        <f aca="false">IFERROR(AG46/T46,"")</f>
        <v>0.948604992657856</v>
      </c>
      <c r="AI46" s="29" t="n">
        <f aca="false">IFERROR(R46/AG46*60,"")</f>
        <v>157.616099071207</v>
      </c>
      <c r="AJ46" s="30" t="n">
        <f aca="false">IFERROR(AI46/Q46,"")</f>
        <v>0.963209494324046</v>
      </c>
      <c r="AK46" s="31" t="n">
        <f aca="false">IFERROR(R46/(T46/60*Q46),"")</f>
        <v>0.913705335291239</v>
      </c>
      <c r="AL46" s="26" t="n">
        <v>3</v>
      </c>
      <c r="AM46" s="26" t="n">
        <v>1</v>
      </c>
      <c r="AN46" s="26" t="n">
        <v>1</v>
      </c>
      <c r="AO46" s="26" t="n">
        <v>1</v>
      </c>
      <c r="AP46" s="26" t="n">
        <v>3</v>
      </c>
      <c r="AQ46" s="26" t="n">
        <v>2</v>
      </c>
      <c r="AR46" s="26" t="n">
        <v>1</v>
      </c>
      <c r="AS46" s="26" t="n">
        <v>4</v>
      </c>
      <c r="AT46" s="26" t="n">
        <v>4</v>
      </c>
      <c r="AU46" s="26" t="n">
        <v>6</v>
      </c>
      <c r="AV46" s="26" t="n">
        <f aca="false">SUM(AL46:AU46)</f>
        <v>26</v>
      </c>
      <c r="AW46" s="32" t="n">
        <f aca="false">IFERROR(AV46/R46*1000000,"")</f>
        <v>15321.1549793754</v>
      </c>
      <c r="AX46" s="33" t="n">
        <f aca="false">IFERROR((R46-AV46)/R46,"")</f>
        <v>0.984678845020625</v>
      </c>
      <c r="AY46" s="34" t="n">
        <f aca="false">IFERROR(AH46*AJ46*AX46,"")</f>
        <v>0.899706314243759</v>
      </c>
      <c r="AZ46" s="35" t="s">
        <v>86</v>
      </c>
    </row>
    <row r="47" customFormat="false" ht="12.75" hidden="false" customHeight="true" outlineLevel="0" collapsed="false">
      <c r="A47" s="24" t="n">
        <v>43</v>
      </c>
      <c r="B47" s="25" t="n">
        <v>46037</v>
      </c>
      <c r="C47" s="25" t="n">
        <v>12</v>
      </c>
      <c r="D47" s="26" t="s">
        <v>71</v>
      </c>
      <c r="E47" s="26" t="s">
        <v>72</v>
      </c>
      <c r="F47" s="26" t="s">
        <v>73</v>
      </c>
      <c r="G47" s="26" t="s">
        <v>8</v>
      </c>
      <c r="H47" s="27" t="n">
        <v>0.354166666666667</v>
      </c>
      <c r="I47" s="27" t="n">
        <v>0.854166666666667</v>
      </c>
      <c r="J47" s="26" t="n">
        <f aca="false">IFERROR((I47-H47)*24*60,"")</f>
        <v>720</v>
      </c>
      <c r="K47" s="26" t="s">
        <v>82</v>
      </c>
      <c r="L47" s="26" t="s">
        <v>102</v>
      </c>
      <c r="M47" s="26" t="s">
        <v>76</v>
      </c>
      <c r="N47" s="26" t="s">
        <v>77</v>
      </c>
      <c r="O47" s="26" t="n">
        <v>2</v>
      </c>
      <c r="P47" s="26" t="n">
        <v>25</v>
      </c>
      <c r="Q47" s="26" t="n">
        <f aca="false">IFERROR(3600/(P47/O47),"")</f>
        <v>288</v>
      </c>
      <c r="R47" s="26" t="n">
        <v>2758</v>
      </c>
      <c r="S47" s="26" t="n">
        <v>32</v>
      </c>
      <c r="T47" s="26" t="n">
        <f aca="false">IFERROR(J47-S47,"")</f>
        <v>688</v>
      </c>
      <c r="U47" s="26"/>
      <c r="V47" s="26"/>
      <c r="W47" s="26"/>
      <c r="X47" s="26" t="n">
        <v>8</v>
      </c>
      <c r="Y47" s="26"/>
      <c r="Z47" s="26"/>
      <c r="AA47" s="26" t="n">
        <v>5</v>
      </c>
      <c r="AB47" s="26"/>
      <c r="AC47" s="26"/>
      <c r="AD47" s="26"/>
      <c r="AE47" s="26"/>
      <c r="AF47" s="26" t="n">
        <f aca="false">SUM(U47:AE47)</f>
        <v>13</v>
      </c>
      <c r="AG47" s="26" t="n">
        <f aca="false">T47-AF47</f>
        <v>675</v>
      </c>
      <c r="AH47" s="28" t="n">
        <f aca="false">IFERROR(AG47/T47,"")</f>
        <v>0.981104651162791</v>
      </c>
      <c r="AI47" s="29" t="n">
        <f aca="false">IFERROR(R47/AG47*60,"")</f>
        <v>245.155555555556</v>
      </c>
      <c r="AJ47" s="30" t="n">
        <f aca="false">IFERROR(AI47/Q47,"")</f>
        <v>0.851234567901235</v>
      </c>
      <c r="AK47" s="31" t="n">
        <f aca="false">IFERROR(R47/(T47/60*Q47),"")</f>
        <v>0.83515019379845</v>
      </c>
      <c r="AL47" s="26" t="n">
        <v>1</v>
      </c>
      <c r="AM47" s="26"/>
      <c r="AN47" s="26" t="n">
        <v>2</v>
      </c>
      <c r="AO47" s="26" t="n">
        <v>5</v>
      </c>
      <c r="AP47" s="26" t="n">
        <v>5</v>
      </c>
      <c r="AQ47" s="26" t="n">
        <v>4</v>
      </c>
      <c r="AR47" s="26" t="n">
        <v>1</v>
      </c>
      <c r="AS47" s="26" t="n">
        <v>5</v>
      </c>
      <c r="AT47" s="26" t="n">
        <v>6</v>
      </c>
      <c r="AU47" s="26" t="n">
        <v>2</v>
      </c>
      <c r="AV47" s="26" t="n">
        <f aca="false">SUM(AL47:AU47)</f>
        <v>31</v>
      </c>
      <c r="AW47" s="32" t="n">
        <f aca="false">IFERROR(AV47/R47*1000000,"")</f>
        <v>11240.0290065265</v>
      </c>
      <c r="AX47" s="33" t="n">
        <f aca="false">IFERROR((R47-AV47)/R47,"")</f>
        <v>0.988759970993474</v>
      </c>
      <c r="AY47" s="34" t="n">
        <f aca="false">IFERROR(AH47*AJ47*AX47,"")</f>
        <v>0.825763081395349</v>
      </c>
      <c r="AZ47" s="35" t="s">
        <v>93</v>
      </c>
    </row>
    <row r="48" customFormat="false" ht="12.75" hidden="false" customHeight="true" outlineLevel="0" collapsed="false">
      <c r="A48" s="24" t="n">
        <v>44</v>
      </c>
      <c r="B48" s="25" t="n">
        <v>46037</v>
      </c>
      <c r="C48" s="25" t="n">
        <v>12</v>
      </c>
      <c r="D48" s="26" t="s">
        <v>79</v>
      </c>
      <c r="E48" s="26" t="s">
        <v>80</v>
      </c>
      <c r="F48" s="26" t="s">
        <v>81</v>
      </c>
      <c r="G48" s="26" t="s">
        <v>9</v>
      </c>
      <c r="H48" s="27" t="n">
        <v>0.354166666666667</v>
      </c>
      <c r="I48" s="27" t="n">
        <v>0.854166666666667</v>
      </c>
      <c r="J48" s="26" t="n">
        <f aca="false">IFERROR((I48-H48)*24*60,"")</f>
        <v>720</v>
      </c>
      <c r="K48" s="26" t="s">
        <v>105</v>
      </c>
      <c r="L48" s="26" t="s">
        <v>75</v>
      </c>
      <c r="M48" s="26" t="s">
        <v>84</v>
      </c>
      <c r="N48" s="26" t="s">
        <v>85</v>
      </c>
      <c r="O48" s="26" t="n">
        <v>4</v>
      </c>
      <c r="P48" s="26" t="n">
        <v>31</v>
      </c>
      <c r="Q48" s="26" t="n">
        <f aca="false">IFERROR(3600/(P48/O48),"")</f>
        <v>464.516129032258</v>
      </c>
      <c r="R48" s="26" t="n">
        <v>4293</v>
      </c>
      <c r="S48" s="26" t="n">
        <v>65</v>
      </c>
      <c r="T48" s="26" t="n">
        <f aca="false">IFERROR(J48-S48,"")</f>
        <v>655</v>
      </c>
      <c r="U48" s="26"/>
      <c r="V48" s="26"/>
      <c r="W48" s="26" t="n">
        <v>8</v>
      </c>
      <c r="X48" s="26"/>
      <c r="Y48" s="26" t="n">
        <v>22</v>
      </c>
      <c r="Z48" s="26"/>
      <c r="AA48" s="26" t="n">
        <v>15</v>
      </c>
      <c r="AB48" s="26"/>
      <c r="AC48" s="26"/>
      <c r="AD48" s="26"/>
      <c r="AE48" s="26"/>
      <c r="AF48" s="26" t="n">
        <f aca="false">SUM(U48:AE48)</f>
        <v>45</v>
      </c>
      <c r="AG48" s="26" t="n">
        <f aca="false">T48-AF48</f>
        <v>610</v>
      </c>
      <c r="AH48" s="28" t="n">
        <f aca="false">IFERROR(AG48/T48,"")</f>
        <v>0.931297709923664</v>
      </c>
      <c r="AI48" s="29" t="n">
        <f aca="false">IFERROR(R48/AG48*60,"")</f>
        <v>422.262295081967</v>
      </c>
      <c r="AJ48" s="30" t="n">
        <f aca="false">IFERROR(AI48/Q48,"")</f>
        <v>0.909036885245902</v>
      </c>
      <c r="AK48" s="31" t="n">
        <f aca="false">IFERROR(R48/(T48/60*Q48),"")</f>
        <v>0.846583969465649</v>
      </c>
      <c r="AL48" s="26"/>
      <c r="AM48" s="26" t="n">
        <v>1</v>
      </c>
      <c r="AN48" s="26" t="n">
        <v>1</v>
      </c>
      <c r="AO48" s="26" t="n">
        <v>2</v>
      </c>
      <c r="AP48" s="26" t="n">
        <v>3</v>
      </c>
      <c r="AQ48" s="26" t="n">
        <v>1</v>
      </c>
      <c r="AR48" s="26"/>
      <c r="AS48" s="26" t="n">
        <v>2</v>
      </c>
      <c r="AT48" s="26" t="n">
        <v>2</v>
      </c>
      <c r="AU48" s="26"/>
      <c r="AV48" s="26" t="n">
        <f aca="false">SUM(AL48:AU48)</f>
        <v>12</v>
      </c>
      <c r="AW48" s="32" t="n">
        <f aca="false">IFERROR(AV48/R48*1000000,"")</f>
        <v>2795.24807826695</v>
      </c>
      <c r="AX48" s="33" t="n">
        <f aca="false">IFERROR((R48-AV48)/R48,"")</f>
        <v>0.997204751921733</v>
      </c>
      <c r="AY48" s="34" t="n">
        <f aca="false">IFERROR(AH48*AJ48*AX48,"")</f>
        <v>0.844217557251909</v>
      </c>
      <c r="AZ48" s="35" t="s">
        <v>86</v>
      </c>
    </row>
    <row r="49" customFormat="false" ht="12.75" hidden="false" customHeight="true" outlineLevel="0" collapsed="false">
      <c r="A49" s="24" t="n">
        <v>45</v>
      </c>
      <c r="B49" s="25" t="n">
        <v>46037</v>
      </c>
      <c r="C49" s="25" t="n">
        <v>12</v>
      </c>
      <c r="D49" s="26" t="s">
        <v>87</v>
      </c>
      <c r="E49" s="26" t="s">
        <v>88</v>
      </c>
      <c r="F49" s="26" t="s">
        <v>73</v>
      </c>
      <c r="G49" s="26" t="s">
        <v>10</v>
      </c>
      <c r="H49" s="27" t="n">
        <v>0.354166666666667</v>
      </c>
      <c r="I49" s="27" t="n">
        <v>0.854166666666667</v>
      </c>
      <c r="J49" s="26" t="n">
        <f aca="false">IFERROR((I49-H49)*24*60,"")</f>
        <v>720</v>
      </c>
      <c r="K49" s="26" t="s">
        <v>105</v>
      </c>
      <c r="L49" s="26" t="s">
        <v>83</v>
      </c>
      <c r="M49" s="26" t="s">
        <v>91</v>
      </c>
      <c r="N49" s="26" t="s">
        <v>92</v>
      </c>
      <c r="O49" s="26" t="n">
        <v>2</v>
      </c>
      <c r="P49" s="26" t="n">
        <v>64</v>
      </c>
      <c r="Q49" s="26" t="n">
        <f aca="false">IFERROR(3600/(P49/O49),"")</f>
        <v>112.5</v>
      </c>
      <c r="R49" s="26" t="n">
        <v>911</v>
      </c>
      <c r="S49" s="26" t="n">
        <v>33</v>
      </c>
      <c r="T49" s="26" t="n">
        <f aca="false">IFERROR(J49-S49,"")</f>
        <v>687</v>
      </c>
      <c r="U49" s="26"/>
      <c r="V49" s="26"/>
      <c r="W49" s="26"/>
      <c r="X49" s="26"/>
      <c r="Y49" s="26"/>
      <c r="Z49" s="26" t="n">
        <v>29</v>
      </c>
      <c r="AA49" s="26"/>
      <c r="AB49" s="26"/>
      <c r="AC49" s="26"/>
      <c r="AD49" s="26"/>
      <c r="AE49" s="26"/>
      <c r="AF49" s="26" t="n">
        <f aca="false">SUM(U49:AE49)</f>
        <v>29</v>
      </c>
      <c r="AG49" s="26" t="n">
        <f aca="false">T49-AF49</f>
        <v>658</v>
      </c>
      <c r="AH49" s="28" t="n">
        <f aca="false">IFERROR(AG49/T49,"")</f>
        <v>0.957787481804949</v>
      </c>
      <c r="AI49" s="29" t="n">
        <f aca="false">IFERROR(R49/AG49*60,"")</f>
        <v>83.0699088145897</v>
      </c>
      <c r="AJ49" s="30" t="n">
        <f aca="false">IFERROR(AI49/Q49,"")</f>
        <v>0.738399189463019</v>
      </c>
      <c r="AK49" s="31" t="n">
        <f aca="false">IFERROR(R49/(T49/60*Q49),"")</f>
        <v>0.707229500242601</v>
      </c>
      <c r="AL49" s="26" t="n">
        <v>2</v>
      </c>
      <c r="AM49" s="26" t="n">
        <v>2</v>
      </c>
      <c r="AN49" s="26" t="n">
        <v>2</v>
      </c>
      <c r="AO49" s="26" t="n">
        <v>2</v>
      </c>
      <c r="AP49" s="26" t="n">
        <v>2</v>
      </c>
      <c r="AQ49" s="26" t="n">
        <v>1</v>
      </c>
      <c r="AR49" s="26" t="n">
        <v>1</v>
      </c>
      <c r="AS49" s="26" t="n">
        <v>2</v>
      </c>
      <c r="AT49" s="26" t="n">
        <v>1</v>
      </c>
      <c r="AU49" s="26" t="n">
        <v>1</v>
      </c>
      <c r="AV49" s="26" t="n">
        <f aca="false">SUM(AL49:AU49)</f>
        <v>16</v>
      </c>
      <c r="AW49" s="32" t="n">
        <f aca="false">IFERROR(AV49/R49*1000000,"")</f>
        <v>17563.117453348</v>
      </c>
      <c r="AX49" s="33" t="n">
        <f aca="false">IFERROR((R49-AV49)/R49,"")</f>
        <v>0.982436882546652</v>
      </c>
      <c r="AY49" s="34" t="n">
        <f aca="false">IFERROR(AH49*AJ49*AX49,"")</f>
        <v>0.694808345463367</v>
      </c>
      <c r="AZ49" s="35"/>
    </row>
    <row r="50" customFormat="false" ht="12.75" hidden="false" customHeight="true" outlineLevel="0" collapsed="false">
      <c r="A50" s="24" t="n">
        <v>46</v>
      </c>
      <c r="B50" s="25" t="n">
        <v>46038</v>
      </c>
      <c r="C50" s="25" t="n">
        <v>12</v>
      </c>
      <c r="D50" s="26" t="s">
        <v>71</v>
      </c>
      <c r="E50" s="26" t="s">
        <v>94</v>
      </c>
      <c r="F50" s="26" t="s">
        <v>81</v>
      </c>
      <c r="G50" s="26" t="s">
        <v>11</v>
      </c>
      <c r="H50" s="27" t="n">
        <v>0.354166666666667</v>
      </c>
      <c r="I50" s="27" t="n">
        <v>0.854166666666667</v>
      </c>
      <c r="J50" s="26" t="n">
        <f aca="false">IFERROR((I50-H50)*24*60,"")</f>
        <v>720</v>
      </c>
      <c r="K50" s="26" t="s">
        <v>82</v>
      </c>
      <c r="L50" s="26" t="s">
        <v>75</v>
      </c>
      <c r="M50" s="26" t="s">
        <v>95</v>
      </c>
      <c r="N50" s="26" t="s">
        <v>96</v>
      </c>
      <c r="O50" s="26" t="n">
        <v>8</v>
      </c>
      <c r="P50" s="26" t="n">
        <v>74</v>
      </c>
      <c r="Q50" s="26" t="n">
        <f aca="false">IFERROR(3600/(P50/O50),"")</f>
        <v>389.189189189189</v>
      </c>
      <c r="R50" s="26" t="n">
        <v>3810</v>
      </c>
      <c r="S50" s="26" t="n">
        <v>41</v>
      </c>
      <c r="T50" s="26" t="n">
        <f aca="false">IFERROR(J50-S50,"")</f>
        <v>679</v>
      </c>
      <c r="U50" s="26" t="n">
        <v>5</v>
      </c>
      <c r="V50" s="26"/>
      <c r="W50" s="26"/>
      <c r="X50" s="26"/>
      <c r="Y50" s="26" t="n">
        <v>3</v>
      </c>
      <c r="Z50" s="26"/>
      <c r="AA50" s="26"/>
      <c r="AB50" s="26"/>
      <c r="AC50" s="26"/>
      <c r="AD50" s="26" t="n">
        <v>6</v>
      </c>
      <c r="AE50" s="26"/>
      <c r="AF50" s="26" t="n">
        <f aca="false">SUM(U50:AE50)</f>
        <v>14</v>
      </c>
      <c r="AG50" s="26" t="n">
        <f aca="false">T50-AF50</f>
        <v>665</v>
      </c>
      <c r="AH50" s="28" t="n">
        <f aca="false">IFERROR(AG50/T50,"")</f>
        <v>0.979381443298969</v>
      </c>
      <c r="AI50" s="29" t="n">
        <f aca="false">IFERROR(R50/AG50*60,"")</f>
        <v>343.759398496241</v>
      </c>
      <c r="AJ50" s="30" t="n">
        <f aca="false">IFERROR(AI50/Q50,"")</f>
        <v>0.883270676691729</v>
      </c>
      <c r="AK50" s="31" t="n">
        <f aca="false">IFERROR(R50/(T50/60*Q50),"")</f>
        <v>0.865058910162003</v>
      </c>
      <c r="AL50" s="26" t="n">
        <v>4</v>
      </c>
      <c r="AM50" s="26" t="n">
        <v>5</v>
      </c>
      <c r="AN50" s="26" t="n">
        <v>7</v>
      </c>
      <c r="AO50" s="26" t="n">
        <v>5</v>
      </c>
      <c r="AP50" s="26" t="n">
        <v>11</v>
      </c>
      <c r="AQ50" s="26" t="n">
        <v>7</v>
      </c>
      <c r="AR50" s="26" t="n">
        <v>5</v>
      </c>
      <c r="AS50" s="26" t="n">
        <v>7</v>
      </c>
      <c r="AT50" s="26" t="n">
        <v>5</v>
      </c>
      <c r="AU50" s="26" t="n">
        <v>4</v>
      </c>
      <c r="AV50" s="26" t="n">
        <f aca="false">SUM(AL50:AU50)</f>
        <v>60</v>
      </c>
      <c r="AW50" s="32" t="n">
        <f aca="false">IFERROR(AV50/R50*1000000,"")</f>
        <v>15748.031496063</v>
      </c>
      <c r="AX50" s="33" t="n">
        <f aca="false">IFERROR((R50-AV50)/R50,"")</f>
        <v>0.984251968503937</v>
      </c>
      <c r="AY50" s="34" t="n">
        <f aca="false">IFERROR(AH50*AJ50*AX50,"")</f>
        <v>0.851435935198822</v>
      </c>
      <c r="AZ50" s="35" t="s">
        <v>86</v>
      </c>
    </row>
    <row r="51" customFormat="false" ht="12.75" hidden="false" customHeight="true" outlineLevel="0" collapsed="false">
      <c r="A51" s="24" t="n">
        <v>47</v>
      </c>
      <c r="B51" s="25" t="n">
        <v>46038</v>
      </c>
      <c r="C51" s="25" t="n">
        <v>12</v>
      </c>
      <c r="D51" s="26" t="s">
        <v>79</v>
      </c>
      <c r="E51" s="26" t="s">
        <v>97</v>
      </c>
      <c r="F51" s="26" t="s">
        <v>73</v>
      </c>
      <c r="G51" s="26" t="s">
        <v>12</v>
      </c>
      <c r="H51" s="27" t="n">
        <v>0.354166666666667</v>
      </c>
      <c r="I51" s="27" t="n">
        <v>0.854166666666667</v>
      </c>
      <c r="J51" s="26" t="n">
        <f aca="false">IFERROR((I51-H51)*24*60,"")</f>
        <v>720</v>
      </c>
      <c r="K51" s="26" t="s">
        <v>89</v>
      </c>
      <c r="L51" s="26" t="s">
        <v>90</v>
      </c>
      <c r="M51" s="26" t="s">
        <v>99</v>
      </c>
      <c r="N51" s="26" t="s">
        <v>100</v>
      </c>
      <c r="O51" s="26" t="n">
        <v>2</v>
      </c>
      <c r="P51" s="26" t="n">
        <v>53</v>
      </c>
      <c r="Q51" s="26" t="n">
        <f aca="false">IFERROR(3600/(P51/O51),"")</f>
        <v>135.849056603774</v>
      </c>
      <c r="R51" s="26" t="n">
        <v>1337</v>
      </c>
      <c r="S51" s="26" t="n">
        <v>38</v>
      </c>
      <c r="T51" s="26" t="n">
        <f aca="false">IFERROR(J51-S51,"")</f>
        <v>682</v>
      </c>
      <c r="U51" s="26"/>
      <c r="V51" s="26"/>
      <c r="W51" s="26"/>
      <c r="X51" s="26"/>
      <c r="Y51" s="26"/>
      <c r="Z51" s="26"/>
      <c r="AA51" s="26" t="n">
        <v>26</v>
      </c>
      <c r="AB51" s="26" t="n">
        <v>20</v>
      </c>
      <c r="AC51" s="26" t="n">
        <v>25</v>
      </c>
      <c r="AD51" s="26"/>
      <c r="AE51" s="26"/>
      <c r="AF51" s="26" t="n">
        <f aca="false">SUM(U51:AE51)</f>
        <v>71</v>
      </c>
      <c r="AG51" s="26" t="n">
        <f aca="false">T51-AF51</f>
        <v>611</v>
      </c>
      <c r="AH51" s="28" t="n">
        <f aca="false">IFERROR(AG51/T51,"")</f>
        <v>0.895894428152493</v>
      </c>
      <c r="AI51" s="29" t="n">
        <f aca="false">IFERROR(R51/AG51*60,"")</f>
        <v>131.292962356792</v>
      </c>
      <c r="AJ51" s="30" t="n">
        <f aca="false">IFERROR(AI51/Q51,"")</f>
        <v>0.966462084015275</v>
      </c>
      <c r="AK51" s="31" t="n">
        <f aca="false">IFERROR(R51/(T51/60*Q51),"")</f>
        <v>0.865847996089932</v>
      </c>
      <c r="AL51" s="26" t="n">
        <v>1</v>
      </c>
      <c r="AM51" s="26" t="n">
        <v>5</v>
      </c>
      <c r="AN51" s="26" t="n">
        <v>2</v>
      </c>
      <c r="AO51" s="26" t="n">
        <v>4</v>
      </c>
      <c r="AP51" s="26"/>
      <c r="AQ51" s="26" t="n">
        <v>2</v>
      </c>
      <c r="AR51" s="26"/>
      <c r="AS51" s="26" t="n">
        <v>3</v>
      </c>
      <c r="AT51" s="26" t="n">
        <v>6</v>
      </c>
      <c r="AU51" s="26" t="n">
        <v>4</v>
      </c>
      <c r="AV51" s="26" t="n">
        <f aca="false">SUM(AL51:AU51)</f>
        <v>27</v>
      </c>
      <c r="AW51" s="32" t="n">
        <f aca="false">IFERROR(AV51/R51*1000000,"")</f>
        <v>20194.4652206432</v>
      </c>
      <c r="AX51" s="33" t="n">
        <f aca="false">IFERROR((R51-AV51)/R51,"")</f>
        <v>0.979805534779357</v>
      </c>
      <c r="AY51" s="34" t="n">
        <f aca="false">IFERROR(AH51*AJ51*AX51,"")</f>
        <v>0.84836265884653</v>
      </c>
      <c r="AZ51" s="35"/>
    </row>
    <row r="52" customFormat="false" ht="12.75" hidden="false" customHeight="true" outlineLevel="0" collapsed="false">
      <c r="A52" s="24" t="n">
        <v>48</v>
      </c>
      <c r="B52" s="25" t="n">
        <v>46038</v>
      </c>
      <c r="C52" s="25" t="n">
        <v>12</v>
      </c>
      <c r="D52" s="26" t="s">
        <v>87</v>
      </c>
      <c r="E52" s="26" t="s">
        <v>101</v>
      </c>
      <c r="F52" s="26" t="s">
        <v>81</v>
      </c>
      <c r="G52" s="26" t="s">
        <v>13</v>
      </c>
      <c r="H52" s="27" t="n">
        <v>0.354166666666667</v>
      </c>
      <c r="I52" s="27" t="n">
        <v>0.854166666666667</v>
      </c>
      <c r="J52" s="26" t="n">
        <f aca="false">IFERROR((I52-H52)*24*60,"")</f>
        <v>720</v>
      </c>
      <c r="K52" s="26" t="s">
        <v>89</v>
      </c>
      <c r="L52" s="26" t="s">
        <v>108</v>
      </c>
      <c r="M52" s="26" t="s">
        <v>103</v>
      </c>
      <c r="N52" s="26" t="s">
        <v>104</v>
      </c>
      <c r="O52" s="26" t="n">
        <v>8</v>
      </c>
      <c r="P52" s="26" t="n">
        <v>53</v>
      </c>
      <c r="Q52" s="26" t="n">
        <f aca="false">IFERROR(3600/(P52/O52),"")</f>
        <v>543.396226415094</v>
      </c>
      <c r="R52" s="26" t="n">
        <v>4981</v>
      </c>
      <c r="S52" s="26" t="n">
        <v>38</v>
      </c>
      <c r="T52" s="26" t="n">
        <f aca="false">IFERROR(J52-S52,"")</f>
        <v>682</v>
      </c>
      <c r="U52" s="26" t="n">
        <v>12</v>
      </c>
      <c r="V52" s="26"/>
      <c r="W52" s="26"/>
      <c r="X52" s="26"/>
      <c r="Y52" s="26"/>
      <c r="Z52" s="26"/>
      <c r="AA52" s="26" t="n">
        <v>31</v>
      </c>
      <c r="AB52" s="26"/>
      <c r="AC52" s="26"/>
      <c r="AD52" s="26"/>
      <c r="AE52" s="26" t="n">
        <v>32</v>
      </c>
      <c r="AF52" s="26" t="n">
        <f aca="false">SUM(U52:AE52)</f>
        <v>75</v>
      </c>
      <c r="AG52" s="26" t="n">
        <f aca="false">T52-AF52</f>
        <v>607</v>
      </c>
      <c r="AH52" s="28" t="n">
        <f aca="false">IFERROR(AG52/T52,"")</f>
        <v>0.890029325513197</v>
      </c>
      <c r="AI52" s="29" t="n">
        <f aca="false">IFERROR(R52/AG52*60,"")</f>
        <v>492.355848434926</v>
      </c>
      <c r="AJ52" s="30" t="n">
        <f aca="false">IFERROR(AI52/Q52,"")</f>
        <v>0.906071526633718</v>
      </c>
      <c r="AK52" s="31" t="n">
        <f aca="false">IFERROR(R52/(T52/60*Q52),"")</f>
        <v>0.80643022971652</v>
      </c>
      <c r="AL52" s="26" t="n">
        <v>6</v>
      </c>
      <c r="AM52" s="26" t="n">
        <v>5</v>
      </c>
      <c r="AN52" s="26" t="n">
        <v>5</v>
      </c>
      <c r="AO52" s="26" t="n">
        <v>2</v>
      </c>
      <c r="AP52" s="26" t="n">
        <v>2</v>
      </c>
      <c r="AQ52" s="26" t="n">
        <v>3</v>
      </c>
      <c r="AR52" s="26" t="n">
        <v>7</v>
      </c>
      <c r="AS52" s="26" t="n">
        <v>3</v>
      </c>
      <c r="AT52" s="26" t="n">
        <v>5</v>
      </c>
      <c r="AU52" s="26" t="n">
        <v>1</v>
      </c>
      <c r="AV52" s="26" t="n">
        <f aca="false">SUM(AL52:AU52)</f>
        <v>39</v>
      </c>
      <c r="AW52" s="32" t="n">
        <f aca="false">IFERROR(AV52/R52*1000000,"")</f>
        <v>7829.75306163421</v>
      </c>
      <c r="AX52" s="33" t="n">
        <f aca="false">IFERROR((R52-AV52)/R52,"")</f>
        <v>0.992170246938366</v>
      </c>
      <c r="AY52" s="34" t="n">
        <f aca="false">IFERROR(AH52*AJ52*AX52,"")</f>
        <v>0.800116080156403</v>
      </c>
      <c r="AZ52" s="35" t="s">
        <v>86</v>
      </c>
    </row>
    <row r="53" customFormat="false" ht="12.75" hidden="false" customHeight="true" outlineLevel="0" collapsed="false">
      <c r="A53" s="24" t="n">
        <v>49</v>
      </c>
      <c r="B53" s="25" t="n">
        <v>46039</v>
      </c>
      <c r="C53" s="25" t="n">
        <v>12</v>
      </c>
      <c r="D53" s="26" t="s">
        <v>71</v>
      </c>
      <c r="E53" s="26" t="s">
        <v>72</v>
      </c>
      <c r="F53" s="26" t="s">
        <v>73</v>
      </c>
      <c r="G53" s="26" t="s">
        <v>8</v>
      </c>
      <c r="H53" s="27" t="n">
        <v>0.354166666666667</v>
      </c>
      <c r="I53" s="27" t="n">
        <v>0.854166666666667</v>
      </c>
      <c r="J53" s="26" t="n">
        <f aca="false">IFERROR((I53-H53)*24*60,"")</f>
        <v>720</v>
      </c>
      <c r="K53" s="26" t="s">
        <v>82</v>
      </c>
      <c r="L53" s="26" t="s">
        <v>83</v>
      </c>
      <c r="M53" s="26" t="s">
        <v>76</v>
      </c>
      <c r="N53" s="26" t="s">
        <v>77</v>
      </c>
      <c r="O53" s="26" t="n">
        <v>4</v>
      </c>
      <c r="P53" s="26" t="n">
        <v>33</v>
      </c>
      <c r="Q53" s="26" t="n">
        <f aca="false">IFERROR(3600/(P53/O53),"")</f>
        <v>436.363636363636</v>
      </c>
      <c r="R53" s="26" t="n">
        <v>3580</v>
      </c>
      <c r="S53" s="26" t="n">
        <v>45</v>
      </c>
      <c r="T53" s="26" t="n">
        <f aca="false">IFERROR(J53-S53,"")</f>
        <v>675</v>
      </c>
      <c r="U53" s="26" t="n">
        <v>10</v>
      </c>
      <c r="V53" s="26"/>
      <c r="W53" s="26"/>
      <c r="X53" s="26"/>
      <c r="Y53" s="26"/>
      <c r="Z53" s="26"/>
      <c r="AA53" s="26" t="n">
        <v>30</v>
      </c>
      <c r="AB53" s="26"/>
      <c r="AC53" s="26"/>
      <c r="AD53" s="26"/>
      <c r="AE53" s="26" t="n">
        <v>28</v>
      </c>
      <c r="AF53" s="26" t="n">
        <f aca="false">SUM(U53:AE53)</f>
        <v>68</v>
      </c>
      <c r="AG53" s="26" t="n">
        <f aca="false">T53-AF53</f>
        <v>607</v>
      </c>
      <c r="AH53" s="28" t="n">
        <f aca="false">IFERROR(AG53/T53,"")</f>
        <v>0.899259259259259</v>
      </c>
      <c r="AI53" s="29" t="n">
        <f aca="false">IFERROR(R53/AG53*60,"")</f>
        <v>353.871499176277</v>
      </c>
      <c r="AJ53" s="30" t="n">
        <f aca="false">IFERROR(AI53/Q53,"")</f>
        <v>0.810955518945634</v>
      </c>
      <c r="AK53" s="31" t="n">
        <f aca="false">IFERROR(R53/(T53/60*Q53),"")</f>
        <v>0.729259259259259</v>
      </c>
      <c r="AL53" s="26" t="n">
        <v>7</v>
      </c>
      <c r="AM53" s="26" t="n">
        <v>2</v>
      </c>
      <c r="AN53" s="26" t="n">
        <v>5</v>
      </c>
      <c r="AO53" s="26" t="n">
        <v>10</v>
      </c>
      <c r="AP53" s="26" t="n">
        <v>5</v>
      </c>
      <c r="AQ53" s="26" t="n">
        <v>4</v>
      </c>
      <c r="AR53" s="26" t="n">
        <v>7</v>
      </c>
      <c r="AS53" s="26" t="n">
        <v>4</v>
      </c>
      <c r="AT53" s="26" t="n">
        <v>7</v>
      </c>
      <c r="AU53" s="26" t="n">
        <v>6</v>
      </c>
      <c r="AV53" s="26" t="n">
        <f aca="false">SUM(AL53:AU53)</f>
        <v>57</v>
      </c>
      <c r="AW53" s="32" t="n">
        <f aca="false">IFERROR(AV53/R53*1000000,"")</f>
        <v>15921.7877094972</v>
      </c>
      <c r="AX53" s="33" t="n">
        <f aca="false">IFERROR((R53-AV53)/R53,"")</f>
        <v>0.984078212290503</v>
      </c>
      <c r="AY53" s="34" t="n">
        <f aca="false">IFERROR(AH53*AJ53*AX53,"")</f>
        <v>0.717648148148148</v>
      </c>
      <c r="AZ53" s="35"/>
    </row>
    <row r="54" customFormat="false" ht="12.75" hidden="false" customHeight="true" outlineLevel="0" collapsed="false">
      <c r="A54" s="24" t="n">
        <v>50</v>
      </c>
      <c r="B54" s="25" t="n">
        <v>46039</v>
      </c>
      <c r="C54" s="25" t="n">
        <v>12</v>
      </c>
      <c r="D54" s="26" t="s">
        <v>79</v>
      </c>
      <c r="E54" s="26" t="s">
        <v>80</v>
      </c>
      <c r="F54" s="26" t="s">
        <v>81</v>
      </c>
      <c r="G54" s="26" t="s">
        <v>9</v>
      </c>
      <c r="H54" s="27" t="n">
        <v>0.354166666666667</v>
      </c>
      <c r="I54" s="27" t="n">
        <v>0.854166666666667</v>
      </c>
      <c r="J54" s="26" t="n">
        <f aca="false">IFERROR((I54-H54)*24*60,"")</f>
        <v>720</v>
      </c>
      <c r="K54" s="26" t="s">
        <v>82</v>
      </c>
      <c r="L54" s="26" t="s">
        <v>83</v>
      </c>
      <c r="M54" s="26" t="s">
        <v>84</v>
      </c>
      <c r="N54" s="26" t="s">
        <v>85</v>
      </c>
      <c r="O54" s="26" t="n">
        <v>8</v>
      </c>
      <c r="P54" s="26" t="n">
        <v>59</v>
      </c>
      <c r="Q54" s="26" t="n">
        <f aca="false">IFERROR(3600/(P54/O54),"")</f>
        <v>488.135593220339</v>
      </c>
      <c r="R54" s="26" t="n">
        <v>4550</v>
      </c>
      <c r="S54" s="26" t="n">
        <v>33</v>
      </c>
      <c r="T54" s="26" t="n">
        <f aca="false">IFERROR(J54-S54,"")</f>
        <v>687</v>
      </c>
      <c r="U54" s="26"/>
      <c r="V54" s="26"/>
      <c r="W54" s="26"/>
      <c r="X54" s="26"/>
      <c r="Y54" s="26" t="n">
        <v>10</v>
      </c>
      <c r="Z54" s="26" t="n">
        <v>9</v>
      </c>
      <c r="AA54" s="26"/>
      <c r="AB54" s="26"/>
      <c r="AC54" s="26"/>
      <c r="AD54" s="26"/>
      <c r="AE54" s="26"/>
      <c r="AF54" s="26" t="n">
        <f aca="false">SUM(U54:AE54)</f>
        <v>19</v>
      </c>
      <c r="AG54" s="26" t="n">
        <f aca="false">T54-AF54</f>
        <v>668</v>
      </c>
      <c r="AH54" s="28" t="n">
        <f aca="false">IFERROR(AG54/T54,"")</f>
        <v>0.972343522561863</v>
      </c>
      <c r="AI54" s="29" t="n">
        <f aca="false">IFERROR(R54/AG54*60,"")</f>
        <v>408.682634730539</v>
      </c>
      <c r="AJ54" s="30" t="n">
        <f aca="false">IFERROR(AI54/Q54,"")</f>
        <v>0.837231786427146</v>
      </c>
      <c r="AK54" s="31" t="n">
        <f aca="false">IFERROR(R54/(T54/60*Q54),"")</f>
        <v>0.814076904415332</v>
      </c>
      <c r="AL54" s="26" t="n">
        <v>5</v>
      </c>
      <c r="AM54" s="26" t="n">
        <v>4</v>
      </c>
      <c r="AN54" s="26" t="n">
        <v>3</v>
      </c>
      <c r="AO54" s="26" t="n">
        <v>14</v>
      </c>
      <c r="AP54" s="26" t="n">
        <v>8</v>
      </c>
      <c r="AQ54" s="26" t="n">
        <v>10</v>
      </c>
      <c r="AR54" s="26" t="n">
        <v>6</v>
      </c>
      <c r="AS54" s="26" t="n">
        <v>11</v>
      </c>
      <c r="AT54" s="26" t="n">
        <v>7</v>
      </c>
      <c r="AU54" s="26" t="n">
        <v>8</v>
      </c>
      <c r="AV54" s="26" t="n">
        <f aca="false">SUM(AL54:AU54)</f>
        <v>76</v>
      </c>
      <c r="AW54" s="32" t="n">
        <f aca="false">IFERROR(AV54/R54*1000000,"")</f>
        <v>16703.2967032967</v>
      </c>
      <c r="AX54" s="33" t="n">
        <f aca="false">IFERROR((R54-AV54)/R54,"")</f>
        <v>0.983296703296703</v>
      </c>
      <c r="AY54" s="34" t="n">
        <f aca="false">IFERROR(AH54*AJ54*AX54,"")</f>
        <v>0.800479136341582</v>
      </c>
      <c r="AZ54" s="35" t="s">
        <v>86</v>
      </c>
    </row>
    <row r="55" customFormat="false" ht="12.75" hidden="false" customHeight="true" outlineLevel="0" collapsed="false">
      <c r="A55" s="24" t="n">
        <v>51</v>
      </c>
      <c r="B55" s="25" t="n">
        <v>46039</v>
      </c>
      <c r="C55" s="25" t="n">
        <v>12</v>
      </c>
      <c r="D55" s="26" t="s">
        <v>87</v>
      </c>
      <c r="E55" s="26" t="s">
        <v>88</v>
      </c>
      <c r="F55" s="26" t="s">
        <v>73</v>
      </c>
      <c r="G55" s="26" t="s">
        <v>10</v>
      </c>
      <c r="H55" s="27" t="n">
        <v>0.354166666666667</v>
      </c>
      <c r="I55" s="27" t="n">
        <v>0.854166666666667</v>
      </c>
      <c r="J55" s="26" t="n">
        <f aca="false">IFERROR((I55-H55)*24*60,"")</f>
        <v>720</v>
      </c>
      <c r="K55" s="26" t="s">
        <v>82</v>
      </c>
      <c r="L55" s="26" t="s">
        <v>98</v>
      </c>
      <c r="M55" s="26" t="s">
        <v>91</v>
      </c>
      <c r="N55" s="26" t="s">
        <v>92</v>
      </c>
      <c r="O55" s="26" t="n">
        <v>2</v>
      </c>
      <c r="P55" s="26" t="n">
        <v>58</v>
      </c>
      <c r="Q55" s="26" t="n">
        <f aca="false">IFERROR(3600/(P55/O55),"")</f>
        <v>124.137931034483</v>
      </c>
      <c r="R55" s="26" t="n">
        <v>1264</v>
      </c>
      <c r="S55" s="26" t="n">
        <v>64</v>
      </c>
      <c r="T55" s="26" t="n">
        <f aca="false">IFERROR(J55-S55,"")</f>
        <v>656</v>
      </c>
      <c r="U55" s="26" t="n">
        <v>36</v>
      </c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 t="n">
        <f aca="false">SUM(U55:AE55)</f>
        <v>36</v>
      </c>
      <c r="AG55" s="26" t="n">
        <f aca="false">T55-AF55</f>
        <v>620</v>
      </c>
      <c r="AH55" s="28" t="n">
        <f aca="false">IFERROR(AG55/T55,"")</f>
        <v>0.945121951219512</v>
      </c>
      <c r="AI55" s="29" t="n">
        <f aca="false">IFERROR(R55/AG55*60,"")</f>
        <v>122.322580645161</v>
      </c>
      <c r="AJ55" s="30" t="n">
        <f aca="false">IFERROR(AI55/Q55,"")</f>
        <v>0.985376344086021</v>
      </c>
      <c r="AK55" s="31" t="n">
        <f aca="false">IFERROR(R55/(T55/60*Q55),"")</f>
        <v>0.93130081300813</v>
      </c>
      <c r="AL55" s="26" t="n">
        <v>8</v>
      </c>
      <c r="AM55" s="26" t="n">
        <v>2</v>
      </c>
      <c r="AN55" s="26" t="n">
        <v>2</v>
      </c>
      <c r="AO55" s="26" t="n">
        <v>2</v>
      </c>
      <c r="AP55" s="26"/>
      <c r="AQ55" s="26" t="n">
        <v>1</v>
      </c>
      <c r="AR55" s="26" t="n">
        <v>2</v>
      </c>
      <c r="AS55" s="26" t="n">
        <v>3</v>
      </c>
      <c r="AT55" s="26" t="n">
        <v>4</v>
      </c>
      <c r="AU55" s="26" t="n">
        <v>2</v>
      </c>
      <c r="AV55" s="26" t="n">
        <f aca="false">SUM(AL55:AU55)</f>
        <v>26</v>
      </c>
      <c r="AW55" s="32" t="n">
        <f aca="false">IFERROR(AV55/R55*1000000,"")</f>
        <v>20569.6202531646</v>
      </c>
      <c r="AX55" s="33" t="n">
        <f aca="false">IFERROR((R55-AV55)/R55,"")</f>
        <v>0.979430379746835</v>
      </c>
      <c r="AY55" s="34" t="n">
        <f aca="false">IFERROR(AH55*AJ55*AX55,"")</f>
        <v>0.912144308943089</v>
      </c>
      <c r="AZ55" s="35" t="s">
        <v>78</v>
      </c>
    </row>
    <row r="56" customFormat="false" ht="12.75" hidden="false" customHeight="true" outlineLevel="0" collapsed="false">
      <c r="A56" s="24" t="n">
        <v>52</v>
      </c>
      <c r="B56" s="25" t="n">
        <v>46040</v>
      </c>
      <c r="C56" s="25" t="n">
        <v>12</v>
      </c>
      <c r="D56" s="26" t="s">
        <v>71</v>
      </c>
      <c r="E56" s="26" t="s">
        <v>94</v>
      </c>
      <c r="F56" s="26" t="s">
        <v>81</v>
      </c>
      <c r="G56" s="26" t="s">
        <v>11</v>
      </c>
      <c r="H56" s="27" t="n">
        <v>0.354166666666667</v>
      </c>
      <c r="I56" s="27" t="n">
        <v>0.854166666666667</v>
      </c>
      <c r="J56" s="26" t="n">
        <f aca="false">IFERROR((I56-H56)*24*60,"")</f>
        <v>720</v>
      </c>
      <c r="K56" s="26" t="s">
        <v>89</v>
      </c>
      <c r="L56" s="26" t="s">
        <v>90</v>
      </c>
      <c r="M56" s="26" t="s">
        <v>95</v>
      </c>
      <c r="N56" s="26" t="s">
        <v>96</v>
      </c>
      <c r="O56" s="26" t="n">
        <v>2</v>
      </c>
      <c r="P56" s="26" t="n">
        <v>30</v>
      </c>
      <c r="Q56" s="26" t="n">
        <f aca="false">IFERROR(3600/(P56/O56),"")</f>
        <v>240</v>
      </c>
      <c r="R56" s="26" t="n">
        <v>2426</v>
      </c>
      <c r="S56" s="26" t="n">
        <v>62</v>
      </c>
      <c r="T56" s="26" t="n">
        <f aca="false">IFERROR(J56-S56,"")</f>
        <v>658</v>
      </c>
      <c r="U56" s="26"/>
      <c r="V56" s="26"/>
      <c r="W56" s="26"/>
      <c r="X56" s="26" t="n">
        <v>7</v>
      </c>
      <c r="Y56" s="26"/>
      <c r="Z56" s="26"/>
      <c r="AA56" s="26"/>
      <c r="AB56" s="26"/>
      <c r="AC56" s="26" t="n">
        <v>49</v>
      </c>
      <c r="AD56" s="26" t="n">
        <v>9</v>
      </c>
      <c r="AE56" s="26"/>
      <c r="AF56" s="26" t="n">
        <f aca="false">SUM(U56:AE56)</f>
        <v>65</v>
      </c>
      <c r="AG56" s="26" t="n">
        <f aca="false">T56-AF56</f>
        <v>593</v>
      </c>
      <c r="AH56" s="28" t="n">
        <f aca="false">IFERROR(AG56/T56,"")</f>
        <v>0.901215805471125</v>
      </c>
      <c r="AI56" s="29" t="n">
        <f aca="false">IFERROR(R56/AG56*60,"")</f>
        <v>245.463743676223</v>
      </c>
      <c r="AJ56" s="30" t="n">
        <f aca="false">IFERROR(AI56/Q56,"")</f>
        <v>1.02276559865093</v>
      </c>
      <c r="AK56" s="31" t="n">
        <f aca="false">IFERROR(R56/(T56/60*Q56),"")</f>
        <v>0.921732522796353</v>
      </c>
      <c r="AL56" s="26" t="n">
        <v>1</v>
      </c>
      <c r="AM56" s="26" t="n">
        <v>3</v>
      </c>
      <c r="AN56" s="26"/>
      <c r="AO56" s="26" t="n">
        <v>2</v>
      </c>
      <c r="AP56" s="26" t="n">
        <v>2</v>
      </c>
      <c r="AQ56" s="26" t="n">
        <v>2</v>
      </c>
      <c r="AR56" s="26" t="n">
        <v>5</v>
      </c>
      <c r="AS56" s="26" t="n">
        <v>1</v>
      </c>
      <c r="AT56" s="26" t="n">
        <v>1</v>
      </c>
      <c r="AU56" s="26" t="n">
        <v>1</v>
      </c>
      <c r="AV56" s="26" t="n">
        <f aca="false">SUM(AL56:AU56)</f>
        <v>18</v>
      </c>
      <c r="AW56" s="32" t="n">
        <f aca="false">IFERROR(AV56/R56*1000000,"")</f>
        <v>7419.62077493817</v>
      </c>
      <c r="AX56" s="33" t="n">
        <f aca="false">IFERROR((R56-AV56)/R56,"")</f>
        <v>0.992580379225062</v>
      </c>
      <c r="AY56" s="34" t="n">
        <f aca="false">IFERROR(AH56*AJ56*AX56,"")</f>
        <v>0.914893617021277</v>
      </c>
      <c r="AZ56" s="35" t="s">
        <v>78</v>
      </c>
    </row>
    <row r="57" customFormat="false" ht="12.75" hidden="false" customHeight="true" outlineLevel="0" collapsed="false">
      <c r="A57" s="24" t="n">
        <v>53</v>
      </c>
      <c r="B57" s="25" t="n">
        <v>46040</v>
      </c>
      <c r="C57" s="25" t="n">
        <v>12</v>
      </c>
      <c r="D57" s="26" t="s">
        <v>79</v>
      </c>
      <c r="E57" s="26" t="s">
        <v>97</v>
      </c>
      <c r="F57" s="26" t="s">
        <v>73</v>
      </c>
      <c r="G57" s="26" t="s">
        <v>12</v>
      </c>
      <c r="H57" s="27" t="n">
        <v>0.354166666666667</v>
      </c>
      <c r="I57" s="27" t="n">
        <v>0.854166666666667</v>
      </c>
      <c r="J57" s="26" t="n">
        <f aca="false">IFERROR((I57-H57)*24*60,"")</f>
        <v>720</v>
      </c>
      <c r="K57" s="26" t="s">
        <v>74</v>
      </c>
      <c r="L57" s="26" t="s">
        <v>108</v>
      </c>
      <c r="M57" s="26" t="s">
        <v>99</v>
      </c>
      <c r="N57" s="26" t="s">
        <v>100</v>
      </c>
      <c r="O57" s="26" t="n">
        <v>1</v>
      </c>
      <c r="P57" s="26" t="n">
        <v>55</v>
      </c>
      <c r="Q57" s="26" t="n">
        <f aca="false">IFERROR(3600/(P57/O57),"")</f>
        <v>65.4545454545455</v>
      </c>
      <c r="R57" s="26" t="n">
        <v>670</v>
      </c>
      <c r="S57" s="26" t="n">
        <v>74</v>
      </c>
      <c r="T57" s="26" t="n">
        <f aca="false">IFERROR(J57-S57,"")</f>
        <v>646</v>
      </c>
      <c r="U57" s="26"/>
      <c r="V57" s="26" t="n">
        <v>7</v>
      </c>
      <c r="W57" s="26"/>
      <c r="X57" s="26"/>
      <c r="Y57" s="26"/>
      <c r="Z57" s="26" t="n">
        <v>15</v>
      </c>
      <c r="AA57" s="26"/>
      <c r="AB57" s="26"/>
      <c r="AC57" s="26" t="n">
        <v>9</v>
      </c>
      <c r="AD57" s="26"/>
      <c r="AE57" s="26"/>
      <c r="AF57" s="26" t="n">
        <f aca="false">SUM(U57:AE57)</f>
        <v>31</v>
      </c>
      <c r="AG57" s="26" t="n">
        <f aca="false">T57-AF57</f>
        <v>615</v>
      </c>
      <c r="AH57" s="28" t="n">
        <f aca="false">IFERROR(AG57/T57,"")</f>
        <v>0.952012383900929</v>
      </c>
      <c r="AI57" s="29" t="n">
        <f aca="false">IFERROR(R57/AG57*60,"")</f>
        <v>65.3658536585366</v>
      </c>
      <c r="AJ57" s="30" t="n">
        <f aca="false">IFERROR(AI57/Q57,"")</f>
        <v>0.998644986449864</v>
      </c>
      <c r="AK57" s="31" t="n">
        <f aca="false">IFERROR(R57/(T57/60*Q57),"")</f>
        <v>0.950722394220846</v>
      </c>
      <c r="AL57" s="26" t="n">
        <v>3</v>
      </c>
      <c r="AM57" s="26" t="n">
        <v>1</v>
      </c>
      <c r="AN57" s="26" t="n">
        <v>1</v>
      </c>
      <c r="AO57" s="26" t="n">
        <v>3</v>
      </c>
      <c r="AP57" s="26" t="n">
        <v>2</v>
      </c>
      <c r="AQ57" s="26" t="n">
        <v>1</v>
      </c>
      <c r="AR57" s="26"/>
      <c r="AS57" s="26" t="n">
        <v>1</v>
      </c>
      <c r="AT57" s="26" t="n">
        <v>1</v>
      </c>
      <c r="AU57" s="26" t="n">
        <v>2</v>
      </c>
      <c r="AV57" s="26" t="n">
        <f aca="false">SUM(AL57:AU57)</f>
        <v>15</v>
      </c>
      <c r="AW57" s="32" t="n">
        <f aca="false">IFERROR(AV57/R57*1000000,"")</f>
        <v>22388.0597014925</v>
      </c>
      <c r="AX57" s="33" t="n">
        <f aca="false">IFERROR((R57-AV57)/R57,"")</f>
        <v>0.977611940298508</v>
      </c>
      <c r="AY57" s="34" t="n">
        <f aca="false">IFERROR(AH57*AJ57*AX57,"")</f>
        <v>0.929437564499484</v>
      </c>
      <c r="AZ57" s="35" t="s">
        <v>78</v>
      </c>
    </row>
    <row r="58" customFormat="false" ht="12.75" hidden="false" customHeight="true" outlineLevel="0" collapsed="false">
      <c r="A58" s="24" t="n">
        <v>54</v>
      </c>
      <c r="B58" s="25" t="n">
        <v>46040</v>
      </c>
      <c r="C58" s="25" t="n">
        <v>12</v>
      </c>
      <c r="D58" s="26" t="s">
        <v>87</v>
      </c>
      <c r="E58" s="26" t="s">
        <v>101</v>
      </c>
      <c r="F58" s="26" t="s">
        <v>81</v>
      </c>
      <c r="G58" s="26" t="s">
        <v>13</v>
      </c>
      <c r="H58" s="27" t="n">
        <v>0.354166666666667</v>
      </c>
      <c r="I58" s="27" t="n">
        <v>0.854166666666667</v>
      </c>
      <c r="J58" s="26" t="n">
        <f aca="false">IFERROR((I58-H58)*24*60,"")</f>
        <v>720</v>
      </c>
      <c r="K58" s="26" t="s">
        <v>74</v>
      </c>
      <c r="L58" s="26" t="s">
        <v>108</v>
      </c>
      <c r="M58" s="26" t="s">
        <v>103</v>
      </c>
      <c r="N58" s="26" t="s">
        <v>104</v>
      </c>
      <c r="O58" s="26" t="n">
        <v>2</v>
      </c>
      <c r="P58" s="26" t="n">
        <v>60</v>
      </c>
      <c r="Q58" s="26" t="n">
        <f aca="false">IFERROR(3600/(P58/O58),"")</f>
        <v>120</v>
      </c>
      <c r="R58" s="26" t="n">
        <v>1276</v>
      </c>
      <c r="S58" s="26" t="n">
        <v>49</v>
      </c>
      <c r="T58" s="26" t="n">
        <f aca="false">IFERROR(J58-S58,"")</f>
        <v>671</v>
      </c>
      <c r="U58" s="26"/>
      <c r="V58" s="26"/>
      <c r="W58" s="26"/>
      <c r="X58" s="26"/>
      <c r="Y58" s="26"/>
      <c r="Z58" s="26"/>
      <c r="AA58" s="26" t="n">
        <v>5</v>
      </c>
      <c r="AB58" s="26"/>
      <c r="AC58" s="26" t="n">
        <v>13</v>
      </c>
      <c r="AD58" s="26"/>
      <c r="AE58" s="26"/>
      <c r="AF58" s="26" t="n">
        <f aca="false">SUM(U58:AE58)</f>
        <v>18</v>
      </c>
      <c r="AG58" s="26" t="n">
        <f aca="false">T58-AF58</f>
        <v>653</v>
      </c>
      <c r="AH58" s="28" t="n">
        <f aca="false">IFERROR(AG58/T58,"")</f>
        <v>0.97317436661699</v>
      </c>
      <c r="AI58" s="29" t="n">
        <f aca="false">IFERROR(R58/AG58*60,"")</f>
        <v>117.243491577335</v>
      </c>
      <c r="AJ58" s="30" t="n">
        <f aca="false">IFERROR(AI58/Q58,"")</f>
        <v>0.977029096477795</v>
      </c>
      <c r="AK58" s="31" t="n">
        <f aca="false">IFERROR(R58/(T58/60*Q58),"")</f>
        <v>0.950819672131148</v>
      </c>
      <c r="AL58" s="26" t="n">
        <v>2</v>
      </c>
      <c r="AM58" s="26" t="n">
        <v>3</v>
      </c>
      <c r="AN58" s="26" t="n">
        <v>1</v>
      </c>
      <c r="AO58" s="26" t="n">
        <v>2</v>
      </c>
      <c r="AP58" s="26" t="n">
        <v>1</v>
      </c>
      <c r="AQ58" s="26" t="n">
        <v>4</v>
      </c>
      <c r="AR58" s="26" t="n">
        <v>4</v>
      </c>
      <c r="AS58" s="26" t="n">
        <v>2</v>
      </c>
      <c r="AT58" s="26" t="n">
        <v>2</v>
      </c>
      <c r="AU58" s="26" t="n">
        <v>3</v>
      </c>
      <c r="AV58" s="26" t="n">
        <f aca="false">SUM(AL58:AU58)</f>
        <v>24</v>
      </c>
      <c r="AW58" s="32" t="n">
        <f aca="false">IFERROR(AV58/R58*1000000,"")</f>
        <v>18808.7774294671</v>
      </c>
      <c r="AX58" s="33" t="n">
        <f aca="false">IFERROR((R58-AV58)/R58,"")</f>
        <v>0.981191222570533</v>
      </c>
      <c r="AY58" s="34" t="n">
        <f aca="false">IFERROR(AH58*AJ58*AX58,"")</f>
        <v>0.932935916542474</v>
      </c>
      <c r="AZ58" s="35" t="s">
        <v>78</v>
      </c>
    </row>
    <row r="59" customFormat="false" ht="12.75" hidden="false" customHeight="true" outlineLevel="0" collapsed="false">
      <c r="A59" s="24" t="n">
        <v>55</v>
      </c>
      <c r="B59" s="25" t="n">
        <v>46041</v>
      </c>
      <c r="C59" s="25" t="n">
        <v>12</v>
      </c>
      <c r="D59" s="26" t="s">
        <v>71</v>
      </c>
      <c r="E59" s="26" t="s">
        <v>72</v>
      </c>
      <c r="F59" s="26" t="s">
        <v>73</v>
      </c>
      <c r="G59" s="26" t="s">
        <v>8</v>
      </c>
      <c r="H59" s="27" t="n">
        <v>0.354166666666667</v>
      </c>
      <c r="I59" s="27" t="n">
        <v>0.854166666666667</v>
      </c>
      <c r="J59" s="26" t="n">
        <f aca="false">IFERROR((I59-H59)*24*60,"")</f>
        <v>720</v>
      </c>
      <c r="K59" s="26" t="s">
        <v>105</v>
      </c>
      <c r="L59" s="26" t="s">
        <v>83</v>
      </c>
      <c r="M59" s="26" t="s">
        <v>76</v>
      </c>
      <c r="N59" s="26" t="s">
        <v>77</v>
      </c>
      <c r="O59" s="26" t="n">
        <v>2</v>
      </c>
      <c r="P59" s="26" t="n">
        <v>69</v>
      </c>
      <c r="Q59" s="26" t="n">
        <f aca="false">IFERROR(3600/(P59/O59),"")</f>
        <v>104.347826086957</v>
      </c>
      <c r="R59" s="26" t="n">
        <v>781</v>
      </c>
      <c r="S59" s="26" t="n">
        <v>69</v>
      </c>
      <c r="T59" s="26" t="n">
        <f aca="false">IFERROR(J59-S59,"")</f>
        <v>651</v>
      </c>
      <c r="U59" s="26"/>
      <c r="V59" s="26"/>
      <c r="W59" s="26"/>
      <c r="X59" s="26"/>
      <c r="Y59" s="26"/>
      <c r="Z59" s="26"/>
      <c r="AA59" s="26" t="n">
        <v>14</v>
      </c>
      <c r="AB59" s="26"/>
      <c r="AC59" s="26"/>
      <c r="AD59" s="26"/>
      <c r="AE59" s="26"/>
      <c r="AF59" s="26" t="n">
        <f aca="false">SUM(U59:AE59)</f>
        <v>14</v>
      </c>
      <c r="AG59" s="26" t="n">
        <f aca="false">T59-AF59</f>
        <v>637</v>
      </c>
      <c r="AH59" s="28" t="n">
        <f aca="false">IFERROR(AG59/T59,"")</f>
        <v>0.978494623655914</v>
      </c>
      <c r="AI59" s="29" t="n">
        <f aca="false">IFERROR(R59/AG59*60,"")</f>
        <v>73.563579277865</v>
      </c>
      <c r="AJ59" s="30" t="n">
        <f aca="false">IFERROR(AI59/Q59,"")</f>
        <v>0.704984301412873</v>
      </c>
      <c r="AK59" s="31" t="n">
        <f aca="false">IFERROR(R59/(T59/60*Q59),"")</f>
        <v>0.689823348694317</v>
      </c>
      <c r="AL59" s="26" t="n">
        <v>1</v>
      </c>
      <c r="AM59" s="26" t="n">
        <v>2</v>
      </c>
      <c r="AN59" s="26"/>
      <c r="AO59" s="26"/>
      <c r="AP59" s="26" t="n">
        <v>2</v>
      </c>
      <c r="AQ59" s="26" t="n">
        <v>1</v>
      </c>
      <c r="AR59" s="26"/>
      <c r="AS59" s="26" t="n">
        <v>1</v>
      </c>
      <c r="AT59" s="26"/>
      <c r="AU59" s="26"/>
      <c r="AV59" s="26" t="n">
        <f aca="false">SUM(AL59:AU59)</f>
        <v>7</v>
      </c>
      <c r="AW59" s="32" t="n">
        <f aca="false">IFERROR(AV59/R59*1000000,"")</f>
        <v>8962.8681177977</v>
      </c>
      <c r="AX59" s="33" t="n">
        <f aca="false">IFERROR((R59-AV59)/R59,"")</f>
        <v>0.991037131882202</v>
      </c>
      <c r="AY59" s="34" t="n">
        <f aca="false">IFERROR(AH59*AJ59*AX59,"")</f>
        <v>0.683640552995392</v>
      </c>
      <c r="AZ59" s="35" t="s">
        <v>78</v>
      </c>
    </row>
    <row r="60" customFormat="false" ht="12.75" hidden="false" customHeight="true" outlineLevel="0" collapsed="false">
      <c r="A60" s="24" t="n">
        <v>56</v>
      </c>
      <c r="B60" s="25" t="n">
        <v>46041</v>
      </c>
      <c r="C60" s="25" t="n">
        <v>12</v>
      </c>
      <c r="D60" s="26" t="s">
        <v>79</v>
      </c>
      <c r="E60" s="26" t="s">
        <v>80</v>
      </c>
      <c r="F60" s="26" t="s">
        <v>81</v>
      </c>
      <c r="G60" s="26" t="s">
        <v>9</v>
      </c>
      <c r="H60" s="27" t="n">
        <v>0.354166666666667</v>
      </c>
      <c r="I60" s="27" t="n">
        <v>0.854166666666667</v>
      </c>
      <c r="J60" s="26" t="n">
        <f aca="false">IFERROR((I60-H60)*24*60,"")</f>
        <v>720</v>
      </c>
      <c r="K60" s="26" t="s">
        <v>89</v>
      </c>
      <c r="L60" s="26" t="s">
        <v>98</v>
      </c>
      <c r="M60" s="26" t="s">
        <v>84</v>
      </c>
      <c r="N60" s="26" t="s">
        <v>85</v>
      </c>
      <c r="O60" s="26" t="n">
        <v>8</v>
      </c>
      <c r="P60" s="26" t="n">
        <v>59</v>
      </c>
      <c r="Q60" s="26" t="n">
        <f aca="false">IFERROR(3600/(P60/O60),"")</f>
        <v>488.135593220339</v>
      </c>
      <c r="R60" s="26" t="n">
        <v>4511</v>
      </c>
      <c r="S60" s="26" t="n">
        <v>41</v>
      </c>
      <c r="T60" s="26" t="n">
        <f aca="false">IFERROR(J60-S60,"")</f>
        <v>679</v>
      </c>
      <c r="U60" s="26" t="n">
        <v>6</v>
      </c>
      <c r="V60" s="26"/>
      <c r="W60" s="26"/>
      <c r="X60" s="26"/>
      <c r="Y60" s="26"/>
      <c r="Z60" s="26" t="n">
        <v>5</v>
      </c>
      <c r="AA60" s="26"/>
      <c r="AB60" s="26"/>
      <c r="AC60" s="26"/>
      <c r="AD60" s="26"/>
      <c r="AE60" s="26"/>
      <c r="AF60" s="26" t="n">
        <f aca="false">SUM(U60:AE60)</f>
        <v>11</v>
      </c>
      <c r="AG60" s="26" t="n">
        <f aca="false">T60-AF60</f>
        <v>668</v>
      </c>
      <c r="AH60" s="28" t="n">
        <f aca="false">IFERROR(AG60/T60,"")</f>
        <v>0.98379970544919</v>
      </c>
      <c r="AI60" s="29" t="n">
        <f aca="false">IFERROR(R60/AG60*60,"")</f>
        <v>405.179640718563</v>
      </c>
      <c r="AJ60" s="30" t="n">
        <f aca="false">IFERROR(AI60/Q60,"")</f>
        <v>0.830055513972056</v>
      </c>
      <c r="AK60" s="31" t="n">
        <f aca="false">IFERROR(R60/(T60/60*Q60),"")</f>
        <v>0.816608370152185</v>
      </c>
      <c r="AL60" s="26" t="n">
        <v>2</v>
      </c>
      <c r="AM60" s="26" t="n">
        <v>4</v>
      </c>
      <c r="AN60" s="26" t="n">
        <v>8</v>
      </c>
      <c r="AO60" s="26" t="n">
        <v>5</v>
      </c>
      <c r="AP60" s="26" t="n">
        <v>10</v>
      </c>
      <c r="AQ60" s="26" t="n">
        <v>9</v>
      </c>
      <c r="AR60" s="26" t="n">
        <v>10</v>
      </c>
      <c r="AS60" s="26" t="n">
        <v>7</v>
      </c>
      <c r="AT60" s="26" t="n">
        <v>2</v>
      </c>
      <c r="AU60" s="26" t="n">
        <v>9</v>
      </c>
      <c r="AV60" s="26" t="n">
        <f aca="false">SUM(AL60:AU60)</f>
        <v>66</v>
      </c>
      <c r="AW60" s="32" t="n">
        <f aca="false">IFERROR(AV60/R60*1000000,"")</f>
        <v>14630.9022389714</v>
      </c>
      <c r="AX60" s="33" t="n">
        <f aca="false">IFERROR((R60-AV60)/R60,"")</f>
        <v>0.985369097761029</v>
      </c>
      <c r="AY60" s="34" t="n">
        <f aca="false">IFERROR(AH60*AJ60*AX60,"")</f>
        <v>0.804660652920962</v>
      </c>
      <c r="AZ60" s="35"/>
    </row>
    <row r="61" customFormat="false" ht="12.75" hidden="false" customHeight="true" outlineLevel="0" collapsed="false">
      <c r="A61" s="24" t="n">
        <v>57</v>
      </c>
      <c r="B61" s="25" t="n">
        <v>46041</v>
      </c>
      <c r="C61" s="25" t="n">
        <v>12</v>
      </c>
      <c r="D61" s="26" t="s">
        <v>87</v>
      </c>
      <c r="E61" s="26" t="s">
        <v>88</v>
      </c>
      <c r="F61" s="26" t="s">
        <v>73</v>
      </c>
      <c r="G61" s="26" t="s">
        <v>10</v>
      </c>
      <c r="H61" s="27" t="n">
        <v>0.354166666666667</v>
      </c>
      <c r="I61" s="27" t="n">
        <v>0.854166666666667</v>
      </c>
      <c r="J61" s="26" t="n">
        <f aca="false">IFERROR((I61-H61)*24*60,"")</f>
        <v>720</v>
      </c>
      <c r="K61" s="26" t="s">
        <v>82</v>
      </c>
      <c r="L61" s="26" t="s">
        <v>83</v>
      </c>
      <c r="M61" s="26" t="s">
        <v>91</v>
      </c>
      <c r="N61" s="26" t="s">
        <v>92</v>
      </c>
      <c r="O61" s="26" t="n">
        <v>2</v>
      </c>
      <c r="P61" s="26" t="n">
        <v>61</v>
      </c>
      <c r="Q61" s="26" t="n">
        <f aca="false">IFERROR(3600/(P61/O61),"")</f>
        <v>118.032786885246</v>
      </c>
      <c r="R61" s="26" t="n">
        <v>1327</v>
      </c>
      <c r="S61" s="26" t="n">
        <v>53</v>
      </c>
      <c r="T61" s="26" t="n">
        <f aca="false">IFERROR(J61-S61,"")</f>
        <v>667</v>
      </c>
      <c r="U61" s="26" t="n">
        <v>11</v>
      </c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 t="n">
        <f aca="false">SUM(U61:AE61)</f>
        <v>11</v>
      </c>
      <c r="AG61" s="26" t="n">
        <f aca="false">T61-AF61</f>
        <v>656</v>
      </c>
      <c r="AH61" s="28" t="n">
        <f aca="false">IFERROR(AG61/T61,"")</f>
        <v>0.983508245877061</v>
      </c>
      <c r="AI61" s="29" t="n">
        <f aca="false">IFERROR(R61/AG61*60,"")</f>
        <v>121.371951219512</v>
      </c>
      <c r="AJ61" s="30" t="n">
        <f aca="false">IFERROR(AI61/Q61,"")</f>
        <v>1.02829014227642</v>
      </c>
      <c r="AK61" s="31" t="n">
        <f aca="false">IFERROR(R61/(T61/60*Q61),"")</f>
        <v>1.01133183408296</v>
      </c>
      <c r="AL61" s="26" t="n">
        <v>1</v>
      </c>
      <c r="AM61" s="26" t="n">
        <v>4</v>
      </c>
      <c r="AN61" s="26" t="n">
        <v>2</v>
      </c>
      <c r="AO61" s="26" t="n">
        <v>3</v>
      </c>
      <c r="AP61" s="26" t="n">
        <v>3</v>
      </c>
      <c r="AQ61" s="26" t="n">
        <v>1</v>
      </c>
      <c r="AR61" s="26" t="n">
        <v>5</v>
      </c>
      <c r="AS61" s="26" t="n">
        <v>5</v>
      </c>
      <c r="AT61" s="26" t="n">
        <v>4</v>
      </c>
      <c r="AU61" s="26" t="n">
        <v>3</v>
      </c>
      <c r="AV61" s="26" t="n">
        <f aca="false">SUM(AL61:AU61)</f>
        <v>31</v>
      </c>
      <c r="AW61" s="32" t="n">
        <f aca="false">IFERROR(AV61/R61*1000000,"")</f>
        <v>23360.9645817634</v>
      </c>
      <c r="AX61" s="33" t="n">
        <f aca="false">IFERROR((R61-AV61)/R61,"")</f>
        <v>0.976639035418237</v>
      </c>
      <c r="AY61" s="34" t="n">
        <f aca="false">IFERROR(AH61*AJ61*AX61,"")</f>
        <v>0.987706146926537</v>
      </c>
      <c r="AZ61" s="35" t="s">
        <v>78</v>
      </c>
    </row>
    <row r="62" customFormat="false" ht="12.75" hidden="false" customHeight="true" outlineLevel="0" collapsed="false">
      <c r="A62" s="24" t="n">
        <v>58</v>
      </c>
      <c r="B62" s="25" t="n">
        <v>46042</v>
      </c>
      <c r="C62" s="25" t="n">
        <v>12</v>
      </c>
      <c r="D62" s="26" t="s">
        <v>71</v>
      </c>
      <c r="E62" s="26" t="s">
        <v>94</v>
      </c>
      <c r="F62" s="26" t="s">
        <v>81</v>
      </c>
      <c r="G62" s="26" t="s">
        <v>11</v>
      </c>
      <c r="H62" s="27" t="n">
        <v>0.354166666666667</v>
      </c>
      <c r="I62" s="27" t="n">
        <v>0.854166666666667</v>
      </c>
      <c r="J62" s="26" t="n">
        <f aca="false">IFERROR((I62-H62)*24*60,"")</f>
        <v>720</v>
      </c>
      <c r="K62" s="26" t="s">
        <v>74</v>
      </c>
      <c r="L62" s="26" t="s">
        <v>106</v>
      </c>
      <c r="M62" s="26" t="s">
        <v>95</v>
      </c>
      <c r="N62" s="26" t="s">
        <v>96</v>
      </c>
      <c r="O62" s="26" t="n">
        <v>4</v>
      </c>
      <c r="P62" s="26" t="n">
        <v>74</v>
      </c>
      <c r="Q62" s="26" t="n">
        <f aca="false">IFERROR(3600/(P62/O62),"")</f>
        <v>194.594594594595</v>
      </c>
      <c r="R62" s="26" t="n">
        <v>1657</v>
      </c>
      <c r="S62" s="26" t="n">
        <v>66</v>
      </c>
      <c r="T62" s="26" t="n">
        <f aca="false">IFERROR(J62-S62,"")</f>
        <v>654</v>
      </c>
      <c r="U62" s="26"/>
      <c r="V62" s="26"/>
      <c r="W62" s="26"/>
      <c r="X62" s="26"/>
      <c r="Y62" s="26" t="n">
        <v>6</v>
      </c>
      <c r="Z62" s="26"/>
      <c r="AA62" s="26"/>
      <c r="AB62" s="26"/>
      <c r="AC62" s="26"/>
      <c r="AD62" s="26"/>
      <c r="AE62" s="26"/>
      <c r="AF62" s="26" t="n">
        <f aca="false">SUM(U62:AE62)</f>
        <v>6</v>
      </c>
      <c r="AG62" s="26" t="n">
        <f aca="false">T62-AF62</f>
        <v>648</v>
      </c>
      <c r="AH62" s="28" t="n">
        <f aca="false">IFERROR(AG62/T62,"")</f>
        <v>0.990825688073395</v>
      </c>
      <c r="AI62" s="29" t="n">
        <f aca="false">IFERROR(R62/AG62*60,"")</f>
        <v>153.425925925926</v>
      </c>
      <c r="AJ62" s="30" t="n">
        <f aca="false">IFERROR(AI62/Q62,"")</f>
        <v>0.788438786008231</v>
      </c>
      <c r="AK62" s="31" t="n">
        <f aca="false">IFERROR(R62/(T62/60*Q62),"")</f>
        <v>0.781205402650357</v>
      </c>
      <c r="AL62" s="26"/>
      <c r="AM62" s="26"/>
      <c r="AN62" s="26"/>
      <c r="AO62" s="26" t="n">
        <v>1</v>
      </c>
      <c r="AP62" s="26"/>
      <c r="AQ62" s="26" t="n">
        <v>1</v>
      </c>
      <c r="AR62" s="26" t="n">
        <v>1</v>
      </c>
      <c r="AS62" s="26" t="n">
        <v>2</v>
      </c>
      <c r="AT62" s="26" t="n">
        <v>3</v>
      </c>
      <c r="AU62" s="26" t="n">
        <v>3</v>
      </c>
      <c r="AV62" s="26" t="n">
        <f aca="false">SUM(AL62:AU62)</f>
        <v>11</v>
      </c>
      <c r="AW62" s="32" t="n">
        <f aca="false">IFERROR(AV62/R62*1000000,"")</f>
        <v>6638.50331925166</v>
      </c>
      <c r="AX62" s="33" t="n">
        <f aca="false">IFERROR((R62-AV62)/R62,"")</f>
        <v>0.993361496680748</v>
      </c>
      <c r="AY62" s="34" t="n">
        <f aca="false">IFERROR(AH62*AJ62*AX62,"")</f>
        <v>0.776019367991845</v>
      </c>
      <c r="AZ62" s="35" t="s">
        <v>78</v>
      </c>
    </row>
    <row r="63" customFormat="false" ht="12.75" hidden="false" customHeight="true" outlineLevel="0" collapsed="false">
      <c r="A63" s="24" t="n">
        <v>59</v>
      </c>
      <c r="B63" s="25" t="n">
        <v>46042</v>
      </c>
      <c r="C63" s="25" t="n">
        <v>12</v>
      </c>
      <c r="D63" s="26" t="s">
        <v>79</v>
      </c>
      <c r="E63" s="26" t="s">
        <v>97</v>
      </c>
      <c r="F63" s="26" t="s">
        <v>73</v>
      </c>
      <c r="G63" s="26" t="s">
        <v>12</v>
      </c>
      <c r="H63" s="27" t="n">
        <v>0.354166666666667</v>
      </c>
      <c r="I63" s="27" t="n">
        <v>0.854166666666667</v>
      </c>
      <c r="J63" s="26" t="n">
        <f aca="false">IFERROR((I63-H63)*24*60,"")</f>
        <v>720</v>
      </c>
      <c r="K63" s="26" t="s">
        <v>74</v>
      </c>
      <c r="L63" s="26" t="s">
        <v>108</v>
      </c>
      <c r="M63" s="26" t="s">
        <v>99</v>
      </c>
      <c r="N63" s="26" t="s">
        <v>100</v>
      </c>
      <c r="O63" s="26" t="n">
        <v>4</v>
      </c>
      <c r="P63" s="26" t="n">
        <v>50</v>
      </c>
      <c r="Q63" s="26" t="n">
        <f aca="false">IFERROR(3600/(P63/O63),"")</f>
        <v>288</v>
      </c>
      <c r="R63" s="26" t="n">
        <v>3130</v>
      </c>
      <c r="S63" s="26" t="n">
        <v>60</v>
      </c>
      <c r="T63" s="26" t="n">
        <f aca="false">IFERROR(J63-S63,"")</f>
        <v>660</v>
      </c>
      <c r="U63" s="26"/>
      <c r="V63" s="26"/>
      <c r="W63" s="26" t="n">
        <v>4</v>
      </c>
      <c r="X63" s="26"/>
      <c r="Y63" s="26"/>
      <c r="Z63" s="26"/>
      <c r="AA63" s="26"/>
      <c r="AB63" s="26"/>
      <c r="AC63" s="26"/>
      <c r="AD63" s="26"/>
      <c r="AE63" s="26"/>
      <c r="AF63" s="26" t="n">
        <f aca="false">SUM(U63:AE63)</f>
        <v>4</v>
      </c>
      <c r="AG63" s="26" t="n">
        <f aca="false">T63-AF63</f>
        <v>656</v>
      </c>
      <c r="AH63" s="28" t="n">
        <f aca="false">IFERROR(AG63/T63,"")</f>
        <v>0.993939393939394</v>
      </c>
      <c r="AI63" s="29" t="n">
        <f aca="false">IFERROR(R63/AG63*60,"")</f>
        <v>286.280487804878</v>
      </c>
      <c r="AJ63" s="30" t="n">
        <f aca="false">IFERROR(AI63/Q63,"")</f>
        <v>0.994029471544716</v>
      </c>
      <c r="AK63" s="31" t="n">
        <f aca="false">IFERROR(R63/(T63/60*Q63),"")</f>
        <v>0.988005050505051</v>
      </c>
      <c r="AL63" s="26" t="n">
        <v>2</v>
      </c>
      <c r="AM63" s="26" t="n">
        <v>4</v>
      </c>
      <c r="AN63" s="26" t="n">
        <v>4</v>
      </c>
      <c r="AO63" s="26" t="n">
        <v>3</v>
      </c>
      <c r="AP63" s="26" t="n">
        <v>1</v>
      </c>
      <c r="AQ63" s="26" t="n">
        <v>5</v>
      </c>
      <c r="AR63" s="26" t="n">
        <v>2</v>
      </c>
      <c r="AS63" s="26" t="n">
        <v>6</v>
      </c>
      <c r="AT63" s="26" t="n">
        <v>4</v>
      </c>
      <c r="AU63" s="26"/>
      <c r="AV63" s="26" t="n">
        <f aca="false">SUM(AL63:AU63)</f>
        <v>31</v>
      </c>
      <c r="AW63" s="32" t="n">
        <f aca="false">IFERROR(AV63/R63*1000000,"")</f>
        <v>9904.15335463259</v>
      </c>
      <c r="AX63" s="33" t="n">
        <f aca="false">IFERROR((R63-AV63)/R63,"")</f>
        <v>0.990095846645367</v>
      </c>
      <c r="AY63" s="34" t="n">
        <f aca="false">IFERROR(AH63*AJ63*AX63,"")</f>
        <v>0.978219696969697</v>
      </c>
      <c r="AZ63" s="35"/>
    </row>
    <row r="64" customFormat="false" ht="12.75" hidden="false" customHeight="true" outlineLevel="0" collapsed="false">
      <c r="A64" s="24" t="n">
        <v>60</v>
      </c>
      <c r="B64" s="25" t="n">
        <v>46042</v>
      </c>
      <c r="C64" s="25" t="n">
        <v>12</v>
      </c>
      <c r="D64" s="26" t="s">
        <v>87</v>
      </c>
      <c r="E64" s="26" t="s">
        <v>101</v>
      </c>
      <c r="F64" s="26" t="s">
        <v>81</v>
      </c>
      <c r="G64" s="26" t="s">
        <v>13</v>
      </c>
      <c r="H64" s="27" t="n">
        <v>0.354166666666667</v>
      </c>
      <c r="I64" s="27" t="n">
        <v>0.854166666666667</v>
      </c>
      <c r="J64" s="26" t="n">
        <f aca="false">IFERROR((I64-H64)*24*60,"")</f>
        <v>720</v>
      </c>
      <c r="K64" s="26" t="s">
        <v>74</v>
      </c>
      <c r="L64" s="26" t="s">
        <v>106</v>
      </c>
      <c r="M64" s="26" t="s">
        <v>103</v>
      </c>
      <c r="N64" s="26" t="s">
        <v>104</v>
      </c>
      <c r="O64" s="26" t="n">
        <v>8</v>
      </c>
      <c r="P64" s="26" t="n">
        <v>61</v>
      </c>
      <c r="Q64" s="26" t="n">
        <f aca="false">IFERROR(3600/(P64/O64),"")</f>
        <v>472.131147540984</v>
      </c>
      <c r="R64" s="26" t="n">
        <v>4434</v>
      </c>
      <c r="S64" s="26" t="n">
        <v>31</v>
      </c>
      <c r="T64" s="26" t="n">
        <f aca="false">IFERROR(J64-S64,"")</f>
        <v>689</v>
      </c>
      <c r="U64" s="26"/>
      <c r="V64" s="26"/>
      <c r="W64" s="26"/>
      <c r="X64" s="26" t="n">
        <v>14</v>
      </c>
      <c r="Y64" s="26"/>
      <c r="Z64" s="26"/>
      <c r="AA64" s="26"/>
      <c r="AB64" s="26"/>
      <c r="AC64" s="26"/>
      <c r="AD64" s="26"/>
      <c r="AE64" s="26"/>
      <c r="AF64" s="26" t="n">
        <f aca="false">SUM(U64:AE64)</f>
        <v>14</v>
      </c>
      <c r="AG64" s="26" t="n">
        <f aca="false">T64-AF64</f>
        <v>675</v>
      </c>
      <c r="AH64" s="28" t="n">
        <f aca="false">IFERROR(AG64/T64,"")</f>
        <v>0.979680696661829</v>
      </c>
      <c r="AI64" s="29" t="n">
        <f aca="false">IFERROR(R64/AG64*60,"")</f>
        <v>394.133333333333</v>
      </c>
      <c r="AJ64" s="30" t="n">
        <f aca="false">IFERROR(AI64/Q64,"")</f>
        <v>0.834796296296296</v>
      </c>
      <c r="AK64" s="31" t="n">
        <f aca="false">IFERROR(R64/(T64/60*Q64),"")</f>
        <v>0.81783381712627</v>
      </c>
      <c r="AL64" s="26"/>
      <c r="AM64" s="26" t="n">
        <v>5</v>
      </c>
      <c r="AN64" s="26" t="n">
        <v>2</v>
      </c>
      <c r="AO64" s="26" t="n">
        <v>1</v>
      </c>
      <c r="AP64" s="26" t="n">
        <v>2</v>
      </c>
      <c r="AQ64" s="26" t="n">
        <v>5</v>
      </c>
      <c r="AR64" s="26" t="n">
        <v>2</v>
      </c>
      <c r="AS64" s="26" t="n">
        <v>3</v>
      </c>
      <c r="AT64" s="26" t="n">
        <v>2</v>
      </c>
      <c r="AU64" s="26" t="n">
        <v>7</v>
      </c>
      <c r="AV64" s="26" t="n">
        <f aca="false">SUM(AL64:AU64)</f>
        <v>29</v>
      </c>
      <c r="AW64" s="32" t="n">
        <f aca="false">IFERROR(AV64/R64*1000000,"")</f>
        <v>6540.3698691926</v>
      </c>
      <c r="AX64" s="33" t="n">
        <f aca="false">IFERROR((R64-AV64)/R64,"")</f>
        <v>0.993459630130807</v>
      </c>
      <c r="AY64" s="34" t="n">
        <f aca="false">IFERROR(AH64*AJ64*AX64,"")</f>
        <v>0.812484881470731</v>
      </c>
      <c r="AZ64" s="35" t="s">
        <v>78</v>
      </c>
    </row>
    <row r="65" customFormat="false" ht="12.75" hidden="false" customHeight="true" outlineLevel="0" collapsed="false">
      <c r="A65" s="24" t="n">
        <v>61</v>
      </c>
      <c r="B65" s="25" t="n">
        <v>46043</v>
      </c>
      <c r="C65" s="25" t="n">
        <v>12</v>
      </c>
      <c r="D65" s="26" t="s">
        <v>71</v>
      </c>
      <c r="E65" s="26" t="s">
        <v>72</v>
      </c>
      <c r="F65" s="26" t="s">
        <v>73</v>
      </c>
      <c r="G65" s="26" t="s">
        <v>8</v>
      </c>
      <c r="H65" s="27" t="n">
        <v>0.354166666666667</v>
      </c>
      <c r="I65" s="27" t="n">
        <v>0.854166666666667</v>
      </c>
      <c r="J65" s="26" t="n">
        <f aca="false">IFERROR((I65-H65)*24*60,"")</f>
        <v>720</v>
      </c>
      <c r="K65" s="26" t="s">
        <v>89</v>
      </c>
      <c r="L65" s="26" t="s">
        <v>98</v>
      </c>
      <c r="M65" s="26" t="s">
        <v>76</v>
      </c>
      <c r="N65" s="26" t="s">
        <v>77</v>
      </c>
      <c r="O65" s="26" t="n">
        <v>1</v>
      </c>
      <c r="P65" s="26" t="n">
        <v>35</v>
      </c>
      <c r="Q65" s="26" t="n">
        <f aca="false">IFERROR(3600/(P65/O65),"")</f>
        <v>102.857142857143</v>
      </c>
      <c r="R65" s="26" t="n">
        <v>904</v>
      </c>
      <c r="S65" s="26" t="n">
        <v>45</v>
      </c>
      <c r="T65" s="26" t="n">
        <f aca="false">IFERROR(J65-S65,"")</f>
        <v>675</v>
      </c>
      <c r="U65" s="26"/>
      <c r="V65" s="26"/>
      <c r="W65" s="26"/>
      <c r="X65" s="26"/>
      <c r="Y65" s="26"/>
      <c r="Z65" s="26"/>
      <c r="AA65" s="26" t="n">
        <v>19</v>
      </c>
      <c r="AB65" s="26"/>
      <c r="AC65" s="26"/>
      <c r="AD65" s="26"/>
      <c r="AE65" s="26"/>
      <c r="AF65" s="26" t="n">
        <f aca="false">SUM(U65:AE65)</f>
        <v>19</v>
      </c>
      <c r="AG65" s="26" t="n">
        <f aca="false">T65-AF65</f>
        <v>656</v>
      </c>
      <c r="AH65" s="28" t="n">
        <f aca="false">IFERROR(AG65/T65,"")</f>
        <v>0.971851851851852</v>
      </c>
      <c r="AI65" s="29" t="n">
        <f aca="false">IFERROR(R65/AG65*60,"")</f>
        <v>82.6829268292683</v>
      </c>
      <c r="AJ65" s="30" t="n">
        <f aca="false">IFERROR(AI65/Q65,"")</f>
        <v>0.803861788617886</v>
      </c>
      <c r="AK65" s="31" t="n">
        <f aca="false">IFERROR(R65/(T65/60*Q65),"")</f>
        <v>0.781234567901235</v>
      </c>
      <c r="AL65" s="26"/>
      <c r="AM65" s="26"/>
      <c r="AN65" s="26" t="n">
        <v>4</v>
      </c>
      <c r="AO65" s="26"/>
      <c r="AP65" s="26"/>
      <c r="AQ65" s="26"/>
      <c r="AR65" s="26" t="n">
        <v>2</v>
      </c>
      <c r="AS65" s="26" t="n">
        <v>1</v>
      </c>
      <c r="AT65" s="26" t="n">
        <v>2</v>
      </c>
      <c r="AU65" s="26" t="n">
        <v>1</v>
      </c>
      <c r="AV65" s="26" t="n">
        <f aca="false">SUM(AL65:AU65)</f>
        <v>10</v>
      </c>
      <c r="AW65" s="32" t="n">
        <f aca="false">IFERROR(AV65/R65*1000000,"")</f>
        <v>11061.9469026549</v>
      </c>
      <c r="AX65" s="33" t="n">
        <f aca="false">IFERROR((R65-AV65)/R65,"")</f>
        <v>0.988938053097345</v>
      </c>
      <c r="AY65" s="34" t="n">
        <f aca="false">IFERROR(AH65*AJ65*AX65,"")</f>
        <v>0.772592592592593</v>
      </c>
      <c r="AZ65" s="35" t="s">
        <v>86</v>
      </c>
    </row>
    <row r="66" customFormat="false" ht="12.75" hidden="false" customHeight="true" outlineLevel="0" collapsed="false">
      <c r="A66" s="24" t="n">
        <v>62</v>
      </c>
      <c r="B66" s="25" t="n">
        <v>46043</v>
      </c>
      <c r="C66" s="25" t="n">
        <v>12</v>
      </c>
      <c r="D66" s="26" t="s">
        <v>79</v>
      </c>
      <c r="E66" s="26" t="s">
        <v>80</v>
      </c>
      <c r="F66" s="26" t="s">
        <v>81</v>
      </c>
      <c r="G66" s="26" t="s">
        <v>9</v>
      </c>
      <c r="H66" s="27" t="n">
        <v>0.354166666666667</v>
      </c>
      <c r="I66" s="27" t="n">
        <v>0.854166666666667</v>
      </c>
      <c r="J66" s="26" t="n">
        <f aca="false">IFERROR((I66-H66)*24*60,"")</f>
        <v>720</v>
      </c>
      <c r="K66" s="26" t="s">
        <v>74</v>
      </c>
      <c r="L66" s="26" t="s">
        <v>108</v>
      </c>
      <c r="M66" s="26" t="s">
        <v>84</v>
      </c>
      <c r="N66" s="26" t="s">
        <v>85</v>
      </c>
      <c r="O66" s="26" t="n">
        <v>8</v>
      </c>
      <c r="P66" s="26" t="n">
        <v>63</v>
      </c>
      <c r="Q66" s="26" t="n">
        <f aca="false">IFERROR(3600/(P66/O66),"")</f>
        <v>457.142857142857</v>
      </c>
      <c r="R66" s="26" t="n">
        <v>3535</v>
      </c>
      <c r="S66" s="26" t="n">
        <v>41</v>
      </c>
      <c r="T66" s="26" t="n">
        <f aca="false">IFERROR(J66-S66,"")</f>
        <v>679</v>
      </c>
      <c r="U66" s="26"/>
      <c r="V66" s="26"/>
      <c r="W66" s="26"/>
      <c r="X66" s="26" t="n">
        <v>7</v>
      </c>
      <c r="Y66" s="26"/>
      <c r="Z66" s="26"/>
      <c r="AA66" s="26"/>
      <c r="AB66" s="26" t="n">
        <v>3</v>
      </c>
      <c r="AC66" s="26"/>
      <c r="AD66" s="26"/>
      <c r="AE66" s="26"/>
      <c r="AF66" s="26" t="n">
        <f aca="false">SUM(U66:AE66)</f>
        <v>10</v>
      </c>
      <c r="AG66" s="26" t="n">
        <f aca="false">T66-AF66</f>
        <v>669</v>
      </c>
      <c r="AH66" s="28" t="n">
        <f aca="false">IFERROR(AG66/T66,"")</f>
        <v>0.985272459499264</v>
      </c>
      <c r="AI66" s="29" t="n">
        <f aca="false">IFERROR(R66/AG66*60,"")</f>
        <v>317.040358744395</v>
      </c>
      <c r="AJ66" s="30" t="n">
        <f aca="false">IFERROR(AI66/Q66,"")</f>
        <v>0.693525784753363</v>
      </c>
      <c r="AK66" s="31" t="n">
        <f aca="false">IFERROR(R66/(T66/60*Q66),"")</f>
        <v>0.683311855670103</v>
      </c>
      <c r="AL66" s="26" t="n">
        <v>5</v>
      </c>
      <c r="AM66" s="26" t="n">
        <v>7</v>
      </c>
      <c r="AN66" s="26" t="n">
        <v>5</v>
      </c>
      <c r="AO66" s="26" t="n">
        <v>8</v>
      </c>
      <c r="AP66" s="26" t="n">
        <v>10</v>
      </c>
      <c r="AQ66" s="26" t="n">
        <v>5</v>
      </c>
      <c r="AR66" s="26" t="n">
        <v>4</v>
      </c>
      <c r="AS66" s="26" t="n">
        <v>9</v>
      </c>
      <c r="AT66" s="26" t="n">
        <v>11</v>
      </c>
      <c r="AU66" s="26" t="n">
        <v>9</v>
      </c>
      <c r="AV66" s="26" t="n">
        <f aca="false">SUM(AL66:AU66)</f>
        <v>73</v>
      </c>
      <c r="AW66" s="32" t="n">
        <f aca="false">IFERROR(AV66/R66*1000000,"")</f>
        <v>20650.6364922207</v>
      </c>
      <c r="AX66" s="33" t="n">
        <f aca="false">IFERROR((R66-AV66)/R66,"")</f>
        <v>0.979349363507779</v>
      </c>
      <c r="AY66" s="34" t="n">
        <f aca="false">IFERROR(AH66*AJ66*AX66,"")</f>
        <v>0.669201030927835</v>
      </c>
      <c r="AZ66" s="35" t="s">
        <v>78</v>
      </c>
    </row>
    <row r="67" customFormat="false" ht="12.75" hidden="false" customHeight="true" outlineLevel="0" collapsed="false">
      <c r="A67" s="24" t="n">
        <v>63</v>
      </c>
      <c r="B67" s="25" t="n">
        <v>46043</v>
      </c>
      <c r="C67" s="25" t="n">
        <v>12</v>
      </c>
      <c r="D67" s="26" t="s">
        <v>87</v>
      </c>
      <c r="E67" s="26" t="s">
        <v>88</v>
      </c>
      <c r="F67" s="26" t="s">
        <v>73</v>
      </c>
      <c r="G67" s="26" t="s">
        <v>10</v>
      </c>
      <c r="H67" s="27" t="n">
        <v>0.354166666666667</v>
      </c>
      <c r="I67" s="27" t="n">
        <v>0.854166666666667</v>
      </c>
      <c r="J67" s="26" t="n">
        <f aca="false">IFERROR((I67-H67)*24*60,"")</f>
        <v>720</v>
      </c>
      <c r="K67" s="26" t="s">
        <v>82</v>
      </c>
      <c r="L67" s="26" t="s">
        <v>106</v>
      </c>
      <c r="M67" s="26" t="s">
        <v>91</v>
      </c>
      <c r="N67" s="26" t="s">
        <v>92</v>
      </c>
      <c r="O67" s="26" t="n">
        <v>2</v>
      </c>
      <c r="P67" s="26" t="n">
        <v>39</v>
      </c>
      <c r="Q67" s="26" t="n">
        <f aca="false">IFERROR(3600/(P67/O67),"")</f>
        <v>184.615384615385</v>
      </c>
      <c r="R67" s="26" t="n">
        <v>1529</v>
      </c>
      <c r="S67" s="26" t="n">
        <v>47</v>
      </c>
      <c r="T67" s="26" t="n">
        <f aca="false">IFERROR(J67-S67,"")</f>
        <v>673</v>
      </c>
      <c r="U67" s="26"/>
      <c r="V67" s="26"/>
      <c r="W67" s="26"/>
      <c r="X67" s="26"/>
      <c r="Y67" s="26"/>
      <c r="Z67" s="26"/>
      <c r="AA67" s="26"/>
      <c r="AB67" s="26" t="n">
        <v>9</v>
      </c>
      <c r="AC67" s="26"/>
      <c r="AD67" s="26"/>
      <c r="AE67" s="26" t="n">
        <v>6</v>
      </c>
      <c r="AF67" s="26" t="n">
        <f aca="false">SUM(U67:AE67)</f>
        <v>15</v>
      </c>
      <c r="AG67" s="26" t="n">
        <f aca="false">T67-AF67</f>
        <v>658</v>
      </c>
      <c r="AH67" s="28" t="n">
        <f aca="false">IFERROR(AG67/T67,"")</f>
        <v>0.977711738484398</v>
      </c>
      <c r="AI67" s="29" t="n">
        <f aca="false">IFERROR(R67/AG67*60,"")</f>
        <v>139.422492401216</v>
      </c>
      <c r="AJ67" s="30" t="n">
        <f aca="false">IFERROR(AI67/Q67,"")</f>
        <v>0.755205167173252</v>
      </c>
      <c r="AK67" s="31" t="n">
        <f aca="false">IFERROR(R67/(T67/60*Q67),"")</f>
        <v>0.738372956909361</v>
      </c>
      <c r="AL67" s="26"/>
      <c r="AM67" s="26" t="n">
        <v>2</v>
      </c>
      <c r="AN67" s="26"/>
      <c r="AO67" s="26"/>
      <c r="AP67" s="26" t="n">
        <v>1</v>
      </c>
      <c r="AQ67" s="26"/>
      <c r="AR67" s="26" t="n">
        <v>3</v>
      </c>
      <c r="AS67" s="26" t="n">
        <v>1</v>
      </c>
      <c r="AT67" s="26" t="n">
        <v>1</v>
      </c>
      <c r="AU67" s="26"/>
      <c r="AV67" s="26" t="n">
        <f aca="false">SUM(AL67:AU67)</f>
        <v>8</v>
      </c>
      <c r="AW67" s="32" t="n">
        <f aca="false">IFERROR(AV67/R67*1000000,"")</f>
        <v>5232.1778940484</v>
      </c>
      <c r="AX67" s="33" t="n">
        <f aca="false">IFERROR((R67-AV67)/R67,"")</f>
        <v>0.994767822105952</v>
      </c>
      <c r="AY67" s="34" t="n">
        <f aca="false">IFERROR(AH67*AJ67*AX67,"")</f>
        <v>0.734509658246657</v>
      </c>
      <c r="AZ67" s="35"/>
    </row>
    <row r="68" customFormat="false" ht="12.75" hidden="false" customHeight="true" outlineLevel="0" collapsed="false">
      <c r="A68" s="24" t="n">
        <v>64</v>
      </c>
      <c r="B68" s="25" t="n">
        <v>46044</v>
      </c>
      <c r="C68" s="25" t="n">
        <v>12</v>
      </c>
      <c r="D68" s="26" t="s">
        <v>71</v>
      </c>
      <c r="E68" s="26" t="s">
        <v>94</v>
      </c>
      <c r="F68" s="26" t="s">
        <v>81</v>
      </c>
      <c r="G68" s="26" t="s">
        <v>11</v>
      </c>
      <c r="H68" s="27" t="n">
        <v>0.354166666666667</v>
      </c>
      <c r="I68" s="27" t="n">
        <v>0.854166666666667</v>
      </c>
      <c r="J68" s="26" t="n">
        <f aca="false">IFERROR((I68-H68)*24*60,"")</f>
        <v>720</v>
      </c>
      <c r="K68" s="26" t="s">
        <v>82</v>
      </c>
      <c r="L68" s="26" t="s">
        <v>106</v>
      </c>
      <c r="M68" s="26" t="s">
        <v>95</v>
      </c>
      <c r="N68" s="26" t="s">
        <v>96</v>
      </c>
      <c r="O68" s="26" t="n">
        <v>1</v>
      </c>
      <c r="P68" s="26" t="n">
        <v>73</v>
      </c>
      <c r="Q68" s="26" t="n">
        <f aca="false">IFERROR(3600/(P68/O68),"")</f>
        <v>49.3150684931507</v>
      </c>
      <c r="R68" s="26" t="n">
        <v>499</v>
      </c>
      <c r="S68" s="26" t="n">
        <v>61</v>
      </c>
      <c r="T68" s="26" t="n">
        <f aca="false">IFERROR(J68-S68,"")</f>
        <v>659</v>
      </c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 t="n">
        <v>17</v>
      </c>
      <c r="AF68" s="26" t="n">
        <f aca="false">SUM(U68:AE68)</f>
        <v>17</v>
      </c>
      <c r="AG68" s="26" t="n">
        <f aca="false">T68-AF68</f>
        <v>642</v>
      </c>
      <c r="AH68" s="28" t="n">
        <f aca="false">IFERROR(AG68/T68,"")</f>
        <v>0.974203338391502</v>
      </c>
      <c r="AI68" s="29" t="n">
        <f aca="false">IFERROR(R68/AG68*60,"")</f>
        <v>46.6355140186916</v>
      </c>
      <c r="AJ68" s="30" t="n">
        <f aca="false">IFERROR(AI68/Q68,"")</f>
        <v>0.945664589823468</v>
      </c>
      <c r="AK68" s="31" t="n">
        <f aca="false">IFERROR(R68/(T68/60*Q68),"")</f>
        <v>0.921269600404654</v>
      </c>
      <c r="AL68" s="26"/>
      <c r="AM68" s="26" t="n">
        <v>1</v>
      </c>
      <c r="AN68" s="26"/>
      <c r="AO68" s="26" t="n">
        <v>2</v>
      </c>
      <c r="AP68" s="26"/>
      <c r="AQ68" s="26" t="n">
        <v>1</v>
      </c>
      <c r="AR68" s="26" t="n">
        <v>2</v>
      </c>
      <c r="AS68" s="26" t="n">
        <v>1</v>
      </c>
      <c r="AT68" s="26" t="n">
        <v>1</v>
      </c>
      <c r="AU68" s="26"/>
      <c r="AV68" s="26" t="n">
        <f aca="false">SUM(AL68:AU68)</f>
        <v>8</v>
      </c>
      <c r="AW68" s="32" t="n">
        <f aca="false">IFERROR(AV68/R68*1000000,"")</f>
        <v>16032.0641282565</v>
      </c>
      <c r="AX68" s="33" t="n">
        <f aca="false">IFERROR((R68-AV68)/R68,"")</f>
        <v>0.983967935871744</v>
      </c>
      <c r="AY68" s="34" t="n">
        <f aca="false">IFERROR(AH68*AJ68*AX68,"")</f>
        <v>0.906499747091553</v>
      </c>
      <c r="AZ68" s="35" t="s">
        <v>93</v>
      </c>
    </row>
    <row r="69" customFormat="false" ht="12.75" hidden="false" customHeight="true" outlineLevel="0" collapsed="false">
      <c r="A69" s="24" t="n">
        <v>65</v>
      </c>
      <c r="B69" s="25" t="n">
        <v>46044</v>
      </c>
      <c r="C69" s="25" t="n">
        <v>12</v>
      </c>
      <c r="D69" s="26" t="s">
        <v>79</v>
      </c>
      <c r="E69" s="26" t="s">
        <v>97</v>
      </c>
      <c r="F69" s="26" t="s">
        <v>73</v>
      </c>
      <c r="G69" s="26" t="s">
        <v>12</v>
      </c>
      <c r="H69" s="27" t="n">
        <v>0.354166666666667</v>
      </c>
      <c r="I69" s="27" t="n">
        <v>0.854166666666667</v>
      </c>
      <c r="J69" s="26" t="n">
        <f aca="false">IFERROR((I69-H69)*24*60,"")</f>
        <v>720</v>
      </c>
      <c r="K69" s="26" t="s">
        <v>89</v>
      </c>
      <c r="L69" s="26" t="s">
        <v>107</v>
      </c>
      <c r="M69" s="26" t="s">
        <v>99</v>
      </c>
      <c r="N69" s="26" t="s">
        <v>100</v>
      </c>
      <c r="O69" s="26" t="n">
        <v>2</v>
      </c>
      <c r="P69" s="26" t="n">
        <v>60</v>
      </c>
      <c r="Q69" s="26" t="n">
        <f aca="false">IFERROR(3600/(P69/O69),"")</f>
        <v>120</v>
      </c>
      <c r="R69" s="26" t="n">
        <v>1179</v>
      </c>
      <c r="S69" s="26" t="n">
        <v>51</v>
      </c>
      <c r="T69" s="26" t="n">
        <f aca="false">IFERROR(J69-S69,"")</f>
        <v>669</v>
      </c>
      <c r="U69" s="26" t="n">
        <v>6</v>
      </c>
      <c r="V69" s="26"/>
      <c r="W69" s="26"/>
      <c r="X69" s="26"/>
      <c r="Y69" s="26"/>
      <c r="Z69" s="26"/>
      <c r="AA69" s="26"/>
      <c r="AB69" s="26"/>
      <c r="AC69" s="26"/>
      <c r="AD69" s="26"/>
      <c r="AE69" s="26" t="n">
        <v>9</v>
      </c>
      <c r="AF69" s="26" t="n">
        <f aca="false">SUM(U69:AE69)</f>
        <v>15</v>
      </c>
      <c r="AG69" s="26" t="n">
        <f aca="false">T69-AF69</f>
        <v>654</v>
      </c>
      <c r="AH69" s="28" t="n">
        <f aca="false">IFERROR(AG69/T69,"")</f>
        <v>0.977578475336323</v>
      </c>
      <c r="AI69" s="29" t="n">
        <f aca="false">IFERROR(R69/AG69*60,"")</f>
        <v>108.165137614679</v>
      </c>
      <c r="AJ69" s="30" t="n">
        <f aca="false">IFERROR(AI69/Q69,"")</f>
        <v>0.901376146788991</v>
      </c>
      <c r="AK69" s="31" t="n">
        <f aca="false">IFERROR(R69/(T69/60*Q69),"")</f>
        <v>0.881165919282511</v>
      </c>
      <c r="AL69" s="26" t="n">
        <v>3</v>
      </c>
      <c r="AM69" s="26" t="n">
        <v>3</v>
      </c>
      <c r="AN69" s="26" t="n">
        <v>4</v>
      </c>
      <c r="AO69" s="26" t="n">
        <v>2</v>
      </c>
      <c r="AP69" s="26" t="n">
        <v>4</v>
      </c>
      <c r="AQ69" s="26" t="n">
        <v>2</v>
      </c>
      <c r="AR69" s="26" t="n">
        <v>2</v>
      </c>
      <c r="AS69" s="26" t="n">
        <v>3</v>
      </c>
      <c r="AT69" s="26"/>
      <c r="AU69" s="26"/>
      <c r="AV69" s="26" t="n">
        <f aca="false">SUM(AL69:AU69)</f>
        <v>23</v>
      </c>
      <c r="AW69" s="32" t="n">
        <f aca="false">IFERROR(AV69/R69*1000000,"")</f>
        <v>19508.0576759966</v>
      </c>
      <c r="AX69" s="33" t="n">
        <f aca="false">IFERROR((R69-AV69)/R69,"")</f>
        <v>0.980491942324003</v>
      </c>
      <c r="AY69" s="34" t="n">
        <f aca="false">IFERROR(AH69*AJ69*AX69,"")</f>
        <v>0.863976083707025</v>
      </c>
      <c r="AZ69" s="35" t="s">
        <v>78</v>
      </c>
    </row>
    <row r="70" customFormat="false" ht="12.75" hidden="false" customHeight="true" outlineLevel="0" collapsed="false">
      <c r="A70" s="24" t="n">
        <v>66</v>
      </c>
      <c r="B70" s="25" t="n">
        <v>46044</v>
      </c>
      <c r="C70" s="25" t="n">
        <v>12</v>
      </c>
      <c r="D70" s="26" t="s">
        <v>87</v>
      </c>
      <c r="E70" s="26" t="s">
        <v>101</v>
      </c>
      <c r="F70" s="26" t="s">
        <v>81</v>
      </c>
      <c r="G70" s="26" t="s">
        <v>13</v>
      </c>
      <c r="H70" s="27" t="n">
        <v>0.354166666666667</v>
      </c>
      <c r="I70" s="27" t="n">
        <v>0.854166666666667</v>
      </c>
      <c r="J70" s="26" t="n">
        <f aca="false">IFERROR((I70-H70)*24*60,"")</f>
        <v>720</v>
      </c>
      <c r="K70" s="26" t="s">
        <v>105</v>
      </c>
      <c r="L70" s="26" t="s">
        <v>90</v>
      </c>
      <c r="M70" s="26" t="s">
        <v>103</v>
      </c>
      <c r="N70" s="26" t="s">
        <v>104</v>
      </c>
      <c r="O70" s="26" t="n">
        <v>8</v>
      </c>
      <c r="P70" s="26" t="n">
        <v>28</v>
      </c>
      <c r="Q70" s="26" t="n">
        <f aca="false">IFERROR(3600/(P70/O70),"")</f>
        <v>1028.57142857143</v>
      </c>
      <c r="R70" s="26" t="n">
        <v>8550</v>
      </c>
      <c r="S70" s="26" t="n">
        <v>30</v>
      </c>
      <c r="T70" s="26" t="n">
        <f aca="false">IFERROR(J70-S70,"")</f>
        <v>690</v>
      </c>
      <c r="U70" s="26" t="n">
        <v>17</v>
      </c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 t="n">
        <f aca="false">SUM(U70:AE70)</f>
        <v>17</v>
      </c>
      <c r="AG70" s="26" t="n">
        <f aca="false">T70-AF70</f>
        <v>673</v>
      </c>
      <c r="AH70" s="28" t="n">
        <f aca="false">IFERROR(AG70/T70,"")</f>
        <v>0.97536231884058</v>
      </c>
      <c r="AI70" s="29" t="n">
        <f aca="false">IFERROR(R70/AG70*60,"")</f>
        <v>762.258543833581</v>
      </c>
      <c r="AJ70" s="30" t="n">
        <f aca="false">IFERROR(AI70/Q70,"")</f>
        <v>0.741084695393759</v>
      </c>
      <c r="AK70" s="31" t="n">
        <f aca="false">IFERROR(R70/(T70/60*Q70),"")</f>
        <v>0.722826086956522</v>
      </c>
      <c r="AL70" s="26"/>
      <c r="AM70" s="26" t="n">
        <v>5</v>
      </c>
      <c r="AN70" s="26" t="n">
        <v>4</v>
      </c>
      <c r="AO70" s="26" t="n">
        <v>1</v>
      </c>
      <c r="AP70" s="26" t="n">
        <v>1</v>
      </c>
      <c r="AQ70" s="26" t="n">
        <v>3</v>
      </c>
      <c r="AR70" s="26" t="n">
        <v>3</v>
      </c>
      <c r="AS70" s="26" t="n">
        <v>1</v>
      </c>
      <c r="AT70" s="26"/>
      <c r="AU70" s="26"/>
      <c r="AV70" s="26" t="n">
        <f aca="false">SUM(AL70:AU70)</f>
        <v>18</v>
      </c>
      <c r="AW70" s="32" t="n">
        <f aca="false">IFERROR(AV70/R70*1000000,"")</f>
        <v>2105.26315789474</v>
      </c>
      <c r="AX70" s="33" t="n">
        <f aca="false">IFERROR((R70-AV70)/R70,"")</f>
        <v>0.997894736842105</v>
      </c>
      <c r="AY70" s="34" t="n">
        <f aca="false">IFERROR(AH70*AJ70*AX70,"")</f>
        <v>0.721304347826087</v>
      </c>
      <c r="AZ70" s="35" t="s">
        <v>86</v>
      </c>
    </row>
    <row r="71" customFormat="false" ht="12.75" hidden="false" customHeight="true" outlineLevel="0" collapsed="false">
      <c r="A71" s="24" t="n">
        <v>67</v>
      </c>
      <c r="B71" s="25" t="n">
        <v>46045</v>
      </c>
      <c r="C71" s="25" t="n">
        <v>12</v>
      </c>
      <c r="D71" s="26" t="s">
        <v>71</v>
      </c>
      <c r="E71" s="26" t="s">
        <v>72</v>
      </c>
      <c r="F71" s="26" t="s">
        <v>73</v>
      </c>
      <c r="G71" s="26" t="s">
        <v>8</v>
      </c>
      <c r="H71" s="27" t="n">
        <v>0.354166666666667</v>
      </c>
      <c r="I71" s="27" t="n">
        <v>0.854166666666667</v>
      </c>
      <c r="J71" s="26" t="n">
        <f aca="false">IFERROR((I71-H71)*24*60,"")</f>
        <v>720</v>
      </c>
      <c r="K71" s="26" t="s">
        <v>89</v>
      </c>
      <c r="L71" s="26" t="s">
        <v>106</v>
      </c>
      <c r="M71" s="26" t="s">
        <v>76</v>
      </c>
      <c r="N71" s="26" t="s">
        <v>77</v>
      </c>
      <c r="O71" s="26" t="n">
        <v>2</v>
      </c>
      <c r="P71" s="26" t="n">
        <v>64</v>
      </c>
      <c r="Q71" s="26" t="n">
        <f aca="false">IFERROR(3600/(P71/O71),"")</f>
        <v>112.5</v>
      </c>
      <c r="R71" s="26" t="n">
        <v>1102</v>
      </c>
      <c r="S71" s="26" t="n">
        <v>58</v>
      </c>
      <c r="T71" s="26" t="n">
        <f aca="false">IFERROR(J71-S71,"")</f>
        <v>662</v>
      </c>
      <c r="U71" s="26"/>
      <c r="V71" s="26"/>
      <c r="W71" s="26"/>
      <c r="X71" s="26" t="n">
        <v>10</v>
      </c>
      <c r="Y71" s="26"/>
      <c r="Z71" s="26"/>
      <c r="AA71" s="26"/>
      <c r="AB71" s="26"/>
      <c r="AC71" s="26"/>
      <c r="AD71" s="26"/>
      <c r="AE71" s="26" t="n">
        <v>22</v>
      </c>
      <c r="AF71" s="26" t="n">
        <f aca="false">SUM(U71:AE71)</f>
        <v>32</v>
      </c>
      <c r="AG71" s="26" t="n">
        <f aca="false">T71-AF71</f>
        <v>630</v>
      </c>
      <c r="AH71" s="28" t="n">
        <f aca="false">IFERROR(AG71/T71,"")</f>
        <v>0.95166163141994</v>
      </c>
      <c r="AI71" s="29" t="n">
        <f aca="false">IFERROR(R71/AG71*60,"")</f>
        <v>104.952380952381</v>
      </c>
      <c r="AJ71" s="30" t="n">
        <f aca="false">IFERROR(AI71/Q71,"")</f>
        <v>0.932910052910053</v>
      </c>
      <c r="AK71" s="31" t="n">
        <f aca="false">IFERROR(R71/(T71/60*Q71),"")</f>
        <v>0.887814702920443</v>
      </c>
      <c r="AL71" s="26"/>
      <c r="AM71" s="26" t="n">
        <v>2</v>
      </c>
      <c r="AN71" s="26" t="n">
        <v>1</v>
      </c>
      <c r="AO71" s="26"/>
      <c r="AP71" s="26"/>
      <c r="AQ71" s="26"/>
      <c r="AR71" s="26"/>
      <c r="AS71" s="26"/>
      <c r="AT71" s="26"/>
      <c r="AU71" s="26" t="n">
        <v>1</v>
      </c>
      <c r="AV71" s="26" t="n">
        <f aca="false">SUM(AL71:AU71)</f>
        <v>4</v>
      </c>
      <c r="AW71" s="32" t="n">
        <f aca="false">IFERROR(AV71/R71*1000000,"")</f>
        <v>3629.76406533575</v>
      </c>
      <c r="AX71" s="33" t="n">
        <f aca="false">IFERROR((R71-AV71)/R71,"")</f>
        <v>0.996370235934664</v>
      </c>
      <c r="AY71" s="34" t="n">
        <f aca="false">IFERROR(AH71*AJ71*AX71,"")</f>
        <v>0.884592145015106</v>
      </c>
      <c r="AZ71" s="35"/>
    </row>
    <row r="72" customFormat="false" ht="12.75" hidden="false" customHeight="true" outlineLevel="0" collapsed="false">
      <c r="A72" s="24" t="n">
        <v>68</v>
      </c>
      <c r="B72" s="25" t="n">
        <v>46045</v>
      </c>
      <c r="C72" s="25" t="n">
        <v>12</v>
      </c>
      <c r="D72" s="26" t="s">
        <v>79</v>
      </c>
      <c r="E72" s="26" t="s">
        <v>80</v>
      </c>
      <c r="F72" s="26" t="s">
        <v>81</v>
      </c>
      <c r="G72" s="26" t="s">
        <v>9</v>
      </c>
      <c r="H72" s="27" t="n">
        <v>0.354166666666667</v>
      </c>
      <c r="I72" s="27" t="n">
        <v>0.854166666666667</v>
      </c>
      <c r="J72" s="26" t="n">
        <f aca="false">IFERROR((I72-H72)*24*60,"")</f>
        <v>720</v>
      </c>
      <c r="K72" s="26" t="s">
        <v>89</v>
      </c>
      <c r="L72" s="26" t="s">
        <v>106</v>
      </c>
      <c r="M72" s="26" t="s">
        <v>84</v>
      </c>
      <c r="N72" s="26" t="s">
        <v>85</v>
      </c>
      <c r="O72" s="26" t="n">
        <v>2</v>
      </c>
      <c r="P72" s="26" t="n">
        <v>41</v>
      </c>
      <c r="Q72" s="26" t="n">
        <f aca="false">IFERROR(3600/(P72/O72),"")</f>
        <v>175.609756097561</v>
      </c>
      <c r="R72" s="26" t="n">
        <v>1755</v>
      </c>
      <c r="S72" s="26" t="n">
        <v>50</v>
      </c>
      <c r="T72" s="26" t="n">
        <f aca="false">IFERROR(J72-S72,"")</f>
        <v>670</v>
      </c>
      <c r="U72" s="26"/>
      <c r="V72" s="26"/>
      <c r="W72" s="26"/>
      <c r="X72" s="26"/>
      <c r="Y72" s="26"/>
      <c r="Z72" s="26"/>
      <c r="AA72" s="26"/>
      <c r="AB72" s="26"/>
      <c r="AC72" s="26"/>
      <c r="AD72" s="26" t="n">
        <v>11</v>
      </c>
      <c r="AE72" s="26"/>
      <c r="AF72" s="26" t="n">
        <f aca="false">SUM(U72:AE72)</f>
        <v>11</v>
      </c>
      <c r="AG72" s="26" t="n">
        <f aca="false">T72-AF72</f>
        <v>659</v>
      </c>
      <c r="AH72" s="28" t="n">
        <f aca="false">IFERROR(AG72/T72,"")</f>
        <v>0.983582089552239</v>
      </c>
      <c r="AI72" s="29" t="n">
        <f aca="false">IFERROR(R72/AG72*60,"")</f>
        <v>159.787556904401</v>
      </c>
      <c r="AJ72" s="30" t="n">
        <f aca="false">IFERROR(AI72/Q72,"")</f>
        <v>0.909901365705615</v>
      </c>
      <c r="AK72" s="31" t="n">
        <f aca="false">IFERROR(R72/(T72/60*Q72),"")</f>
        <v>0.894962686567164</v>
      </c>
      <c r="AL72" s="26" t="n">
        <v>3</v>
      </c>
      <c r="AM72" s="26" t="n">
        <v>2</v>
      </c>
      <c r="AN72" s="26" t="n">
        <v>1</v>
      </c>
      <c r="AO72" s="26" t="n">
        <v>4</v>
      </c>
      <c r="AP72" s="26" t="n">
        <v>3</v>
      </c>
      <c r="AQ72" s="26" t="n">
        <v>2</v>
      </c>
      <c r="AR72" s="26" t="n">
        <v>3</v>
      </c>
      <c r="AS72" s="26" t="n">
        <v>2</v>
      </c>
      <c r="AT72" s="26" t="n">
        <v>3</v>
      </c>
      <c r="AU72" s="26" t="n">
        <v>4</v>
      </c>
      <c r="AV72" s="26" t="n">
        <f aca="false">SUM(AL72:AU72)</f>
        <v>27</v>
      </c>
      <c r="AW72" s="32" t="n">
        <f aca="false">IFERROR(AV72/R72*1000000,"")</f>
        <v>15384.6153846154</v>
      </c>
      <c r="AX72" s="33" t="n">
        <f aca="false">IFERROR((R72-AV72)/R72,"")</f>
        <v>0.984615384615385</v>
      </c>
      <c r="AY72" s="34" t="n">
        <f aca="false">IFERROR(AH72*AJ72*AX72,"")</f>
        <v>0.881194029850746</v>
      </c>
      <c r="AZ72" s="35" t="s">
        <v>86</v>
      </c>
    </row>
    <row r="73" customFormat="false" ht="12.75" hidden="false" customHeight="true" outlineLevel="0" collapsed="false">
      <c r="A73" s="24" t="n">
        <v>69</v>
      </c>
      <c r="B73" s="25" t="n">
        <v>46045</v>
      </c>
      <c r="C73" s="25" t="n">
        <v>12</v>
      </c>
      <c r="D73" s="26" t="s">
        <v>87</v>
      </c>
      <c r="E73" s="26" t="s">
        <v>88</v>
      </c>
      <c r="F73" s="26" t="s">
        <v>73</v>
      </c>
      <c r="G73" s="26" t="s">
        <v>10</v>
      </c>
      <c r="H73" s="27" t="n">
        <v>0.354166666666667</v>
      </c>
      <c r="I73" s="27" t="n">
        <v>0.854166666666667</v>
      </c>
      <c r="J73" s="26" t="n">
        <f aca="false">IFERROR((I73-H73)*24*60,"")</f>
        <v>720</v>
      </c>
      <c r="K73" s="26" t="s">
        <v>74</v>
      </c>
      <c r="L73" s="26" t="s">
        <v>98</v>
      </c>
      <c r="M73" s="26" t="s">
        <v>91</v>
      </c>
      <c r="N73" s="26" t="s">
        <v>92</v>
      </c>
      <c r="O73" s="26" t="n">
        <v>1</v>
      </c>
      <c r="P73" s="26" t="n">
        <v>61</v>
      </c>
      <c r="Q73" s="26" t="n">
        <f aca="false">IFERROR(3600/(P73/O73),"")</f>
        <v>59.016393442623</v>
      </c>
      <c r="R73" s="26" t="n">
        <v>468</v>
      </c>
      <c r="S73" s="26" t="n">
        <v>60</v>
      </c>
      <c r="T73" s="26" t="n">
        <f aca="false">IFERROR(J73-S73,"")</f>
        <v>660</v>
      </c>
      <c r="U73" s="26" t="n">
        <v>4</v>
      </c>
      <c r="V73" s="26"/>
      <c r="W73" s="26"/>
      <c r="X73" s="26"/>
      <c r="Y73" s="26"/>
      <c r="Z73" s="26"/>
      <c r="AA73" s="26" t="n">
        <v>3</v>
      </c>
      <c r="AB73" s="26"/>
      <c r="AC73" s="26"/>
      <c r="AD73" s="26"/>
      <c r="AE73" s="26"/>
      <c r="AF73" s="26" t="n">
        <f aca="false">SUM(U73:AE73)</f>
        <v>7</v>
      </c>
      <c r="AG73" s="26" t="n">
        <f aca="false">T73-AF73</f>
        <v>653</v>
      </c>
      <c r="AH73" s="28" t="n">
        <f aca="false">IFERROR(AG73/T73,"")</f>
        <v>0.989393939393939</v>
      </c>
      <c r="AI73" s="29" t="n">
        <f aca="false">IFERROR(R73/AG73*60,"")</f>
        <v>43.0015313935682</v>
      </c>
      <c r="AJ73" s="30" t="n">
        <f aca="false">IFERROR(AI73/Q73,"")</f>
        <v>0.728637059724349</v>
      </c>
      <c r="AK73" s="31" t="n">
        <f aca="false">IFERROR(R73/(T73/60*Q73),"")</f>
        <v>0.720909090909091</v>
      </c>
      <c r="AL73" s="26"/>
      <c r="AM73" s="26" t="n">
        <v>1</v>
      </c>
      <c r="AN73" s="26"/>
      <c r="AO73" s="26"/>
      <c r="AP73" s="26"/>
      <c r="AQ73" s="26"/>
      <c r="AR73" s="26" t="n">
        <v>3</v>
      </c>
      <c r="AS73" s="26"/>
      <c r="AT73" s="26" t="n">
        <v>2</v>
      </c>
      <c r="AU73" s="26"/>
      <c r="AV73" s="26" t="n">
        <f aca="false">SUM(AL73:AU73)</f>
        <v>6</v>
      </c>
      <c r="AW73" s="32" t="n">
        <f aca="false">IFERROR(AV73/R73*1000000,"")</f>
        <v>12820.5128205128</v>
      </c>
      <c r="AX73" s="33" t="n">
        <f aca="false">IFERROR((R73-AV73)/R73,"")</f>
        <v>0.987179487179487</v>
      </c>
      <c r="AY73" s="34" t="n">
        <f aca="false">IFERROR(AH73*AJ73*AX73,"")</f>
        <v>0.711666666666667</v>
      </c>
      <c r="AZ73" s="35" t="s">
        <v>78</v>
      </c>
    </row>
    <row r="74" customFormat="false" ht="12.75" hidden="false" customHeight="true" outlineLevel="0" collapsed="false">
      <c r="A74" s="24" t="n">
        <v>70</v>
      </c>
      <c r="B74" s="25" t="n">
        <v>46046</v>
      </c>
      <c r="C74" s="25" t="n">
        <v>12</v>
      </c>
      <c r="D74" s="26" t="s">
        <v>71</v>
      </c>
      <c r="E74" s="26" t="s">
        <v>94</v>
      </c>
      <c r="F74" s="26" t="s">
        <v>81</v>
      </c>
      <c r="G74" s="26" t="s">
        <v>11</v>
      </c>
      <c r="H74" s="27" t="n">
        <v>0.354166666666667</v>
      </c>
      <c r="I74" s="27" t="n">
        <v>0.854166666666667</v>
      </c>
      <c r="J74" s="26" t="n">
        <f aca="false">IFERROR((I74-H74)*24*60,"")</f>
        <v>720</v>
      </c>
      <c r="K74" s="26" t="s">
        <v>74</v>
      </c>
      <c r="L74" s="26" t="s">
        <v>107</v>
      </c>
      <c r="M74" s="26" t="s">
        <v>95</v>
      </c>
      <c r="N74" s="26" t="s">
        <v>96</v>
      </c>
      <c r="O74" s="26" t="n">
        <v>2</v>
      </c>
      <c r="P74" s="26" t="n">
        <v>75</v>
      </c>
      <c r="Q74" s="26" t="n">
        <f aca="false">IFERROR(3600/(P74/O74),"")</f>
        <v>96</v>
      </c>
      <c r="R74" s="26" t="n">
        <v>803</v>
      </c>
      <c r="S74" s="26" t="n">
        <v>49</v>
      </c>
      <c r="T74" s="26" t="n">
        <f aca="false">IFERROR(J74-S74,"")</f>
        <v>671</v>
      </c>
      <c r="U74" s="26"/>
      <c r="V74" s="26"/>
      <c r="W74" s="26"/>
      <c r="X74" s="26"/>
      <c r="Y74" s="26"/>
      <c r="Z74" s="26"/>
      <c r="AA74" s="26"/>
      <c r="AB74" s="26"/>
      <c r="AC74" s="26"/>
      <c r="AD74" s="26" t="n">
        <v>9</v>
      </c>
      <c r="AE74" s="26" t="n">
        <v>5</v>
      </c>
      <c r="AF74" s="26" t="n">
        <f aca="false">SUM(U74:AE74)</f>
        <v>14</v>
      </c>
      <c r="AG74" s="26" t="n">
        <f aca="false">T74-AF74</f>
        <v>657</v>
      </c>
      <c r="AH74" s="28" t="n">
        <f aca="false">IFERROR(AG74/T74,"")</f>
        <v>0.979135618479881</v>
      </c>
      <c r="AI74" s="29" t="n">
        <f aca="false">IFERROR(R74/AG74*60,"")</f>
        <v>73.3333333333333</v>
      </c>
      <c r="AJ74" s="30" t="n">
        <f aca="false">IFERROR(AI74/Q74,"")</f>
        <v>0.763888888888889</v>
      </c>
      <c r="AK74" s="31" t="n">
        <f aca="false">IFERROR(R74/(T74/60*Q74),"")</f>
        <v>0.747950819672131</v>
      </c>
      <c r="AL74" s="26" t="n">
        <v>2</v>
      </c>
      <c r="AM74" s="26" t="n">
        <v>3</v>
      </c>
      <c r="AN74" s="26"/>
      <c r="AO74" s="26" t="n">
        <v>2</v>
      </c>
      <c r="AP74" s="26" t="n">
        <v>2</v>
      </c>
      <c r="AQ74" s="26"/>
      <c r="AR74" s="26" t="n">
        <v>2</v>
      </c>
      <c r="AS74" s="26" t="n">
        <v>1</v>
      </c>
      <c r="AT74" s="26"/>
      <c r="AU74" s="26" t="n">
        <v>2</v>
      </c>
      <c r="AV74" s="26" t="n">
        <f aca="false">SUM(AL74:AU74)</f>
        <v>14</v>
      </c>
      <c r="AW74" s="32" t="n">
        <f aca="false">IFERROR(AV74/R74*1000000,"")</f>
        <v>17434.6201743462</v>
      </c>
      <c r="AX74" s="33" t="n">
        <f aca="false">IFERROR((R74-AV74)/R74,"")</f>
        <v>0.982565379825654</v>
      </c>
      <c r="AY74" s="34" t="n">
        <f aca="false">IFERROR(AH74*AJ74*AX74,"")</f>
        <v>0.734910581222057</v>
      </c>
      <c r="AZ74" s="35" t="s">
        <v>78</v>
      </c>
    </row>
    <row r="75" customFormat="false" ht="12.75" hidden="false" customHeight="true" outlineLevel="0" collapsed="false">
      <c r="A75" s="24" t="n">
        <v>71</v>
      </c>
      <c r="B75" s="25" t="n">
        <v>46046</v>
      </c>
      <c r="C75" s="25" t="n">
        <v>12</v>
      </c>
      <c r="D75" s="26" t="s">
        <v>79</v>
      </c>
      <c r="E75" s="26" t="s">
        <v>97</v>
      </c>
      <c r="F75" s="26" t="s">
        <v>73</v>
      </c>
      <c r="G75" s="26" t="s">
        <v>12</v>
      </c>
      <c r="H75" s="27" t="n">
        <v>0.354166666666667</v>
      </c>
      <c r="I75" s="27" t="n">
        <v>0.854166666666667</v>
      </c>
      <c r="J75" s="26" t="n">
        <f aca="false">IFERROR((I75-H75)*24*60,"")</f>
        <v>720</v>
      </c>
      <c r="K75" s="26" t="s">
        <v>89</v>
      </c>
      <c r="L75" s="26" t="s">
        <v>98</v>
      </c>
      <c r="M75" s="26" t="s">
        <v>99</v>
      </c>
      <c r="N75" s="26" t="s">
        <v>100</v>
      </c>
      <c r="O75" s="26" t="n">
        <v>1</v>
      </c>
      <c r="P75" s="26" t="n">
        <v>34</v>
      </c>
      <c r="Q75" s="26" t="n">
        <f aca="false">IFERROR(3600/(P75/O75),"")</f>
        <v>105.882352941176</v>
      </c>
      <c r="R75" s="26" t="n">
        <v>963</v>
      </c>
      <c r="S75" s="26" t="n">
        <v>75</v>
      </c>
      <c r="T75" s="26" t="n">
        <f aca="false">IFERROR(J75-S75,"")</f>
        <v>645</v>
      </c>
      <c r="U75" s="26"/>
      <c r="V75" s="26"/>
      <c r="W75" s="26"/>
      <c r="X75" s="26"/>
      <c r="Y75" s="26" t="n">
        <v>8</v>
      </c>
      <c r="Z75" s="26"/>
      <c r="AA75" s="26"/>
      <c r="AB75" s="26"/>
      <c r="AC75" s="26" t="n">
        <v>11</v>
      </c>
      <c r="AD75" s="26"/>
      <c r="AE75" s="26"/>
      <c r="AF75" s="26" t="n">
        <f aca="false">SUM(U75:AE75)</f>
        <v>19</v>
      </c>
      <c r="AG75" s="26" t="n">
        <f aca="false">T75-AF75</f>
        <v>626</v>
      </c>
      <c r="AH75" s="28" t="n">
        <f aca="false">IFERROR(AG75/T75,"")</f>
        <v>0.970542635658915</v>
      </c>
      <c r="AI75" s="29" t="n">
        <f aca="false">IFERROR(R75/AG75*60,"")</f>
        <v>92.3003194888179</v>
      </c>
      <c r="AJ75" s="30" t="n">
        <f aca="false">IFERROR(AI75/Q75,"")</f>
        <v>0.871725239616614</v>
      </c>
      <c r="AK75" s="31" t="n">
        <f aca="false">IFERROR(R75/(T75/60*Q75),"")</f>
        <v>0.846046511627907</v>
      </c>
      <c r="AL75" s="26" t="n">
        <v>1</v>
      </c>
      <c r="AM75" s="26" t="n">
        <v>1</v>
      </c>
      <c r="AN75" s="26" t="n">
        <v>1</v>
      </c>
      <c r="AO75" s="26"/>
      <c r="AP75" s="26" t="n">
        <v>1</v>
      </c>
      <c r="AQ75" s="26" t="n">
        <v>1</v>
      </c>
      <c r="AR75" s="26"/>
      <c r="AS75" s="26"/>
      <c r="AT75" s="26"/>
      <c r="AU75" s="26"/>
      <c r="AV75" s="26" t="n">
        <f aca="false">SUM(AL75:AU75)</f>
        <v>5</v>
      </c>
      <c r="AW75" s="32" t="n">
        <f aca="false">IFERROR(AV75/R75*1000000,"")</f>
        <v>5192.10799584631</v>
      </c>
      <c r="AX75" s="33" t="n">
        <f aca="false">IFERROR((R75-AV75)/R75,"")</f>
        <v>0.994807892004154</v>
      </c>
      <c r="AY75" s="34" t="n">
        <f aca="false">IFERROR(AH75*AJ75*AX75,"")</f>
        <v>0.841653746770026</v>
      </c>
      <c r="AZ75" s="35" t="s">
        <v>78</v>
      </c>
    </row>
    <row r="76" customFormat="false" ht="12.75" hidden="false" customHeight="true" outlineLevel="0" collapsed="false">
      <c r="A76" s="24" t="n">
        <v>72</v>
      </c>
      <c r="B76" s="25" t="n">
        <v>46046</v>
      </c>
      <c r="C76" s="25" t="n">
        <v>12</v>
      </c>
      <c r="D76" s="26" t="s">
        <v>87</v>
      </c>
      <c r="E76" s="26" t="s">
        <v>101</v>
      </c>
      <c r="F76" s="26" t="s">
        <v>81</v>
      </c>
      <c r="G76" s="26" t="s">
        <v>13</v>
      </c>
      <c r="H76" s="27" t="n">
        <v>0.354166666666667</v>
      </c>
      <c r="I76" s="27" t="n">
        <v>0.854166666666667</v>
      </c>
      <c r="J76" s="26" t="n">
        <f aca="false">IFERROR((I76-H76)*24*60,"")</f>
        <v>720</v>
      </c>
      <c r="K76" s="26" t="s">
        <v>105</v>
      </c>
      <c r="L76" s="26" t="s">
        <v>83</v>
      </c>
      <c r="M76" s="26" t="s">
        <v>103</v>
      </c>
      <c r="N76" s="26" t="s">
        <v>104</v>
      </c>
      <c r="O76" s="26" t="n">
        <v>8</v>
      </c>
      <c r="P76" s="26" t="n">
        <v>53</v>
      </c>
      <c r="Q76" s="26" t="n">
        <f aca="false">IFERROR(3600/(P76/O76),"")</f>
        <v>543.396226415094</v>
      </c>
      <c r="R76" s="26" t="n">
        <v>5270</v>
      </c>
      <c r="S76" s="26" t="n">
        <v>46</v>
      </c>
      <c r="T76" s="26" t="n">
        <f aca="false">IFERROR(J76-S76,"")</f>
        <v>674</v>
      </c>
      <c r="U76" s="26"/>
      <c r="V76" s="26"/>
      <c r="W76" s="26"/>
      <c r="X76" s="26"/>
      <c r="Y76" s="26"/>
      <c r="Z76" s="26"/>
      <c r="AA76" s="26"/>
      <c r="AB76" s="26"/>
      <c r="AC76" s="26"/>
      <c r="AD76" s="26" t="n">
        <v>6</v>
      </c>
      <c r="AE76" s="26"/>
      <c r="AF76" s="26" t="n">
        <f aca="false">SUM(U76:AE76)</f>
        <v>6</v>
      </c>
      <c r="AG76" s="26" t="n">
        <f aca="false">T76-AF76</f>
        <v>668</v>
      </c>
      <c r="AH76" s="28" t="n">
        <f aca="false">IFERROR(AG76/T76,"")</f>
        <v>0.991097922848665</v>
      </c>
      <c r="AI76" s="29" t="n">
        <f aca="false">IFERROR(R76/AG76*60,"")</f>
        <v>473.353293413174</v>
      </c>
      <c r="AJ76" s="30" t="n">
        <f aca="false">IFERROR(AI76/Q76,"")</f>
        <v>0.871101546906188</v>
      </c>
      <c r="AK76" s="31" t="n">
        <f aca="false">IFERROR(R76/(T76/60*Q76),"")</f>
        <v>0.863346933728981</v>
      </c>
      <c r="AL76" s="26" t="n">
        <v>5</v>
      </c>
      <c r="AM76" s="26" t="n">
        <v>4</v>
      </c>
      <c r="AN76" s="26" t="n">
        <v>3</v>
      </c>
      <c r="AO76" s="26" t="n">
        <v>4</v>
      </c>
      <c r="AP76" s="26" t="n">
        <v>2</v>
      </c>
      <c r="AQ76" s="26" t="n">
        <v>4</v>
      </c>
      <c r="AR76" s="26" t="n">
        <v>3</v>
      </c>
      <c r="AS76" s="26" t="n">
        <v>1</v>
      </c>
      <c r="AT76" s="26" t="n">
        <v>2</v>
      </c>
      <c r="AU76" s="26" t="n">
        <v>2</v>
      </c>
      <c r="AV76" s="26" t="n">
        <f aca="false">SUM(AL76:AU76)</f>
        <v>30</v>
      </c>
      <c r="AW76" s="32" t="n">
        <f aca="false">IFERROR(AV76/R76*1000000,"")</f>
        <v>5692.59962049336</v>
      </c>
      <c r="AX76" s="33" t="n">
        <f aca="false">IFERROR((R76-AV76)/R76,"")</f>
        <v>0.994307400379507</v>
      </c>
      <c r="AY76" s="34" t="n">
        <f aca="false">IFERROR(AH76*AJ76*AX76,"")</f>
        <v>0.858432245301682</v>
      </c>
      <c r="AZ76" s="35" t="s">
        <v>86</v>
      </c>
    </row>
    <row r="77" customFormat="false" ht="12.75" hidden="false" customHeight="true" outlineLevel="0" collapsed="false">
      <c r="A77" s="24" t="n">
        <v>73</v>
      </c>
      <c r="B77" s="25" t="n">
        <v>46047</v>
      </c>
      <c r="C77" s="25" t="n">
        <v>12</v>
      </c>
      <c r="D77" s="26" t="s">
        <v>71</v>
      </c>
      <c r="E77" s="26" t="s">
        <v>72</v>
      </c>
      <c r="F77" s="26" t="s">
        <v>73</v>
      </c>
      <c r="G77" s="26" t="s">
        <v>8</v>
      </c>
      <c r="H77" s="27" t="n">
        <v>0.354166666666667</v>
      </c>
      <c r="I77" s="27" t="n">
        <v>0.854166666666667</v>
      </c>
      <c r="J77" s="26" t="n">
        <f aca="false">IFERROR((I77-H77)*24*60,"")</f>
        <v>720</v>
      </c>
      <c r="K77" s="26" t="s">
        <v>89</v>
      </c>
      <c r="L77" s="26" t="s">
        <v>108</v>
      </c>
      <c r="M77" s="26" t="s">
        <v>76</v>
      </c>
      <c r="N77" s="26" t="s">
        <v>77</v>
      </c>
      <c r="O77" s="26" t="n">
        <v>8</v>
      </c>
      <c r="P77" s="26" t="n">
        <v>28</v>
      </c>
      <c r="Q77" s="26" t="n">
        <f aca="false">IFERROR(3600/(P77/O77),"")</f>
        <v>1028.57142857143</v>
      </c>
      <c r="R77" s="26" t="n">
        <v>11109</v>
      </c>
      <c r="S77" s="26" t="n">
        <v>63</v>
      </c>
      <c r="T77" s="26" t="n">
        <f aca="false">IFERROR(J77-S77,"")</f>
        <v>657</v>
      </c>
      <c r="U77" s="26"/>
      <c r="V77" s="26"/>
      <c r="W77" s="26"/>
      <c r="X77" s="26"/>
      <c r="Y77" s="26"/>
      <c r="Z77" s="26" t="n">
        <v>5</v>
      </c>
      <c r="AA77" s="26"/>
      <c r="AB77" s="26"/>
      <c r="AC77" s="26" t="n">
        <v>3</v>
      </c>
      <c r="AD77" s="26"/>
      <c r="AE77" s="26"/>
      <c r="AF77" s="26" t="n">
        <f aca="false">SUM(U77:AE77)</f>
        <v>8</v>
      </c>
      <c r="AG77" s="26" t="n">
        <f aca="false">T77-AF77</f>
        <v>649</v>
      </c>
      <c r="AH77" s="28" t="n">
        <f aca="false">IFERROR(AG77/T77,"")</f>
        <v>0.987823439878234</v>
      </c>
      <c r="AI77" s="29" t="n">
        <f aca="false">IFERROR(R77/AG77*60,"")</f>
        <v>1027.02619414484</v>
      </c>
      <c r="AJ77" s="30" t="n">
        <f aca="false">IFERROR(AI77/Q77,"")</f>
        <v>0.998497688751926</v>
      </c>
      <c r="AK77" s="31" t="n">
        <f aca="false">IFERROR(R77/(T77/60*Q77),"")</f>
        <v>0.986339421613394</v>
      </c>
      <c r="AL77" s="26" t="n">
        <v>15</v>
      </c>
      <c r="AM77" s="26" t="n">
        <v>20</v>
      </c>
      <c r="AN77" s="26" t="n">
        <v>14</v>
      </c>
      <c r="AO77" s="26" t="n">
        <v>18</v>
      </c>
      <c r="AP77" s="26" t="n">
        <v>13</v>
      </c>
      <c r="AQ77" s="26" t="n">
        <v>14</v>
      </c>
      <c r="AR77" s="26" t="n">
        <v>11</v>
      </c>
      <c r="AS77" s="26" t="n">
        <v>13</v>
      </c>
      <c r="AT77" s="26" t="n">
        <v>9</v>
      </c>
      <c r="AU77" s="26" t="n">
        <v>11</v>
      </c>
      <c r="AV77" s="26" t="n">
        <f aca="false">SUM(AL77:AU77)</f>
        <v>138</v>
      </c>
      <c r="AW77" s="32" t="n">
        <f aca="false">IFERROR(AV77/R77*1000000,"")</f>
        <v>12422.3602484472</v>
      </c>
      <c r="AX77" s="33" t="n">
        <f aca="false">IFERROR((R77-AV77)/R77,"")</f>
        <v>0.987577639751553</v>
      </c>
      <c r="AY77" s="34" t="n">
        <f aca="false">IFERROR(AH77*AJ77*AX77,"")</f>
        <v>0.974086757990867</v>
      </c>
      <c r="AZ77" s="35"/>
    </row>
    <row r="78" customFormat="false" ht="12.75" hidden="false" customHeight="true" outlineLevel="0" collapsed="false">
      <c r="A78" s="24" t="n">
        <v>74</v>
      </c>
      <c r="B78" s="25" t="n">
        <v>46047</v>
      </c>
      <c r="C78" s="25" t="n">
        <v>12</v>
      </c>
      <c r="D78" s="26" t="s">
        <v>79</v>
      </c>
      <c r="E78" s="26" t="s">
        <v>80</v>
      </c>
      <c r="F78" s="26" t="s">
        <v>81</v>
      </c>
      <c r="G78" s="26" t="s">
        <v>9</v>
      </c>
      <c r="H78" s="27" t="n">
        <v>0.354166666666667</v>
      </c>
      <c r="I78" s="27" t="n">
        <v>0.854166666666667</v>
      </c>
      <c r="J78" s="26" t="n">
        <f aca="false">IFERROR((I78-H78)*24*60,"")</f>
        <v>720</v>
      </c>
      <c r="K78" s="26" t="s">
        <v>74</v>
      </c>
      <c r="L78" s="26" t="s">
        <v>83</v>
      </c>
      <c r="M78" s="26" t="s">
        <v>84</v>
      </c>
      <c r="N78" s="26" t="s">
        <v>85</v>
      </c>
      <c r="O78" s="26" t="n">
        <v>8</v>
      </c>
      <c r="P78" s="26" t="n">
        <v>35</v>
      </c>
      <c r="Q78" s="26" t="n">
        <f aca="false">IFERROR(3600/(P78/O78),"")</f>
        <v>822.857142857143</v>
      </c>
      <c r="R78" s="26" t="n">
        <v>7241</v>
      </c>
      <c r="S78" s="26" t="n">
        <v>31</v>
      </c>
      <c r="T78" s="26" t="n">
        <f aca="false">IFERROR(J78-S78,"")</f>
        <v>689</v>
      </c>
      <c r="U78" s="26"/>
      <c r="V78" s="26"/>
      <c r="W78" s="26"/>
      <c r="X78" s="26"/>
      <c r="Y78" s="26" t="n">
        <v>11</v>
      </c>
      <c r="Z78" s="26"/>
      <c r="AA78" s="26"/>
      <c r="AB78" s="26"/>
      <c r="AC78" s="26"/>
      <c r="AD78" s="26"/>
      <c r="AE78" s="26"/>
      <c r="AF78" s="26" t="n">
        <f aca="false">SUM(U78:AE78)</f>
        <v>11</v>
      </c>
      <c r="AG78" s="26" t="n">
        <f aca="false">T78-AF78</f>
        <v>678</v>
      </c>
      <c r="AH78" s="28" t="n">
        <f aca="false">IFERROR(AG78/T78,"")</f>
        <v>0.984034833091437</v>
      </c>
      <c r="AI78" s="29" t="n">
        <f aca="false">IFERROR(R78/AG78*60,"")</f>
        <v>640.796460176991</v>
      </c>
      <c r="AJ78" s="30" t="n">
        <f aca="false">IFERROR(AI78/Q78,"")</f>
        <v>0.77874569813176</v>
      </c>
      <c r="AK78" s="31" t="n">
        <f aca="false">IFERROR(R78/(T78/60*Q78),"")</f>
        <v>0.766312893081761</v>
      </c>
      <c r="AL78" s="26" t="n">
        <v>12</v>
      </c>
      <c r="AM78" s="26" t="n">
        <v>3</v>
      </c>
      <c r="AN78" s="26" t="n">
        <v>8</v>
      </c>
      <c r="AO78" s="26" t="n">
        <v>12</v>
      </c>
      <c r="AP78" s="26" t="n">
        <v>6</v>
      </c>
      <c r="AQ78" s="26" t="n">
        <v>10</v>
      </c>
      <c r="AR78" s="26" t="n">
        <v>6</v>
      </c>
      <c r="AS78" s="26" t="n">
        <v>8</v>
      </c>
      <c r="AT78" s="26" t="n">
        <v>9</v>
      </c>
      <c r="AU78" s="26" t="n">
        <v>14</v>
      </c>
      <c r="AV78" s="26" t="n">
        <f aca="false">SUM(AL78:AU78)</f>
        <v>88</v>
      </c>
      <c r="AW78" s="32" t="n">
        <f aca="false">IFERROR(AV78/R78*1000000,"")</f>
        <v>12153.0175390139</v>
      </c>
      <c r="AX78" s="33" t="n">
        <f aca="false">IFERROR((R78-AV78)/R78,"")</f>
        <v>0.987846982460986</v>
      </c>
      <c r="AY78" s="34" t="n">
        <f aca="false">IFERROR(AH78*AJ78*AX78,"")</f>
        <v>0.756999879051766</v>
      </c>
      <c r="AZ78" s="35" t="s">
        <v>93</v>
      </c>
    </row>
    <row r="79" customFormat="false" ht="12.75" hidden="false" customHeight="true" outlineLevel="0" collapsed="false">
      <c r="A79" s="24" t="n">
        <v>75</v>
      </c>
      <c r="B79" s="25" t="n">
        <v>46047</v>
      </c>
      <c r="C79" s="25" t="n">
        <v>12</v>
      </c>
      <c r="D79" s="26" t="s">
        <v>87</v>
      </c>
      <c r="E79" s="26" t="s">
        <v>88</v>
      </c>
      <c r="F79" s="26" t="s">
        <v>73</v>
      </c>
      <c r="G79" s="26" t="s">
        <v>10</v>
      </c>
      <c r="H79" s="27" t="n">
        <v>0.354166666666667</v>
      </c>
      <c r="I79" s="27" t="n">
        <v>0.854166666666667</v>
      </c>
      <c r="J79" s="26" t="n">
        <f aca="false">IFERROR((I79-H79)*24*60,"")</f>
        <v>720</v>
      </c>
      <c r="K79" s="26" t="s">
        <v>105</v>
      </c>
      <c r="L79" s="26" t="s">
        <v>107</v>
      </c>
      <c r="M79" s="26" t="s">
        <v>91</v>
      </c>
      <c r="N79" s="26" t="s">
        <v>92</v>
      </c>
      <c r="O79" s="26" t="n">
        <v>4</v>
      </c>
      <c r="P79" s="26" t="n">
        <v>27</v>
      </c>
      <c r="Q79" s="26" t="n">
        <f aca="false">IFERROR(3600/(P79/O79),"")</f>
        <v>533.333333333333</v>
      </c>
      <c r="R79" s="26" t="n">
        <v>3962</v>
      </c>
      <c r="S79" s="26" t="n">
        <v>75</v>
      </c>
      <c r="T79" s="26" t="n">
        <f aca="false">IFERROR(J79-S79,"")</f>
        <v>645</v>
      </c>
      <c r="U79" s="26"/>
      <c r="V79" s="26" t="n">
        <v>9</v>
      </c>
      <c r="W79" s="26" t="n">
        <v>14</v>
      </c>
      <c r="X79" s="26"/>
      <c r="Y79" s="26"/>
      <c r="Z79" s="26"/>
      <c r="AA79" s="26"/>
      <c r="AB79" s="26"/>
      <c r="AC79" s="26" t="n">
        <v>9</v>
      </c>
      <c r="AD79" s="26"/>
      <c r="AE79" s="26"/>
      <c r="AF79" s="26" t="n">
        <f aca="false">SUM(U79:AE79)</f>
        <v>32</v>
      </c>
      <c r="AG79" s="26" t="n">
        <f aca="false">T79-AF79</f>
        <v>613</v>
      </c>
      <c r="AH79" s="28" t="n">
        <f aca="false">IFERROR(AG79/T79,"")</f>
        <v>0.950387596899225</v>
      </c>
      <c r="AI79" s="29" t="n">
        <f aca="false">IFERROR(R79/AG79*60,"")</f>
        <v>387.797716150082</v>
      </c>
      <c r="AJ79" s="30" t="n">
        <f aca="false">IFERROR(AI79/Q79,"")</f>
        <v>0.727120717781403</v>
      </c>
      <c r="AK79" s="31" t="n">
        <f aca="false">IFERROR(R79/(T79/60*Q79),"")</f>
        <v>0.691046511627907</v>
      </c>
      <c r="AL79" s="26" t="n">
        <v>7</v>
      </c>
      <c r="AM79" s="26" t="n">
        <v>11</v>
      </c>
      <c r="AN79" s="26" t="n">
        <v>13</v>
      </c>
      <c r="AO79" s="26" t="n">
        <v>6</v>
      </c>
      <c r="AP79" s="26" t="n">
        <v>7</v>
      </c>
      <c r="AQ79" s="26" t="n">
        <v>14</v>
      </c>
      <c r="AR79" s="26" t="n">
        <v>10</v>
      </c>
      <c r="AS79" s="26" t="n">
        <v>7</v>
      </c>
      <c r="AT79" s="26" t="n">
        <v>2</v>
      </c>
      <c r="AU79" s="26" t="n">
        <v>9</v>
      </c>
      <c r="AV79" s="26" t="n">
        <f aca="false">SUM(AL79:AU79)</f>
        <v>86</v>
      </c>
      <c r="AW79" s="32" t="n">
        <f aca="false">IFERROR(AV79/R79*1000000,"")</f>
        <v>21706.2089853609</v>
      </c>
      <c r="AX79" s="33" t="n">
        <f aca="false">IFERROR((R79-AV79)/R79,"")</f>
        <v>0.978293791014639</v>
      </c>
      <c r="AY79" s="34" t="n">
        <f aca="false">IFERROR(AH79*AJ79*AX79,"")</f>
        <v>0.676046511627907</v>
      </c>
      <c r="AZ79" s="35" t="s">
        <v>93</v>
      </c>
    </row>
    <row r="80" customFormat="false" ht="12.75" hidden="false" customHeight="true" outlineLevel="0" collapsed="false">
      <c r="A80" s="24" t="n">
        <v>76</v>
      </c>
      <c r="B80" s="25" t="n">
        <v>46048</v>
      </c>
      <c r="C80" s="25" t="n">
        <v>12</v>
      </c>
      <c r="D80" s="26" t="s">
        <v>71</v>
      </c>
      <c r="E80" s="26" t="s">
        <v>94</v>
      </c>
      <c r="F80" s="26" t="s">
        <v>81</v>
      </c>
      <c r="G80" s="26" t="s">
        <v>11</v>
      </c>
      <c r="H80" s="27" t="n">
        <v>0.354166666666667</v>
      </c>
      <c r="I80" s="27" t="n">
        <v>0.854166666666667</v>
      </c>
      <c r="J80" s="26" t="n">
        <f aca="false">IFERROR((I80-H80)*24*60,"")</f>
        <v>720</v>
      </c>
      <c r="K80" s="26" t="s">
        <v>74</v>
      </c>
      <c r="L80" s="26" t="s">
        <v>108</v>
      </c>
      <c r="M80" s="26" t="s">
        <v>95</v>
      </c>
      <c r="N80" s="26" t="s">
        <v>96</v>
      </c>
      <c r="O80" s="26" t="n">
        <v>1</v>
      </c>
      <c r="P80" s="26" t="n">
        <v>51</v>
      </c>
      <c r="Q80" s="26" t="n">
        <f aca="false">IFERROR(3600/(P80/O80),"")</f>
        <v>70.5882352941177</v>
      </c>
      <c r="R80" s="26" t="n">
        <v>704</v>
      </c>
      <c r="S80" s="26" t="n">
        <v>68</v>
      </c>
      <c r="T80" s="26" t="n">
        <f aca="false">IFERROR(J80-S80,"")</f>
        <v>652</v>
      </c>
      <c r="U80" s="26"/>
      <c r="V80" s="26"/>
      <c r="W80" s="26" t="n">
        <v>30</v>
      </c>
      <c r="X80" s="26"/>
      <c r="Y80" s="26"/>
      <c r="Z80" s="26"/>
      <c r="AA80" s="26"/>
      <c r="AB80" s="26"/>
      <c r="AC80" s="26"/>
      <c r="AD80" s="26"/>
      <c r="AE80" s="26"/>
      <c r="AF80" s="26" t="n">
        <f aca="false">SUM(U80:AE80)</f>
        <v>30</v>
      </c>
      <c r="AG80" s="26" t="n">
        <f aca="false">T80-AF80</f>
        <v>622</v>
      </c>
      <c r="AH80" s="28" t="n">
        <f aca="false">IFERROR(AG80/T80,"")</f>
        <v>0.95398773006135</v>
      </c>
      <c r="AI80" s="29" t="n">
        <f aca="false">IFERROR(R80/AG80*60,"")</f>
        <v>67.9099678456592</v>
      </c>
      <c r="AJ80" s="30" t="n">
        <f aca="false">IFERROR(AI80/Q80,"")</f>
        <v>0.962057877813505</v>
      </c>
      <c r="AK80" s="31" t="n">
        <f aca="false">IFERROR(R80/(T80/60*Q80),"")</f>
        <v>0.917791411042945</v>
      </c>
      <c r="AL80" s="26"/>
      <c r="AM80" s="26"/>
      <c r="AN80" s="26"/>
      <c r="AO80" s="26" t="n">
        <v>1</v>
      </c>
      <c r="AP80" s="26"/>
      <c r="AQ80" s="26" t="n">
        <v>1</v>
      </c>
      <c r="AR80" s="26"/>
      <c r="AS80" s="26"/>
      <c r="AT80" s="26"/>
      <c r="AU80" s="26"/>
      <c r="AV80" s="26" t="n">
        <f aca="false">SUM(AL80:AU80)</f>
        <v>2</v>
      </c>
      <c r="AW80" s="32" t="n">
        <f aca="false">IFERROR(AV80/R80*1000000,"")</f>
        <v>2840.90909090909</v>
      </c>
      <c r="AX80" s="33" t="n">
        <f aca="false">IFERROR((R80-AV80)/R80,"")</f>
        <v>0.997159090909091</v>
      </c>
      <c r="AY80" s="34" t="n">
        <f aca="false">IFERROR(AH80*AJ80*AX80,"")</f>
        <v>0.915184049079755</v>
      </c>
      <c r="AZ80" s="35" t="s">
        <v>93</v>
      </c>
    </row>
    <row r="81" customFormat="false" ht="12.75" hidden="false" customHeight="true" outlineLevel="0" collapsed="false">
      <c r="A81" s="24" t="n">
        <v>77</v>
      </c>
      <c r="B81" s="25" t="n">
        <v>46048</v>
      </c>
      <c r="C81" s="25" t="n">
        <v>12</v>
      </c>
      <c r="D81" s="26" t="s">
        <v>79</v>
      </c>
      <c r="E81" s="26" t="s">
        <v>97</v>
      </c>
      <c r="F81" s="26" t="s">
        <v>73</v>
      </c>
      <c r="G81" s="26" t="s">
        <v>12</v>
      </c>
      <c r="H81" s="27" t="n">
        <v>0.354166666666667</v>
      </c>
      <c r="I81" s="27" t="n">
        <v>0.854166666666667</v>
      </c>
      <c r="J81" s="26" t="n">
        <f aca="false">IFERROR((I81-H81)*24*60,"")</f>
        <v>720</v>
      </c>
      <c r="K81" s="26" t="s">
        <v>74</v>
      </c>
      <c r="L81" s="26" t="s">
        <v>83</v>
      </c>
      <c r="M81" s="26" t="s">
        <v>99</v>
      </c>
      <c r="N81" s="26" t="s">
        <v>100</v>
      </c>
      <c r="O81" s="26" t="n">
        <v>4</v>
      </c>
      <c r="P81" s="26" t="n">
        <v>39</v>
      </c>
      <c r="Q81" s="26" t="n">
        <f aca="false">IFERROR(3600/(P81/O81),"")</f>
        <v>369.230769230769</v>
      </c>
      <c r="R81" s="26" t="n">
        <v>2784</v>
      </c>
      <c r="S81" s="26" t="n">
        <v>72</v>
      </c>
      <c r="T81" s="26" t="n">
        <f aca="false">IFERROR(J81-S81,"")</f>
        <v>648</v>
      </c>
      <c r="U81" s="26"/>
      <c r="V81" s="26"/>
      <c r="W81" s="26" t="n">
        <v>10</v>
      </c>
      <c r="X81" s="26"/>
      <c r="Y81" s="26"/>
      <c r="Z81" s="26"/>
      <c r="AA81" s="26"/>
      <c r="AB81" s="26"/>
      <c r="AC81" s="26" t="n">
        <v>21</v>
      </c>
      <c r="AD81" s="26"/>
      <c r="AE81" s="26"/>
      <c r="AF81" s="26" t="n">
        <f aca="false">SUM(U81:AE81)</f>
        <v>31</v>
      </c>
      <c r="AG81" s="26" t="n">
        <f aca="false">T81-AF81</f>
        <v>617</v>
      </c>
      <c r="AH81" s="28" t="n">
        <f aca="false">IFERROR(AG81/T81,"")</f>
        <v>0.952160493827161</v>
      </c>
      <c r="AI81" s="29" t="n">
        <f aca="false">IFERROR(R81/AG81*60,"")</f>
        <v>270.729335494327</v>
      </c>
      <c r="AJ81" s="30" t="n">
        <f aca="false">IFERROR(AI81/Q81,"")</f>
        <v>0.73322528363047</v>
      </c>
      <c r="AK81" s="31" t="n">
        <f aca="false">IFERROR(R81/(T81/60*Q81),"")</f>
        <v>0.698148148148148</v>
      </c>
      <c r="AL81" s="26" t="n">
        <v>2</v>
      </c>
      <c r="AM81" s="26" t="n">
        <v>2</v>
      </c>
      <c r="AN81" s="26"/>
      <c r="AO81" s="26" t="n">
        <v>1</v>
      </c>
      <c r="AP81" s="26" t="n">
        <v>1</v>
      </c>
      <c r="AQ81" s="26"/>
      <c r="AR81" s="26" t="n">
        <v>1</v>
      </c>
      <c r="AS81" s="26" t="n">
        <v>1</v>
      </c>
      <c r="AT81" s="26"/>
      <c r="AU81" s="26" t="n">
        <v>1</v>
      </c>
      <c r="AV81" s="26" t="n">
        <f aca="false">SUM(AL81:AU81)</f>
        <v>9</v>
      </c>
      <c r="AW81" s="32" t="n">
        <f aca="false">IFERROR(AV81/R81*1000000,"")</f>
        <v>3232.75862068966</v>
      </c>
      <c r="AX81" s="33" t="n">
        <f aca="false">IFERROR((R81-AV81)/R81,"")</f>
        <v>0.99676724137931</v>
      </c>
      <c r="AY81" s="34" t="n">
        <f aca="false">IFERROR(AH81*AJ81*AX81,"")</f>
        <v>0.695891203703704</v>
      </c>
      <c r="AZ81" s="35" t="s">
        <v>93</v>
      </c>
    </row>
    <row r="82" customFormat="false" ht="12.75" hidden="false" customHeight="true" outlineLevel="0" collapsed="false">
      <c r="A82" s="24" t="n">
        <v>78</v>
      </c>
      <c r="B82" s="25" t="n">
        <v>46048</v>
      </c>
      <c r="C82" s="25" t="n">
        <v>12</v>
      </c>
      <c r="D82" s="26" t="s">
        <v>87</v>
      </c>
      <c r="E82" s="26" t="s">
        <v>101</v>
      </c>
      <c r="F82" s="26" t="s">
        <v>81</v>
      </c>
      <c r="G82" s="26" t="s">
        <v>13</v>
      </c>
      <c r="H82" s="27" t="n">
        <v>0.354166666666667</v>
      </c>
      <c r="I82" s="27" t="n">
        <v>0.854166666666667</v>
      </c>
      <c r="J82" s="26" t="n">
        <f aca="false">IFERROR((I82-H82)*24*60,"")</f>
        <v>720</v>
      </c>
      <c r="K82" s="26" t="s">
        <v>105</v>
      </c>
      <c r="L82" s="26" t="s">
        <v>83</v>
      </c>
      <c r="M82" s="26" t="s">
        <v>103</v>
      </c>
      <c r="N82" s="26" t="s">
        <v>104</v>
      </c>
      <c r="O82" s="26" t="n">
        <v>1</v>
      </c>
      <c r="P82" s="26" t="n">
        <v>43</v>
      </c>
      <c r="Q82" s="26" t="n">
        <f aca="false">IFERROR(3600/(P82/O82),"")</f>
        <v>83.7209302325582</v>
      </c>
      <c r="R82" s="26" t="n">
        <v>840</v>
      </c>
      <c r="S82" s="26" t="n">
        <v>35</v>
      </c>
      <c r="T82" s="26" t="n">
        <f aca="false">IFERROR(J82-S82,"")</f>
        <v>685</v>
      </c>
      <c r="U82" s="26"/>
      <c r="V82" s="26" t="n">
        <v>11</v>
      </c>
      <c r="W82" s="26"/>
      <c r="X82" s="26"/>
      <c r="Y82" s="26"/>
      <c r="Z82" s="26"/>
      <c r="AA82" s="26"/>
      <c r="AB82" s="26"/>
      <c r="AC82" s="26"/>
      <c r="AD82" s="26"/>
      <c r="AE82" s="26" t="n">
        <v>34</v>
      </c>
      <c r="AF82" s="26" t="n">
        <f aca="false">SUM(U82:AE82)</f>
        <v>45</v>
      </c>
      <c r="AG82" s="26" t="n">
        <f aca="false">T82-AF82</f>
        <v>640</v>
      </c>
      <c r="AH82" s="28" t="n">
        <f aca="false">IFERROR(AG82/T82,"")</f>
        <v>0.934306569343066</v>
      </c>
      <c r="AI82" s="29" t="n">
        <f aca="false">IFERROR(R82/AG82*60,"")</f>
        <v>78.75</v>
      </c>
      <c r="AJ82" s="30" t="n">
        <f aca="false">IFERROR(AI82/Q82,"")</f>
        <v>0.940625</v>
      </c>
      <c r="AK82" s="31" t="n">
        <f aca="false">IFERROR(R82/(T82/60*Q82),"")</f>
        <v>0.878832116788321</v>
      </c>
      <c r="AL82" s="26" t="n">
        <v>1</v>
      </c>
      <c r="AM82" s="26"/>
      <c r="AN82" s="26" t="n">
        <v>2</v>
      </c>
      <c r="AO82" s="26" t="n">
        <v>1</v>
      </c>
      <c r="AP82" s="26" t="n">
        <v>3</v>
      </c>
      <c r="AQ82" s="26" t="n">
        <v>2</v>
      </c>
      <c r="AR82" s="26" t="n">
        <v>2</v>
      </c>
      <c r="AS82" s="26" t="n">
        <v>3</v>
      </c>
      <c r="AT82" s="26"/>
      <c r="AU82" s="26"/>
      <c r="AV82" s="26" t="n">
        <f aca="false">SUM(AL82:AU82)</f>
        <v>14</v>
      </c>
      <c r="AW82" s="32" t="n">
        <f aca="false">IFERROR(AV82/R82*1000000,"")</f>
        <v>16666.6666666667</v>
      </c>
      <c r="AX82" s="33" t="n">
        <f aca="false">IFERROR((R82-AV82)/R82,"")</f>
        <v>0.983333333333333</v>
      </c>
      <c r="AY82" s="34" t="n">
        <f aca="false">IFERROR(AH82*AJ82*AX82,"")</f>
        <v>0.864184914841849</v>
      </c>
      <c r="AZ82" s="35" t="s">
        <v>78</v>
      </c>
    </row>
    <row r="83" customFormat="false" ht="12.75" hidden="false" customHeight="true" outlineLevel="0" collapsed="false">
      <c r="A83" s="24" t="n">
        <v>79</v>
      </c>
      <c r="B83" s="25" t="n">
        <v>46049</v>
      </c>
      <c r="C83" s="25" t="n">
        <v>12</v>
      </c>
      <c r="D83" s="26" t="s">
        <v>71</v>
      </c>
      <c r="E83" s="26" t="s">
        <v>72</v>
      </c>
      <c r="F83" s="26" t="s">
        <v>73</v>
      </c>
      <c r="G83" s="26" t="s">
        <v>8</v>
      </c>
      <c r="H83" s="27" t="n">
        <v>0.354166666666667</v>
      </c>
      <c r="I83" s="27" t="n">
        <v>0.854166666666667</v>
      </c>
      <c r="J83" s="26" t="n">
        <f aca="false">IFERROR((I83-H83)*24*60,"")</f>
        <v>720</v>
      </c>
      <c r="K83" s="26" t="s">
        <v>82</v>
      </c>
      <c r="L83" s="26" t="s">
        <v>108</v>
      </c>
      <c r="M83" s="26" t="s">
        <v>76</v>
      </c>
      <c r="N83" s="26" t="s">
        <v>77</v>
      </c>
      <c r="O83" s="26" t="n">
        <v>8</v>
      </c>
      <c r="P83" s="26" t="n">
        <v>72</v>
      </c>
      <c r="Q83" s="26" t="n">
        <f aca="false">IFERROR(3600/(P83/O83),"")</f>
        <v>400</v>
      </c>
      <c r="R83" s="26" t="n">
        <v>3847</v>
      </c>
      <c r="S83" s="26" t="n">
        <v>35</v>
      </c>
      <c r="T83" s="26" t="n">
        <f aca="false">IFERROR(J83-S83,"")</f>
        <v>685</v>
      </c>
      <c r="U83" s="26"/>
      <c r="V83" s="26"/>
      <c r="W83" s="26"/>
      <c r="X83" s="26"/>
      <c r="Y83" s="26"/>
      <c r="Z83" s="26"/>
      <c r="AA83" s="26" t="n">
        <v>23</v>
      </c>
      <c r="AB83" s="26"/>
      <c r="AC83" s="26" t="n">
        <v>31</v>
      </c>
      <c r="AD83" s="26"/>
      <c r="AE83" s="26"/>
      <c r="AF83" s="26" t="n">
        <f aca="false">SUM(U83:AE83)</f>
        <v>54</v>
      </c>
      <c r="AG83" s="26" t="n">
        <f aca="false">T83-AF83</f>
        <v>631</v>
      </c>
      <c r="AH83" s="28" t="n">
        <f aca="false">IFERROR(AG83/T83,"")</f>
        <v>0.921167883211679</v>
      </c>
      <c r="AI83" s="29" t="n">
        <f aca="false">IFERROR(R83/AG83*60,"")</f>
        <v>365.800316957211</v>
      </c>
      <c r="AJ83" s="30" t="n">
        <f aca="false">IFERROR(AI83/Q83,"")</f>
        <v>0.914500792393027</v>
      </c>
      <c r="AK83" s="31" t="n">
        <f aca="false">IFERROR(R83/(T83/60*Q83),"")</f>
        <v>0.842408759124088</v>
      </c>
      <c r="AL83" s="26" t="n">
        <v>4</v>
      </c>
      <c r="AM83" s="26" t="n">
        <v>9</v>
      </c>
      <c r="AN83" s="26" t="n">
        <v>8</v>
      </c>
      <c r="AO83" s="26" t="n">
        <v>4</v>
      </c>
      <c r="AP83" s="26" t="n">
        <v>5</v>
      </c>
      <c r="AQ83" s="26" t="n">
        <v>3</v>
      </c>
      <c r="AR83" s="26" t="n">
        <v>9</v>
      </c>
      <c r="AS83" s="26" t="n">
        <v>6</v>
      </c>
      <c r="AT83" s="26" t="n">
        <v>7</v>
      </c>
      <c r="AU83" s="26" t="n">
        <v>13</v>
      </c>
      <c r="AV83" s="26" t="n">
        <f aca="false">SUM(AL83:AU83)</f>
        <v>68</v>
      </c>
      <c r="AW83" s="32" t="n">
        <f aca="false">IFERROR(AV83/R83*1000000,"")</f>
        <v>17676.1112555238</v>
      </c>
      <c r="AX83" s="33" t="n">
        <f aca="false">IFERROR((R83-AV83)/R83,"")</f>
        <v>0.982323888744476</v>
      </c>
      <c r="AY83" s="34" t="n">
        <f aca="false">IFERROR(AH83*AJ83*AX83,"")</f>
        <v>0.827518248175183</v>
      </c>
      <c r="AZ83" s="35" t="s">
        <v>86</v>
      </c>
    </row>
    <row r="84" customFormat="false" ht="12.75" hidden="false" customHeight="true" outlineLevel="0" collapsed="false">
      <c r="A84" s="24" t="n">
        <v>80</v>
      </c>
      <c r="B84" s="25" t="n">
        <v>46049</v>
      </c>
      <c r="C84" s="25" t="n">
        <v>12</v>
      </c>
      <c r="D84" s="26" t="s">
        <v>79</v>
      </c>
      <c r="E84" s="26" t="s">
        <v>80</v>
      </c>
      <c r="F84" s="26" t="s">
        <v>81</v>
      </c>
      <c r="G84" s="26" t="s">
        <v>9</v>
      </c>
      <c r="H84" s="27" t="n">
        <v>0.354166666666667</v>
      </c>
      <c r="I84" s="27" t="n">
        <v>0.854166666666667</v>
      </c>
      <c r="J84" s="26" t="n">
        <f aca="false">IFERROR((I84-H84)*24*60,"")</f>
        <v>720</v>
      </c>
      <c r="K84" s="26" t="s">
        <v>105</v>
      </c>
      <c r="L84" s="26" t="s">
        <v>75</v>
      </c>
      <c r="M84" s="26" t="s">
        <v>84</v>
      </c>
      <c r="N84" s="26" t="s">
        <v>85</v>
      </c>
      <c r="O84" s="26" t="n">
        <v>1</v>
      </c>
      <c r="P84" s="26" t="n">
        <v>49</v>
      </c>
      <c r="Q84" s="26" t="n">
        <f aca="false">IFERROR(3600/(P84/O84),"")</f>
        <v>73.4693877551021</v>
      </c>
      <c r="R84" s="26" t="n">
        <v>732</v>
      </c>
      <c r="S84" s="26" t="n">
        <v>69</v>
      </c>
      <c r="T84" s="26" t="n">
        <f aca="false">IFERROR(J84-S84,"")</f>
        <v>651</v>
      </c>
      <c r="U84" s="26"/>
      <c r="V84" s="26"/>
      <c r="W84" s="26"/>
      <c r="X84" s="26" t="n">
        <v>25</v>
      </c>
      <c r="Y84" s="26"/>
      <c r="Z84" s="26"/>
      <c r="AA84" s="26"/>
      <c r="AB84" s="26" t="n">
        <v>4</v>
      </c>
      <c r="AC84" s="26"/>
      <c r="AD84" s="26"/>
      <c r="AE84" s="26"/>
      <c r="AF84" s="26" t="n">
        <f aca="false">SUM(U84:AE84)</f>
        <v>29</v>
      </c>
      <c r="AG84" s="26" t="n">
        <f aca="false">T84-AF84</f>
        <v>622</v>
      </c>
      <c r="AH84" s="28" t="n">
        <f aca="false">IFERROR(AG84/T84,"")</f>
        <v>0.955453149001536</v>
      </c>
      <c r="AI84" s="29" t="n">
        <f aca="false">IFERROR(R84/AG84*60,"")</f>
        <v>70.6109324758842</v>
      </c>
      <c r="AJ84" s="30" t="n">
        <f aca="false">IFERROR(AI84/Q84,"")</f>
        <v>0.961093247588424</v>
      </c>
      <c r="AK84" s="31" t="n">
        <f aca="false">IFERROR(R84/(T84/60*Q84),"")</f>
        <v>0.918279569892473</v>
      </c>
      <c r="AL84" s="26" t="n">
        <v>1</v>
      </c>
      <c r="AM84" s="26" t="n">
        <v>1</v>
      </c>
      <c r="AN84" s="26" t="n">
        <v>1</v>
      </c>
      <c r="AO84" s="26" t="n">
        <v>1</v>
      </c>
      <c r="AP84" s="26" t="n">
        <v>5</v>
      </c>
      <c r="AQ84" s="26" t="n">
        <v>3</v>
      </c>
      <c r="AR84" s="26" t="n">
        <v>1</v>
      </c>
      <c r="AS84" s="26" t="n">
        <v>2</v>
      </c>
      <c r="AT84" s="26"/>
      <c r="AU84" s="26" t="n">
        <v>1</v>
      </c>
      <c r="AV84" s="26" t="n">
        <f aca="false">SUM(AL84:AU84)</f>
        <v>16</v>
      </c>
      <c r="AW84" s="32" t="n">
        <f aca="false">IFERROR(AV84/R84*1000000,"")</f>
        <v>21857.9234972678</v>
      </c>
      <c r="AX84" s="33" t="n">
        <f aca="false">IFERROR((R84-AV84)/R84,"")</f>
        <v>0.978142076502732</v>
      </c>
      <c r="AY84" s="34" t="n">
        <f aca="false">IFERROR(AH84*AJ84*AX84,"")</f>
        <v>0.898207885304659</v>
      </c>
      <c r="AZ84" s="35"/>
    </row>
    <row r="85" customFormat="false" ht="12.75" hidden="false" customHeight="true" outlineLevel="0" collapsed="false">
      <c r="A85" s="24" t="n">
        <v>81</v>
      </c>
      <c r="B85" s="25" t="n">
        <v>46049</v>
      </c>
      <c r="C85" s="25" t="n">
        <v>12</v>
      </c>
      <c r="D85" s="26" t="s">
        <v>87</v>
      </c>
      <c r="E85" s="26" t="s">
        <v>88</v>
      </c>
      <c r="F85" s="26" t="s">
        <v>73</v>
      </c>
      <c r="G85" s="26" t="s">
        <v>10</v>
      </c>
      <c r="H85" s="27" t="n">
        <v>0.354166666666667</v>
      </c>
      <c r="I85" s="27" t="n">
        <v>0.854166666666667</v>
      </c>
      <c r="J85" s="26" t="n">
        <f aca="false">IFERROR((I85-H85)*24*60,"")</f>
        <v>720</v>
      </c>
      <c r="K85" s="26" t="s">
        <v>89</v>
      </c>
      <c r="L85" s="26" t="s">
        <v>90</v>
      </c>
      <c r="M85" s="26" t="s">
        <v>91</v>
      </c>
      <c r="N85" s="26" t="s">
        <v>92</v>
      </c>
      <c r="O85" s="26" t="n">
        <v>8</v>
      </c>
      <c r="P85" s="26" t="n">
        <v>72</v>
      </c>
      <c r="Q85" s="26" t="n">
        <f aca="false">IFERROR(3600/(P85/O85),"")</f>
        <v>400</v>
      </c>
      <c r="R85" s="26" t="n">
        <v>3650</v>
      </c>
      <c r="S85" s="26" t="n">
        <v>43</v>
      </c>
      <c r="T85" s="26" t="n">
        <f aca="false">IFERROR(J85-S85,"")</f>
        <v>677</v>
      </c>
      <c r="U85" s="26" t="n">
        <v>29</v>
      </c>
      <c r="V85" s="26"/>
      <c r="W85" s="26" t="n">
        <v>11</v>
      </c>
      <c r="X85" s="26"/>
      <c r="Y85" s="26"/>
      <c r="Z85" s="26"/>
      <c r="AA85" s="26"/>
      <c r="AB85" s="26"/>
      <c r="AC85" s="26"/>
      <c r="AD85" s="26"/>
      <c r="AE85" s="26"/>
      <c r="AF85" s="26" t="n">
        <f aca="false">SUM(U85:AE85)</f>
        <v>40</v>
      </c>
      <c r="AG85" s="26" t="n">
        <f aca="false">T85-AF85</f>
        <v>637</v>
      </c>
      <c r="AH85" s="28" t="n">
        <f aca="false">IFERROR(AG85/T85,"")</f>
        <v>0.940915805022157</v>
      </c>
      <c r="AI85" s="29" t="n">
        <f aca="false">IFERROR(R85/AG85*60,"")</f>
        <v>343.799058084772</v>
      </c>
      <c r="AJ85" s="30" t="n">
        <f aca="false">IFERROR(AI85/Q85,"")</f>
        <v>0.859497645211931</v>
      </c>
      <c r="AK85" s="31" t="n">
        <f aca="false">IFERROR(R85/(T85/60*Q85),"")</f>
        <v>0.808714918759232</v>
      </c>
      <c r="AL85" s="26" t="n">
        <v>3</v>
      </c>
      <c r="AM85" s="26"/>
      <c r="AN85" s="26" t="n">
        <v>2</v>
      </c>
      <c r="AO85" s="26" t="n">
        <v>3</v>
      </c>
      <c r="AP85" s="26"/>
      <c r="AQ85" s="26"/>
      <c r="AR85" s="26" t="n">
        <v>1</v>
      </c>
      <c r="AS85" s="26"/>
      <c r="AT85" s="26" t="n">
        <v>2</v>
      </c>
      <c r="AU85" s="26" t="n">
        <v>1</v>
      </c>
      <c r="AV85" s="26" t="n">
        <f aca="false">SUM(AL85:AU85)</f>
        <v>12</v>
      </c>
      <c r="AW85" s="32" t="n">
        <f aca="false">IFERROR(AV85/R85*1000000,"")</f>
        <v>3287.67123287671</v>
      </c>
      <c r="AX85" s="33" t="n">
        <f aca="false">IFERROR((R85-AV85)/R85,"")</f>
        <v>0.996712328767123</v>
      </c>
      <c r="AY85" s="34" t="n">
        <f aca="false">IFERROR(AH85*AJ85*AX85,"")</f>
        <v>0.806056129985229</v>
      </c>
      <c r="AZ85" s="35" t="s">
        <v>93</v>
      </c>
    </row>
    <row r="86" customFormat="false" ht="12.75" hidden="false" customHeight="true" outlineLevel="0" collapsed="false">
      <c r="A86" s="24" t="n">
        <v>82</v>
      </c>
      <c r="B86" s="25" t="n">
        <v>46050</v>
      </c>
      <c r="C86" s="25" t="n">
        <v>12</v>
      </c>
      <c r="D86" s="26" t="s">
        <v>71</v>
      </c>
      <c r="E86" s="26" t="s">
        <v>94</v>
      </c>
      <c r="F86" s="26" t="s">
        <v>81</v>
      </c>
      <c r="G86" s="26" t="s">
        <v>11</v>
      </c>
      <c r="H86" s="27" t="n">
        <v>0.354166666666667</v>
      </c>
      <c r="I86" s="27" t="n">
        <v>0.854166666666667</v>
      </c>
      <c r="J86" s="26" t="n">
        <f aca="false">IFERROR((I86-H86)*24*60,"")</f>
        <v>720</v>
      </c>
      <c r="K86" s="26" t="s">
        <v>89</v>
      </c>
      <c r="L86" s="26" t="s">
        <v>90</v>
      </c>
      <c r="M86" s="26" t="s">
        <v>95</v>
      </c>
      <c r="N86" s="26" t="s">
        <v>96</v>
      </c>
      <c r="O86" s="26" t="n">
        <v>4</v>
      </c>
      <c r="P86" s="26" t="n">
        <v>47</v>
      </c>
      <c r="Q86" s="26" t="n">
        <f aca="false">IFERROR(3600/(P86/O86),"")</f>
        <v>306.382978723404</v>
      </c>
      <c r="R86" s="26" t="n">
        <v>3089</v>
      </c>
      <c r="S86" s="26" t="n">
        <v>75</v>
      </c>
      <c r="T86" s="26" t="n">
        <f aca="false">IFERROR(J86-S86,"")</f>
        <v>645</v>
      </c>
      <c r="U86" s="26" t="n">
        <v>22</v>
      </c>
      <c r="V86" s="26"/>
      <c r="W86" s="26"/>
      <c r="X86" s="26"/>
      <c r="Y86" s="26"/>
      <c r="Z86" s="26"/>
      <c r="AA86" s="26"/>
      <c r="AB86" s="26"/>
      <c r="AC86" s="26"/>
      <c r="AD86" s="26"/>
      <c r="AE86" s="26" t="n">
        <v>13</v>
      </c>
      <c r="AF86" s="26" t="n">
        <f aca="false">SUM(U86:AE86)</f>
        <v>35</v>
      </c>
      <c r="AG86" s="26" t="n">
        <f aca="false">T86-AF86</f>
        <v>610</v>
      </c>
      <c r="AH86" s="28" t="n">
        <f aca="false">IFERROR(AG86/T86,"")</f>
        <v>0.945736434108527</v>
      </c>
      <c r="AI86" s="29" t="n">
        <f aca="false">IFERROR(R86/AG86*60,"")</f>
        <v>303.836065573771</v>
      </c>
      <c r="AJ86" s="30" t="n">
        <f aca="false">IFERROR(AI86/Q86,"")</f>
        <v>0.991687158469945</v>
      </c>
      <c r="AK86" s="31" t="n">
        <f aca="false">IFERROR(R86/(T86/60*Q86),"")</f>
        <v>0.937874677002584</v>
      </c>
      <c r="AL86" s="26" t="n">
        <v>2</v>
      </c>
      <c r="AM86" s="26" t="n">
        <v>1</v>
      </c>
      <c r="AN86" s="26" t="n">
        <v>3</v>
      </c>
      <c r="AO86" s="26" t="n">
        <v>4</v>
      </c>
      <c r="AP86" s="26" t="n">
        <v>3</v>
      </c>
      <c r="AQ86" s="26" t="n">
        <v>2</v>
      </c>
      <c r="AR86" s="26" t="n">
        <v>1</v>
      </c>
      <c r="AS86" s="26" t="n">
        <v>3</v>
      </c>
      <c r="AT86" s="26" t="n">
        <v>1</v>
      </c>
      <c r="AU86" s="26" t="n">
        <v>3</v>
      </c>
      <c r="AV86" s="26" t="n">
        <f aca="false">SUM(AL86:AU86)</f>
        <v>23</v>
      </c>
      <c r="AW86" s="32" t="n">
        <f aca="false">IFERROR(AV86/R86*1000000,"")</f>
        <v>7445.7753318226</v>
      </c>
      <c r="AX86" s="33" t="n">
        <f aca="false">IFERROR((R86-AV86)/R86,"")</f>
        <v>0.992554224668177</v>
      </c>
      <c r="AY86" s="34" t="n">
        <f aca="false">IFERROR(AH86*AJ86*AX86,"")</f>
        <v>0.930891472868217</v>
      </c>
      <c r="AZ86" s="35" t="s">
        <v>78</v>
      </c>
    </row>
    <row r="87" customFormat="false" ht="12.75" hidden="false" customHeight="true" outlineLevel="0" collapsed="false">
      <c r="A87" s="24" t="n">
        <v>83</v>
      </c>
      <c r="B87" s="25" t="n">
        <v>46050</v>
      </c>
      <c r="C87" s="25" t="n">
        <v>12</v>
      </c>
      <c r="D87" s="26" t="s">
        <v>79</v>
      </c>
      <c r="E87" s="26" t="s">
        <v>97</v>
      </c>
      <c r="F87" s="26" t="s">
        <v>73</v>
      </c>
      <c r="G87" s="26" t="s">
        <v>12</v>
      </c>
      <c r="H87" s="27" t="n">
        <v>0.354166666666667</v>
      </c>
      <c r="I87" s="27" t="n">
        <v>0.854166666666667</v>
      </c>
      <c r="J87" s="26" t="n">
        <f aca="false">IFERROR((I87-H87)*24*60,"")</f>
        <v>720</v>
      </c>
      <c r="K87" s="26" t="s">
        <v>89</v>
      </c>
      <c r="L87" s="26" t="s">
        <v>107</v>
      </c>
      <c r="M87" s="26" t="s">
        <v>99</v>
      </c>
      <c r="N87" s="26" t="s">
        <v>100</v>
      </c>
      <c r="O87" s="26" t="n">
        <v>2</v>
      </c>
      <c r="P87" s="26" t="n">
        <v>62</v>
      </c>
      <c r="Q87" s="26" t="n">
        <f aca="false">IFERROR(3600/(P87/O87),"")</f>
        <v>116.129032258065</v>
      </c>
      <c r="R87" s="26" t="n">
        <v>1207</v>
      </c>
      <c r="S87" s="26" t="n">
        <v>60</v>
      </c>
      <c r="T87" s="26" t="n">
        <f aca="false">IFERROR(J87-S87,"")</f>
        <v>660</v>
      </c>
      <c r="U87" s="26"/>
      <c r="V87" s="26"/>
      <c r="W87" s="26"/>
      <c r="X87" s="26"/>
      <c r="Y87" s="26"/>
      <c r="Z87" s="26"/>
      <c r="AA87" s="26"/>
      <c r="AB87" s="26"/>
      <c r="AC87" s="26"/>
      <c r="AD87" s="26" t="n">
        <v>7</v>
      </c>
      <c r="AE87" s="26"/>
      <c r="AF87" s="26" t="n">
        <f aca="false">SUM(U87:AE87)</f>
        <v>7</v>
      </c>
      <c r="AG87" s="26" t="n">
        <f aca="false">T87-AF87</f>
        <v>653</v>
      </c>
      <c r="AH87" s="28" t="n">
        <f aca="false">IFERROR(AG87/T87,"")</f>
        <v>0.989393939393939</v>
      </c>
      <c r="AI87" s="29" t="n">
        <f aca="false">IFERROR(R87/AG87*60,"")</f>
        <v>110.903522205207</v>
      </c>
      <c r="AJ87" s="30" t="n">
        <f aca="false">IFERROR(AI87/Q87,"")</f>
        <v>0.955002552322614</v>
      </c>
      <c r="AK87" s="31" t="n">
        <f aca="false">IFERROR(R87/(T87/60*Q87),"")</f>
        <v>0.944873737373737</v>
      </c>
      <c r="AL87" s="26" t="n">
        <v>1</v>
      </c>
      <c r="AM87" s="26" t="n">
        <v>2</v>
      </c>
      <c r="AN87" s="26"/>
      <c r="AO87" s="26" t="n">
        <v>1</v>
      </c>
      <c r="AP87" s="26" t="n">
        <v>6</v>
      </c>
      <c r="AQ87" s="26" t="n">
        <v>2</v>
      </c>
      <c r="AR87" s="26" t="n">
        <v>3</v>
      </c>
      <c r="AS87" s="26" t="n">
        <v>2</v>
      </c>
      <c r="AT87" s="26" t="n">
        <v>3</v>
      </c>
      <c r="AU87" s="26" t="n">
        <v>4</v>
      </c>
      <c r="AV87" s="26" t="n">
        <f aca="false">SUM(AL87:AU87)</f>
        <v>24</v>
      </c>
      <c r="AW87" s="32" t="n">
        <f aca="false">IFERROR(AV87/R87*1000000,"")</f>
        <v>19884.009942005</v>
      </c>
      <c r="AX87" s="33" t="n">
        <f aca="false">IFERROR((R87-AV87)/R87,"")</f>
        <v>0.980115990057995</v>
      </c>
      <c r="AY87" s="34" t="n">
        <f aca="false">IFERROR(AH87*AJ87*AX87,"")</f>
        <v>0.926085858585859</v>
      </c>
      <c r="AZ87" s="35" t="s">
        <v>93</v>
      </c>
    </row>
    <row r="88" customFormat="false" ht="12.75" hidden="false" customHeight="true" outlineLevel="0" collapsed="false">
      <c r="A88" s="24" t="n">
        <v>84</v>
      </c>
      <c r="B88" s="25" t="n">
        <v>46050</v>
      </c>
      <c r="C88" s="25" t="n">
        <v>12</v>
      </c>
      <c r="D88" s="26" t="s">
        <v>87</v>
      </c>
      <c r="E88" s="26" t="s">
        <v>101</v>
      </c>
      <c r="F88" s="26" t="s">
        <v>81</v>
      </c>
      <c r="G88" s="26" t="s">
        <v>13</v>
      </c>
      <c r="H88" s="27" t="n">
        <v>0.354166666666667</v>
      </c>
      <c r="I88" s="27" t="n">
        <v>0.854166666666667</v>
      </c>
      <c r="J88" s="26" t="n">
        <f aca="false">IFERROR((I88-H88)*24*60,"")</f>
        <v>720</v>
      </c>
      <c r="K88" s="26" t="s">
        <v>82</v>
      </c>
      <c r="L88" s="26" t="s">
        <v>75</v>
      </c>
      <c r="M88" s="26" t="s">
        <v>103</v>
      </c>
      <c r="N88" s="26" t="s">
        <v>104</v>
      </c>
      <c r="O88" s="26" t="n">
        <v>4</v>
      </c>
      <c r="P88" s="26" t="n">
        <v>40</v>
      </c>
      <c r="Q88" s="26" t="n">
        <f aca="false">IFERROR(3600/(P88/O88),"")</f>
        <v>360</v>
      </c>
      <c r="R88" s="26" t="n">
        <v>3495</v>
      </c>
      <c r="S88" s="26" t="n">
        <v>47</v>
      </c>
      <c r="T88" s="26" t="n">
        <f aca="false">IFERROR(J88-S88,"")</f>
        <v>673</v>
      </c>
      <c r="U88" s="26"/>
      <c r="V88" s="26"/>
      <c r="W88" s="26"/>
      <c r="X88" s="26" t="n">
        <v>44</v>
      </c>
      <c r="Y88" s="26"/>
      <c r="Z88" s="26"/>
      <c r="AA88" s="26"/>
      <c r="AB88" s="26"/>
      <c r="AC88" s="26" t="n">
        <v>7</v>
      </c>
      <c r="AD88" s="26"/>
      <c r="AE88" s="26"/>
      <c r="AF88" s="26" t="n">
        <f aca="false">SUM(U88:AE88)</f>
        <v>51</v>
      </c>
      <c r="AG88" s="26" t="n">
        <f aca="false">T88-AF88</f>
        <v>622</v>
      </c>
      <c r="AH88" s="28" t="n">
        <f aca="false">IFERROR(AG88/T88,"")</f>
        <v>0.924219910846954</v>
      </c>
      <c r="AI88" s="29" t="n">
        <f aca="false">IFERROR(R88/AG88*60,"")</f>
        <v>337.138263665595</v>
      </c>
      <c r="AJ88" s="30" t="n">
        <f aca="false">IFERROR(AI88/Q88,"")</f>
        <v>0.936495176848875</v>
      </c>
      <c r="AK88" s="31" t="n">
        <f aca="false">IFERROR(R88/(T88/60*Q88),"")</f>
        <v>0.865527488855869</v>
      </c>
      <c r="AL88" s="26" t="n">
        <v>6</v>
      </c>
      <c r="AM88" s="26" t="n">
        <v>6</v>
      </c>
      <c r="AN88" s="26" t="n">
        <v>10</v>
      </c>
      <c r="AO88" s="26" t="n">
        <v>6</v>
      </c>
      <c r="AP88" s="26" t="n">
        <v>9</v>
      </c>
      <c r="AQ88" s="26" t="n">
        <v>11</v>
      </c>
      <c r="AR88" s="26" t="n">
        <v>8</v>
      </c>
      <c r="AS88" s="26" t="n">
        <v>9</v>
      </c>
      <c r="AT88" s="26" t="n">
        <v>6</v>
      </c>
      <c r="AU88" s="26" t="n">
        <v>8</v>
      </c>
      <c r="AV88" s="26" t="n">
        <f aca="false">SUM(AL88:AU88)</f>
        <v>79</v>
      </c>
      <c r="AW88" s="32" t="n">
        <f aca="false">IFERROR(AV88/R88*1000000,"")</f>
        <v>22603.7195994278</v>
      </c>
      <c r="AX88" s="33" t="n">
        <f aca="false">IFERROR((R88-AV88)/R88,"")</f>
        <v>0.977396280400572</v>
      </c>
      <c r="AY88" s="34" t="n">
        <f aca="false">IFERROR(AH88*AJ88*AX88,"")</f>
        <v>0.845963348192174</v>
      </c>
      <c r="AZ88" s="35" t="s">
        <v>86</v>
      </c>
    </row>
    <row r="89" customFormat="false" ht="12.75" hidden="false" customHeight="true" outlineLevel="0" collapsed="false">
      <c r="A89" s="24" t="n">
        <v>85</v>
      </c>
      <c r="B89" s="25" t="n">
        <v>46051</v>
      </c>
      <c r="C89" s="25" t="n">
        <v>12</v>
      </c>
      <c r="D89" s="26" t="s">
        <v>71</v>
      </c>
      <c r="E89" s="26" t="s">
        <v>72</v>
      </c>
      <c r="F89" s="26" t="s">
        <v>73</v>
      </c>
      <c r="G89" s="26" t="s">
        <v>8</v>
      </c>
      <c r="H89" s="27" t="n">
        <v>0.354166666666667</v>
      </c>
      <c r="I89" s="27" t="n">
        <v>0.854166666666667</v>
      </c>
      <c r="J89" s="26" t="n">
        <f aca="false">IFERROR((I89-H89)*24*60,"")</f>
        <v>720</v>
      </c>
      <c r="K89" s="26" t="s">
        <v>74</v>
      </c>
      <c r="L89" s="26" t="s">
        <v>75</v>
      </c>
      <c r="M89" s="26" t="s">
        <v>76</v>
      </c>
      <c r="N89" s="26" t="s">
        <v>77</v>
      </c>
      <c r="O89" s="26" t="n">
        <v>8</v>
      </c>
      <c r="P89" s="26" t="n">
        <v>74</v>
      </c>
      <c r="Q89" s="26" t="n">
        <f aca="false">IFERROR(3600/(P89/O89),"")</f>
        <v>389.189189189189</v>
      </c>
      <c r="R89" s="26" t="n">
        <v>3934</v>
      </c>
      <c r="S89" s="26" t="n">
        <v>66</v>
      </c>
      <c r="T89" s="26" t="n">
        <f aca="false">IFERROR(J89-S89,"")</f>
        <v>654</v>
      </c>
      <c r="U89" s="26"/>
      <c r="V89" s="26"/>
      <c r="W89" s="26"/>
      <c r="X89" s="26"/>
      <c r="Y89" s="26"/>
      <c r="Z89" s="26"/>
      <c r="AA89" s="26"/>
      <c r="AB89" s="26"/>
      <c r="AC89" s="26"/>
      <c r="AD89" s="26" t="n">
        <v>5</v>
      </c>
      <c r="AE89" s="26"/>
      <c r="AF89" s="26" t="n">
        <f aca="false">SUM(U89:AE89)</f>
        <v>5</v>
      </c>
      <c r="AG89" s="26" t="n">
        <f aca="false">T89-AF89</f>
        <v>649</v>
      </c>
      <c r="AH89" s="28" t="n">
        <f aca="false">IFERROR(AG89/T89,"")</f>
        <v>0.992354740061162</v>
      </c>
      <c r="AI89" s="29" t="n">
        <f aca="false">IFERROR(R89/AG89*60,"")</f>
        <v>363.697996918336</v>
      </c>
      <c r="AJ89" s="30" t="n">
        <f aca="false">IFERROR(AI89/Q89,"")</f>
        <v>0.934501797637391</v>
      </c>
      <c r="AK89" s="31" t="n">
        <f aca="false">IFERROR(R89/(T89/60*Q89),"")</f>
        <v>0.927357288481142</v>
      </c>
      <c r="AL89" s="26" t="n">
        <v>7</v>
      </c>
      <c r="AM89" s="26" t="n">
        <v>2</v>
      </c>
      <c r="AN89" s="26" t="n">
        <v>4</v>
      </c>
      <c r="AO89" s="26" t="n">
        <v>7</v>
      </c>
      <c r="AP89" s="26" t="n">
        <v>4</v>
      </c>
      <c r="AQ89" s="26" t="n">
        <v>6</v>
      </c>
      <c r="AR89" s="26" t="n">
        <v>7</v>
      </c>
      <c r="AS89" s="26" t="n">
        <v>3</v>
      </c>
      <c r="AT89" s="26" t="n">
        <v>5</v>
      </c>
      <c r="AU89" s="26" t="n">
        <v>2</v>
      </c>
      <c r="AV89" s="26" t="n">
        <f aca="false">SUM(AL89:AU89)</f>
        <v>47</v>
      </c>
      <c r="AW89" s="32" t="n">
        <f aca="false">IFERROR(AV89/R89*1000000,"")</f>
        <v>11947.1276054906</v>
      </c>
      <c r="AX89" s="33" t="n">
        <f aca="false">IFERROR((R89-AV89)/R89,"")</f>
        <v>0.98805287239451</v>
      </c>
      <c r="AY89" s="34" t="n">
        <f aca="false">IFERROR(AH89*AJ89*AX89,"")</f>
        <v>0.916278032619776</v>
      </c>
      <c r="AZ89" s="35" t="s">
        <v>78</v>
      </c>
    </row>
    <row r="90" customFormat="false" ht="12.75" hidden="false" customHeight="true" outlineLevel="0" collapsed="false">
      <c r="A90" s="24" t="n">
        <v>86</v>
      </c>
      <c r="B90" s="25" t="n">
        <v>46051</v>
      </c>
      <c r="C90" s="25" t="n">
        <v>12</v>
      </c>
      <c r="D90" s="26" t="s">
        <v>79</v>
      </c>
      <c r="E90" s="26" t="s">
        <v>80</v>
      </c>
      <c r="F90" s="26" t="s">
        <v>81</v>
      </c>
      <c r="G90" s="26" t="s">
        <v>9</v>
      </c>
      <c r="H90" s="27" t="n">
        <v>0.354166666666667</v>
      </c>
      <c r="I90" s="27" t="n">
        <v>0.854166666666667</v>
      </c>
      <c r="J90" s="26" t="n">
        <f aca="false">IFERROR((I90-H90)*24*60,"")</f>
        <v>720</v>
      </c>
      <c r="K90" s="26" t="s">
        <v>89</v>
      </c>
      <c r="L90" s="26" t="s">
        <v>102</v>
      </c>
      <c r="M90" s="26" t="s">
        <v>84</v>
      </c>
      <c r="N90" s="26" t="s">
        <v>85</v>
      </c>
      <c r="O90" s="26" t="n">
        <v>2</v>
      </c>
      <c r="P90" s="26" t="n">
        <v>31</v>
      </c>
      <c r="Q90" s="26" t="n">
        <f aca="false">IFERROR(3600/(P90/O90),"")</f>
        <v>232.258064516129</v>
      </c>
      <c r="R90" s="26" t="n">
        <v>1884</v>
      </c>
      <c r="S90" s="26" t="n">
        <v>67</v>
      </c>
      <c r="T90" s="26" t="n">
        <f aca="false">IFERROR(J90-S90,"")</f>
        <v>653</v>
      </c>
      <c r="U90" s="26"/>
      <c r="V90" s="26"/>
      <c r="W90" s="26"/>
      <c r="X90" s="26"/>
      <c r="Y90" s="26"/>
      <c r="Z90" s="26"/>
      <c r="AA90" s="26" t="n">
        <v>5</v>
      </c>
      <c r="AB90" s="26"/>
      <c r="AC90" s="26" t="n">
        <v>19</v>
      </c>
      <c r="AD90" s="26" t="n">
        <v>50</v>
      </c>
      <c r="AE90" s="26"/>
      <c r="AF90" s="26" t="n">
        <f aca="false">SUM(U90:AE90)</f>
        <v>74</v>
      </c>
      <c r="AG90" s="26" t="n">
        <f aca="false">T90-AF90</f>
        <v>579</v>
      </c>
      <c r="AH90" s="28" t="n">
        <f aca="false">IFERROR(AG90/T90,"")</f>
        <v>0.886676875957121</v>
      </c>
      <c r="AI90" s="29" t="n">
        <f aca="false">IFERROR(R90/AG90*60,"")</f>
        <v>195.233160621762</v>
      </c>
      <c r="AJ90" s="30" t="n">
        <f aca="false">IFERROR(AI90/Q90,"")</f>
        <v>0.840587219343696</v>
      </c>
      <c r="AK90" s="31" t="n">
        <f aca="false">IFERROR(R90/(T90/60*Q90),"")</f>
        <v>0.745329249617152</v>
      </c>
      <c r="AL90" s="26" t="n">
        <v>3</v>
      </c>
      <c r="AM90" s="26" t="n">
        <v>2</v>
      </c>
      <c r="AN90" s="26"/>
      <c r="AO90" s="26"/>
      <c r="AP90" s="26"/>
      <c r="AQ90" s="26"/>
      <c r="AR90" s="26"/>
      <c r="AS90" s="26"/>
      <c r="AT90" s="26"/>
      <c r="AU90" s="26"/>
      <c r="AV90" s="26" t="n">
        <f aca="false">SUM(AL90:AU90)</f>
        <v>5</v>
      </c>
      <c r="AW90" s="32" t="n">
        <f aca="false">IFERROR(AV90/R90*1000000,"")</f>
        <v>2653.92781316348</v>
      </c>
      <c r="AX90" s="33" t="n">
        <f aca="false">IFERROR((R90-AV90)/R90,"")</f>
        <v>0.997346072186837</v>
      </c>
      <c r="AY90" s="34" t="n">
        <f aca="false">IFERROR(AH90*AJ90*AX90,"")</f>
        <v>0.743351199591628</v>
      </c>
      <c r="AZ90" s="35"/>
    </row>
    <row r="91" customFormat="false" ht="12.75" hidden="false" customHeight="true" outlineLevel="0" collapsed="false">
      <c r="A91" s="24" t="n">
        <v>87</v>
      </c>
      <c r="B91" s="25" t="n">
        <v>46051</v>
      </c>
      <c r="C91" s="25" t="n">
        <v>12</v>
      </c>
      <c r="D91" s="26" t="s">
        <v>87</v>
      </c>
      <c r="E91" s="26" t="s">
        <v>88</v>
      </c>
      <c r="F91" s="26" t="s">
        <v>73</v>
      </c>
      <c r="G91" s="26" t="s">
        <v>10</v>
      </c>
      <c r="H91" s="27" t="n">
        <v>0.354166666666667</v>
      </c>
      <c r="I91" s="27" t="n">
        <v>0.854166666666667</v>
      </c>
      <c r="J91" s="26" t="n">
        <f aca="false">IFERROR((I91-H91)*24*60,"")</f>
        <v>720</v>
      </c>
      <c r="K91" s="26" t="s">
        <v>89</v>
      </c>
      <c r="L91" s="26" t="s">
        <v>106</v>
      </c>
      <c r="M91" s="26" t="s">
        <v>91</v>
      </c>
      <c r="N91" s="26" t="s">
        <v>92</v>
      </c>
      <c r="O91" s="26" t="n">
        <v>4</v>
      </c>
      <c r="P91" s="26" t="n">
        <v>54</v>
      </c>
      <c r="Q91" s="26" t="n">
        <f aca="false">IFERROR(3600/(P91/O91),"")</f>
        <v>266.666666666667</v>
      </c>
      <c r="R91" s="26" t="n">
        <v>2550</v>
      </c>
      <c r="S91" s="26" t="n">
        <v>37</v>
      </c>
      <c r="T91" s="26" t="n">
        <f aca="false">IFERROR(J91-S91,"")</f>
        <v>683</v>
      </c>
      <c r="U91" s="26"/>
      <c r="V91" s="26"/>
      <c r="W91" s="26"/>
      <c r="X91" s="26"/>
      <c r="Y91" s="26" t="n">
        <v>3</v>
      </c>
      <c r="Z91" s="26"/>
      <c r="AA91" s="26"/>
      <c r="AB91" s="26"/>
      <c r="AC91" s="26"/>
      <c r="AD91" s="26"/>
      <c r="AE91" s="26"/>
      <c r="AF91" s="26" t="n">
        <f aca="false">SUM(U91:AE91)</f>
        <v>3</v>
      </c>
      <c r="AG91" s="26" t="n">
        <f aca="false">T91-AF91</f>
        <v>680</v>
      </c>
      <c r="AH91" s="28" t="n">
        <f aca="false">IFERROR(AG91/T91,"")</f>
        <v>0.995607613469985</v>
      </c>
      <c r="AI91" s="29" t="n">
        <f aca="false">IFERROR(R91/AG91*60,"")</f>
        <v>225</v>
      </c>
      <c r="AJ91" s="30" t="n">
        <f aca="false">IFERROR(AI91/Q91,"")</f>
        <v>0.84375</v>
      </c>
      <c r="AK91" s="31" t="n">
        <f aca="false">IFERROR(R91/(T91/60*Q91),"")</f>
        <v>0.8400439238653</v>
      </c>
      <c r="AL91" s="26" t="n">
        <v>1</v>
      </c>
      <c r="AM91" s="26" t="n">
        <v>5</v>
      </c>
      <c r="AN91" s="26" t="n">
        <v>2</v>
      </c>
      <c r="AO91" s="26" t="n">
        <v>4</v>
      </c>
      <c r="AP91" s="26" t="n">
        <v>4</v>
      </c>
      <c r="AQ91" s="26" t="n">
        <v>1</v>
      </c>
      <c r="AR91" s="26" t="n">
        <v>2</v>
      </c>
      <c r="AS91" s="26" t="n">
        <v>2</v>
      </c>
      <c r="AT91" s="26" t="n">
        <v>4</v>
      </c>
      <c r="AU91" s="26" t="n">
        <v>4</v>
      </c>
      <c r="AV91" s="26" t="n">
        <f aca="false">SUM(AL91:AU91)</f>
        <v>29</v>
      </c>
      <c r="AW91" s="32" t="n">
        <f aca="false">IFERROR(AV91/R91*1000000,"")</f>
        <v>11372.5490196078</v>
      </c>
      <c r="AX91" s="33" t="n">
        <f aca="false">IFERROR((R91-AV91)/R91,"")</f>
        <v>0.988627450980392</v>
      </c>
      <c r="AY91" s="34" t="n">
        <f aca="false">IFERROR(AH91*AJ91*AX91,"")</f>
        <v>0.830490483162518</v>
      </c>
      <c r="AZ91" s="35" t="s">
        <v>86</v>
      </c>
    </row>
    <row r="92" customFormat="false" ht="12.75" hidden="false" customHeight="true" outlineLevel="0" collapsed="false">
      <c r="A92" s="24" t="n">
        <v>88</v>
      </c>
      <c r="B92" s="25" t="n">
        <v>46052</v>
      </c>
      <c r="C92" s="25" t="n">
        <v>12</v>
      </c>
      <c r="D92" s="26" t="s">
        <v>71</v>
      </c>
      <c r="E92" s="26" t="s">
        <v>94</v>
      </c>
      <c r="F92" s="26" t="s">
        <v>81</v>
      </c>
      <c r="G92" s="26" t="s">
        <v>11</v>
      </c>
      <c r="H92" s="27" t="n">
        <v>0.354166666666667</v>
      </c>
      <c r="I92" s="27" t="n">
        <v>0.854166666666667</v>
      </c>
      <c r="J92" s="26" t="n">
        <f aca="false">IFERROR((I92-H92)*24*60,"")</f>
        <v>720</v>
      </c>
      <c r="K92" s="26" t="s">
        <v>82</v>
      </c>
      <c r="L92" s="26" t="s">
        <v>107</v>
      </c>
      <c r="M92" s="26" t="s">
        <v>95</v>
      </c>
      <c r="N92" s="26" t="s">
        <v>96</v>
      </c>
      <c r="O92" s="26" t="n">
        <v>1</v>
      </c>
      <c r="P92" s="26" t="n">
        <v>31</v>
      </c>
      <c r="Q92" s="26" t="n">
        <f aca="false">IFERROR(3600/(P92/O92),"")</f>
        <v>116.129032258065</v>
      </c>
      <c r="R92" s="26" t="n">
        <v>1308</v>
      </c>
      <c r="S92" s="26" t="n">
        <v>30</v>
      </c>
      <c r="T92" s="26" t="n">
        <f aca="false">IFERROR(J92-S92,"")</f>
        <v>690</v>
      </c>
      <c r="U92" s="26"/>
      <c r="V92" s="26" t="n">
        <v>4</v>
      </c>
      <c r="W92" s="26" t="n">
        <v>4</v>
      </c>
      <c r="X92" s="26"/>
      <c r="Y92" s="26"/>
      <c r="Z92" s="26"/>
      <c r="AA92" s="26"/>
      <c r="AB92" s="26"/>
      <c r="AC92" s="26" t="n">
        <v>3</v>
      </c>
      <c r="AD92" s="26"/>
      <c r="AE92" s="26"/>
      <c r="AF92" s="26" t="n">
        <f aca="false">SUM(U92:AE92)</f>
        <v>11</v>
      </c>
      <c r="AG92" s="26" t="n">
        <f aca="false">T92-AF92</f>
        <v>679</v>
      </c>
      <c r="AH92" s="28" t="n">
        <f aca="false">IFERROR(AG92/T92,"")</f>
        <v>0.984057971014493</v>
      </c>
      <c r="AI92" s="29" t="n">
        <f aca="false">IFERROR(R92/AG92*60,"")</f>
        <v>115.581737849779</v>
      </c>
      <c r="AJ92" s="30" t="n">
        <f aca="false">IFERROR(AI92/Q92,"")</f>
        <v>0.995287187039764</v>
      </c>
      <c r="AK92" s="31" t="n">
        <f aca="false">IFERROR(R92/(T92/60*Q92),"")</f>
        <v>0.979420289855073</v>
      </c>
      <c r="AL92" s="26" t="n">
        <v>4</v>
      </c>
      <c r="AM92" s="26" t="n">
        <v>4</v>
      </c>
      <c r="AN92" s="26" t="n">
        <v>3</v>
      </c>
      <c r="AO92" s="26" t="n">
        <v>1</v>
      </c>
      <c r="AP92" s="26" t="n">
        <v>4</v>
      </c>
      <c r="AQ92" s="26" t="n">
        <v>4</v>
      </c>
      <c r="AR92" s="26" t="n">
        <v>1</v>
      </c>
      <c r="AS92" s="26" t="n">
        <v>3</v>
      </c>
      <c r="AT92" s="26"/>
      <c r="AU92" s="26"/>
      <c r="AV92" s="26" t="n">
        <f aca="false">SUM(AL92:AU92)</f>
        <v>24</v>
      </c>
      <c r="AW92" s="32" t="n">
        <f aca="false">IFERROR(AV92/R92*1000000,"")</f>
        <v>18348.623853211</v>
      </c>
      <c r="AX92" s="33" t="n">
        <f aca="false">IFERROR((R92-AV92)/R92,"")</f>
        <v>0.981651376146789</v>
      </c>
      <c r="AY92" s="34" t="n">
        <f aca="false">IFERROR(AH92*AJ92*AX92,"")</f>
        <v>0.961449275362319</v>
      </c>
      <c r="AZ92" s="35" t="s">
        <v>93</v>
      </c>
    </row>
    <row r="93" customFormat="false" ht="12.75" hidden="false" customHeight="true" outlineLevel="0" collapsed="false">
      <c r="A93" s="24" t="n">
        <v>89</v>
      </c>
      <c r="B93" s="25" t="n">
        <v>46052</v>
      </c>
      <c r="C93" s="25" t="n">
        <v>12</v>
      </c>
      <c r="D93" s="26" t="s">
        <v>79</v>
      </c>
      <c r="E93" s="26" t="s">
        <v>97</v>
      </c>
      <c r="F93" s="26" t="s">
        <v>73</v>
      </c>
      <c r="G93" s="26" t="s">
        <v>12</v>
      </c>
      <c r="H93" s="27" t="n">
        <v>0.354166666666667</v>
      </c>
      <c r="I93" s="27" t="n">
        <v>0.854166666666667</v>
      </c>
      <c r="J93" s="26" t="n">
        <f aca="false">IFERROR((I93-H93)*24*60,"")</f>
        <v>720</v>
      </c>
      <c r="K93" s="26" t="s">
        <v>74</v>
      </c>
      <c r="L93" s="26" t="s">
        <v>108</v>
      </c>
      <c r="M93" s="26" t="s">
        <v>99</v>
      </c>
      <c r="N93" s="26" t="s">
        <v>100</v>
      </c>
      <c r="O93" s="26" t="n">
        <v>1</v>
      </c>
      <c r="P93" s="26" t="n">
        <v>49</v>
      </c>
      <c r="Q93" s="26" t="n">
        <f aca="false">IFERROR(3600/(P93/O93),"")</f>
        <v>73.4693877551021</v>
      </c>
      <c r="R93" s="26" t="n">
        <v>663</v>
      </c>
      <c r="S93" s="26" t="n">
        <v>51</v>
      </c>
      <c r="T93" s="26" t="n">
        <f aca="false">IFERROR(J93-S93,"")</f>
        <v>669</v>
      </c>
      <c r="U93" s="26"/>
      <c r="V93" s="26"/>
      <c r="W93" s="26"/>
      <c r="X93" s="26"/>
      <c r="Y93" s="26"/>
      <c r="Z93" s="26"/>
      <c r="AA93" s="26" t="n">
        <v>17</v>
      </c>
      <c r="AB93" s="26"/>
      <c r="AC93" s="26"/>
      <c r="AD93" s="26"/>
      <c r="AE93" s="26"/>
      <c r="AF93" s="26" t="n">
        <f aca="false">SUM(U93:AE93)</f>
        <v>17</v>
      </c>
      <c r="AG93" s="26" t="n">
        <f aca="false">T93-AF93</f>
        <v>652</v>
      </c>
      <c r="AH93" s="28" t="n">
        <f aca="false">IFERROR(AG93/T93,"")</f>
        <v>0.974588938714499</v>
      </c>
      <c r="AI93" s="29" t="n">
        <f aca="false">IFERROR(R93/AG93*60,"")</f>
        <v>61.0122699386503</v>
      </c>
      <c r="AJ93" s="30" t="n">
        <f aca="false">IFERROR(AI93/Q93,"")</f>
        <v>0.830444785276074</v>
      </c>
      <c r="AK93" s="31" t="n">
        <f aca="false">IFERROR(R93/(T93/60*Q93),"")</f>
        <v>0.809342301943199</v>
      </c>
      <c r="AL93" s="26" t="n">
        <v>1</v>
      </c>
      <c r="AM93" s="26" t="n">
        <v>2</v>
      </c>
      <c r="AN93" s="26" t="n">
        <v>3</v>
      </c>
      <c r="AO93" s="26"/>
      <c r="AP93" s="26"/>
      <c r="AQ93" s="26"/>
      <c r="AR93" s="26" t="n">
        <v>1</v>
      </c>
      <c r="AS93" s="26" t="n">
        <v>2</v>
      </c>
      <c r="AT93" s="26"/>
      <c r="AU93" s="26" t="n">
        <v>2</v>
      </c>
      <c r="AV93" s="26" t="n">
        <f aca="false">SUM(AL93:AU93)</f>
        <v>11</v>
      </c>
      <c r="AW93" s="32" t="n">
        <f aca="false">IFERROR(AV93/R93*1000000,"")</f>
        <v>16591.2518853695</v>
      </c>
      <c r="AX93" s="33" t="n">
        <f aca="false">IFERROR((R93-AV93)/R93,"")</f>
        <v>0.98340874811463</v>
      </c>
      <c r="AY93" s="34" t="n">
        <f aca="false">IFERROR(AH93*AJ93*AX93,"")</f>
        <v>0.795914299950174</v>
      </c>
      <c r="AZ93" s="35" t="s">
        <v>93</v>
      </c>
    </row>
    <row r="94" customFormat="false" ht="12.75" hidden="false" customHeight="true" outlineLevel="0" collapsed="false">
      <c r="A94" s="24" t="n">
        <v>90</v>
      </c>
      <c r="B94" s="25" t="n">
        <v>46052</v>
      </c>
      <c r="C94" s="25" t="n">
        <v>12</v>
      </c>
      <c r="D94" s="26" t="s">
        <v>87</v>
      </c>
      <c r="E94" s="26" t="s">
        <v>101</v>
      </c>
      <c r="F94" s="26" t="s">
        <v>81</v>
      </c>
      <c r="G94" s="26" t="s">
        <v>13</v>
      </c>
      <c r="H94" s="27" t="n">
        <v>0.354166666666667</v>
      </c>
      <c r="I94" s="27" t="n">
        <v>0.854166666666667</v>
      </c>
      <c r="J94" s="26" t="n">
        <f aca="false">IFERROR((I94-H94)*24*60,"")</f>
        <v>720</v>
      </c>
      <c r="K94" s="26" t="s">
        <v>74</v>
      </c>
      <c r="L94" s="26" t="s">
        <v>106</v>
      </c>
      <c r="M94" s="26" t="s">
        <v>103</v>
      </c>
      <c r="N94" s="26" t="s">
        <v>104</v>
      </c>
      <c r="O94" s="26" t="n">
        <v>2</v>
      </c>
      <c r="P94" s="26" t="n">
        <v>54</v>
      </c>
      <c r="Q94" s="26" t="n">
        <f aca="false">IFERROR(3600/(P94/O94),"")</f>
        <v>133.333333333333</v>
      </c>
      <c r="R94" s="26" t="n">
        <v>1451</v>
      </c>
      <c r="S94" s="26" t="n">
        <v>69</v>
      </c>
      <c r="T94" s="26" t="n">
        <f aca="false">IFERROR(J94-S94,"")</f>
        <v>651</v>
      </c>
      <c r="U94" s="26"/>
      <c r="V94" s="26"/>
      <c r="W94" s="26"/>
      <c r="X94" s="26"/>
      <c r="Y94" s="26"/>
      <c r="Z94" s="26"/>
      <c r="AA94" s="26"/>
      <c r="AB94" s="26" t="n">
        <v>6</v>
      </c>
      <c r="AC94" s="26"/>
      <c r="AD94" s="26"/>
      <c r="AE94" s="26"/>
      <c r="AF94" s="26" t="n">
        <f aca="false">SUM(U94:AE94)</f>
        <v>6</v>
      </c>
      <c r="AG94" s="26" t="n">
        <f aca="false">T94-AF94</f>
        <v>645</v>
      </c>
      <c r="AH94" s="28" t="n">
        <f aca="false">IFERROR(AG94/T94,"")</f>
        <v>0.990783410138249</v>
      </c>
      <c r="AI94" s="29" t="n">
        <f aca="false">IFERROR(R94/AG94*60,"")</f>
        <v>134.976744186047</v>
      </c>
      <c r="AJ94" s="30" t="n">
        <f aca="false">IFERROR(AI94/Q94,"")</f>
        <v>1.01232558139535</v>
      </c>
      <c r="AK94" s="31" t="n">
        <f aca="false">IFERROR(R94/(T94/60*Q94),"")</f>
        <v>1.00299539170507</v>
      </c>
      <c r="AL94" s="26" t="n">
        <v>1</v>
      </c>
      <c r="AM94" s="26"/>
      <c r="AN94" s="26"/>
      <c r="AO94" s="26"/>
      <c r="AP94" s="26" t="n">
        <v>1</v>
      </c>
      <c r="AQ94" s="26" t="n">
        <v>1</v>
      </c>
      <c r="AR94" s="26"/>
      <c r="AS94" s="26"/>
      <c r="AT94" s="26" t="n">
        <v>1</v>
      </c>
      <c r="AU94" s="26"/>
      <c r="AV94" s="26" t="n">
        <f aca="false">SUM(AL94:AU94)</f>
        <v>4</v>
      </c>
      <c r="AW94" s="32" t="n">
        <f aca="false">IFERROR(AV94/R94*1000000,"")</f>
        <v>2756.71950379049</v>
      </c>
      <c r="AX94" s="33" t="n">
        <f aca="false">IFERROR((R94-AV94)/R94,"")</f>
        <v>0.99724328049621</v>
      </c>
      <c r="AY94" s="34" t="n">
        <f aca="false">IFERROR(AH94*AJ94*AX94,"")</f>
        <v>1.00023041474654</v>
      </c>
      <c r="AZ94" s="35" t="s">
        <v>78</v>
      </c>
    </row>
    <row r="95" customFormat="false" ht="12.75" hidden="false" customHeight="true" outlineLevel="0" collapsed="false">
      <c r="A95" s="24" t="n">
        <v>91</v>
      </c>
      <c r="B95" s="25" t="n">
        <v>46053</v>
      </c>
      <c r="C95" s="25" t="n">
        <v>12</v>
      </c>
      <c r="D95" s="26" t="s">
        <v>71</v>
      </c>
      <c r="E95" s="26" t="s">
        <v>72</v>
      </c>
      <c r="F95" s="26" t="s">
        <v>73</v>
      </c>
      <c r="G95" s="26" t="s">
        <v>8</v>
      </c>
      <c r="H95" s="27" t="n">
        <v>0.354166666666667</v>
      </c>
      <c r="I95" s="27" t="n">
        <v>0.854166666666667</v>
      </c>
      <c r="J95" s="26" t="n">
        <f aca="false">IFERROR((I95-H95)*24*60,"")</f>
        <v>720</v>
      </c>
      <c r="K95" s="26" t="s">
        <v>74</v>
      </c>
      <c r="L95" s="26" t="s">
        <v>108</v>
      </c>
      <c r="M95" s="26" t="s">
        <v>76</v>
      </c>
      <c r="N95" s="26" t="s">
        <v>77</v>
      </c>
      <c r="O95" s="26" t="n">
        <v>8</v>
      </c>
      <c r="P95" s="26" t="n">
        <v>46</v>
      </c>
      <c r="Q95" s="26" t="n">
        <f aca="false">IFERROR(3600/(P95/O95),"")</f>
        <v>626.086956521739</v>
      </c>
      <c r="R95" s="26" t="n">
        <v>6094</v>
      </c>
      <c r="S95" s="26" t="n">
        <v>57</v>
      </c>
      <c r="T95" s="26" t="n">
        <f aca="false">IFERROR(J95-S95,"")</f>
        <v>663</v>
      </c>
      <c r="U95" s="26" t="n">
        <v>15</v>
      </c>
      <c r="V95" s="26"/>
      <c r="W95" s="26" t="n">
        <v>15</v>
      </c>
      <c r="X95" s="26"/>
      <c r="Y95" s="26"/>
      <c r="Z95" s="26"/>
      <c r="AA95" s="26"/>
      <c r="AB95" s="26"/>
      <c r="AC95" s="26"/>
      <c r="AD95" s="26" t="n">
        <v>11</v>
      </c>
      <c r="AE95" s="26"/>
      <c r="AF95" s="26" t="n">
        <f aca="false">SUM(U95:AE95)</f>
        <v>41</v>
      </c>
      <c r="AG95" s="26" t="n">
        <f aca="false">T95-AF95</f>
        <v>622</v>
      </c>
      <c r="AH95" s="28" t="n">
        <f aca="false">IFERROR(AG95/T95,"")</f>
        <v>0.93815987933635</v>
      </c>
      <c r="AI95" s="29" t="n">
        <f aca="false">IFERROR(R95/AG95*60,"")</f>
        <v>587.845659163987</v>
      </c>
      <c r="AJ95" s="30" t="n">
        <f aca="false">IFERROR(AI95/Q95,"")</f>
        <v>0.938920150053591</v>
      </c>
      <c r="AK95" s="31" t="n">
        <f aca="false">IFERROR(R95/(T95/60*Q95),"")</f>
        <v>0.880857214680744</v>
      </c>
      <c r="AL95" s="26" t="n">
        <v>1</v>
      </c>
      <c r="AM95" s="26" t="n">
        <v>1</v>
      </c>
      <c r="AN95" s="26" t="n">
        <v>2</v>
      </c>
      <c r="AO95" s="26" t="n">
        <v>1</v>
      </c>
      <c r="AP95" s="26" t="n">
        <v>1</v>
      </c>
      <c r="AQ95" s="26" t="n">
        <v>2</v>
      </c>
      <c r="AR95" s="26"/>
      <c r="AS95" s="26" t="n">
        <v>3</v>
      </c>
      <c r="AT95" s="26" t="n">
        <v>2</v>
      </c>
      <c r="AU95" s="26"/>
      <c r="AV95" s="26" t="n">
        <f aca="false">SUM(AL95:AU95)</f>
        <v>13</v>
      </c>
      <c r="AW95" s="32" t="n">
        <f aca="false">IFERROR(AV95/R95*1000000,"")</f>
        <v>2133.24581555629</v>
      </c>
      <c r="AX95" s="33" t="n">
        <f aca="false">IFERROR((R95-AV95)/R95,"")</f>
        <v>0.997866754184444</v>
      </c>
      <c r="AY95" s="34" t="n">
        <f aca="false">IFERROR(AH95*AJ95*AX95,"")</f>
        <v>0.878978129713424</v>
      </c>
      <c r="AZ95" s="35"/>
    </row>
    <row r="96" customFormat="false" ht="12.75" hidden="false" customHeight="true" outlineLevel="0" collapsed="false">
      <c r="A96" s="24" t="n">
        <v>92</v>
      </c>
      <c r="B96" s="25" t="n">
        <v>46053</v>
      </c>
      <c r="C96" s="25" t="n">
        <v>12</v>
      </c>
      <c r="D96" s="26" t="s">
        <v>79</v>
      </c>
      <c r="E96" s="26" t="s">
        <v>80</v>
      </c>
      <c r="F96" s="26" t="s">
        <v>81</v>
      </c>
      <c r="G96" s="26" t="s">
        <v>9</v>
      </c>
      <c r="H96" s="27" t="n">
        <v>0.354166666666667</v>
      </c>
      <c r="I96" s="27" t="n">
        <v>0.854166666666667</v>
      </c>
      <c r="J96" s="26" t="n">
        <f aca="false">IFERROR((I96-H96)*24*60,"")</f>
        <v>720</v>
      </c>
      <c r="K96" s="26" t="s">
        <v>89</v>
      </c>
      <c r="L96" s="26" t="s">
        <v>107</v>
      </c>
      <c r="M96" s="26" t="s">
        <v>84</v>
      </c>
      <c r="N96" s="26" t="s">
        <v>85</v>
      </c>
      <c r="O96" s="26" t="n">
        <v>8</v>
      </c>
      <c r="P96" s="26" t="n">
        <v>52</v>
      </c>
      <c r="Q96" s="26" t="n">
        <f aca="false">IFERROR(3600/(P96/O96),"")</f>
        <v>553.846153846154</v>
      </c>
      <c r="R96" s="26" t="n">
        <v>5951</v>
      </c>
      <c r="S96" s="26" t="n">
        <v>45</v>
      </c>
      <c r="T96" s="26" t="n">
        <f aca="false">IFERROR(J96-S96,"")</f>
        <v>675</v>
      </c>
      <c r="U96" s="26"/>
      <c r="V96" s="26"/>
      <c r="W96" s="26"/>
      <c r="X96" s="26"/>
      <c r="Y96" s="26"/>
      <c r="Z96" s="26" t="n">
        <v>6</v>
      </c>
      <c r="AA96" s="26"/>
      <c r="AB96" s="26" t="n">
        <v>4</v>
      </c>
      <c r="AC96" s="26"/>
      <c r="AD96" s="26"/>
      <c r="AE96" s="26"/>
      <c r="AF96" s="26" t="n">
        <f aca="false">SUM(U96:AE96)</f>
        <v>10</v>
      </c>
      <c r="AG96" s="26" t="n">
        <f aca="false">T96-AF96</f>
        <v>665</v>
      </c>
      <c r="AH96" s="28" t="n">
        <f aca="false">IFERROR(AG96/T96,"")</f>
        <v>0.985185185185185</v>
      </c>
      <c r="AI96" s="29" t="n">
        <f aca="false">IFERROR(R96/AG96*60,"")</f>
        <v>536.932330827068</v>
      </c>
      <c r="AJ96" s="30" t="n">
        <f aca="false">IFERROR(AI96/Q96,"")</f>
        <v>0.969461152882206</v>
      </c>
      <c r="AK96" s="31" t="n">
        <f aca="false">IFERROR(R96/(T96/60*Q96),"")</f>
        <v>0.955098765432099</v>
      </c>
      <c r="AL96" s="26" t="n">
        <v>4</v>
      </c>
      <c r="AM96" s="26" t="n">
        <v>2</v>
      </c>
      <c r="AN96" s="26"/>
      <c r="AO96" s="26" t="n">
        <v>2</v>
      </c>
      <c r="AP96" s="26" t="n">
        <v>1</v>
      </c>
      <c r="AQ96" s="26" t="n">
        <v>4</v>
      </c>
      <c r="AR96" s="26" t="n">
        <v>2</v>
      </c>
      <c r="AS96" s="26" t="n">
        <v>4</v>
      </c>
      <c r="AT96" s="26" t="n">
        <v>5</v>
      </c>
      <c r="AU96" s="26" t="n">
        <v>4</v>
      </c>
      <c r="AV96" s="26" t="n">
        <f aca="false">SUM(AL96:AU96)</f>
        <v>28</v>
      </c>
      <c r="AW96" s="32" t="n">
        <f aca="false">IFERROR(AV96/R96*1000000,"")</f>
        <v>4705.09158124685</v>
      </c>
      <c r="AX96" s="33" t="n">
        <f aca="false">IFERROR((R96-AV96)/R96,"")</f>
        <v>0.995294908418753</v>
      </c>
      <c r="AY96" s="34" t="n">
        <f aca="false">IFERROR(AH96*AJ96*AX96,"")</f>
        <v>0.950604938271605</v>
      </c>
      <c r="AZ96" s="35" t="s">
        <v>78</v>
      </c>
    </row>
    <row r="97" customFormat="false" ht="12.75" hidden="false" customHeight="true" outlineLevel="0" collapsed="false">
      <c r="A97" s="24" t="n">
        <v>93</v>
      </c>
      <c r="B97" s="25" t="n">
        <v>46053</v>
      </c>
      <c r="C97" s="25" t="n">
        <v>12</v>
      </c>
      <c r="D97" s="26" t="s">
        <v>87</v>
      </c>
      <c r="E97" s="26" t="s">
        <v>88</v>
      </c>
      <c r="F97" s="26" t="s">
        <v>73</v>
      </c>
      <c r="G97" s="26" t="s">
        <v>10</v>
      </c>
      <c r="H97" s="27" t="n">
        <v>0.354166666666667</v>
      </c>
      <c r="I97" s="27" t="n">
        <v>0.854166666666667</v>
      </c>
      <c r="J97" s="26" t="n">
        <f aca="false">IFERROR((I97-H97)*24*60,"")</f>
        <v>720</v>
      </c>
      <c r="K97" s="26" t="s">
        <v>74</v>
      </c>
      <c r="L97" s="26" t="s">
        <v>108</v>
      </c>
      <c r="M97" s="26" t="s">
        <v>91</v>
      </c>
      <c r="N97" s="26" t="s">
        <v>92</v>
      </c>
      <c r="O97" s="26" t="n">
        <v>1</v>
      </c>
      <c r="P97" s="26" t="n">
        <v>45</v>
      </c>
      <c r="Q97" s="26" t="n">
        <f aca="false">IFERROR(3600/(P97/O97),"")</f>
        <v>80</v>
      </c>
      <c r="R97" s="26" t="n">
        <v>680</v>
      </c>
      <c r="S97" s="26" t="n">
        <v>72</v>
      </c>
      <c r="T97" s="26" t="n">
        <f aca="false">IFERROR(J97-S97,"")</f>
        <v>648</v>
      </c>
      <c r="U97" s="26"/>
      <c r="V97" s="26" t="n">
        <v>15</v>
      </c>
      <c r="W97" s="26"/>
      <c r="X97" s="26"/>
      <c r="Y97" s="26"/>
      <c r="Z97" s="26" t="n">
        <v>11</v>
      </c>
      <c r="AA97" s="26"/>
      <c r="AB97" s="26"/>
      <c r="AC97" s="26" t="n">
        <v>12</v>
      </c>
      <c r="AD97" s="26"/>
      <c r="AE97" s="26"/>
      <c r="AF97" s="26" t="n">
        <f aca="false">SUM(U97:AE97)</f>
        <v>38</v>
      </c>
      <c r="AG97" s="26" t="n">
        <f aca="false">T97-AF97</f>
        <v>610</v>
      </c>
      <c r="AH97" s="28" t="n">
        <f aca="false">IFERROR(AG97/T97,"")</f>
        <v>0.941358024691358</v>
      </c>
      <c r="AI97" s="29" t="n">
        <f aca="false">IFERROR(R97/AG97*60,"")</f>
        <v>66.8852459016393</v>
      </c>
      <c r="AJ97" s="30" t="n">
        <f aca="false">IFERROR(AI97/Q97,"")</f>
        <v>0.836065573770492</v>
      </c>
      <c r="AK97" s="31" t="n">
        <f aca="false">IFERROR(R97/(T97/60*Q97),"")</f>
        <v>0.787037037037037</v>
      </c>
      <c r="AL97" s="26"/>
      <c r="AM97" s="26"/>
      <c r="AN97" s="26" t="n">
        <v>1</v>
      </c>
      <c r="AO97" s="26"/>
      <c r="AP97" s="26"/>
      <c r="AQ97" s="26"/>
      <c r="AR97" s="26"/>
      <c r="AS97" s="26" t="n">
        <v>1</v>
      </c>
      <c r="AT97" s="26"/>
      <c r="AU97" s="26"/>
      <c r="AV97" s="26" t="n">
        <f aca="false">SUM(AL97:AU97)</f>
        <v>2</v>
      </c>
      <c r="AW97" s="32" t="n">
        <f aca="false">IFERROR(AV97/R97*1000000,"")</f>
        <v>2941.17647058824</v>
      </c>
      <c r="AX97" s="33" t="n">
        <f aca="false">IFERROR((R97-AV97)/R97,"")</f>
        <v>0.997058823529412</v>
      </c>
      <c r="AY97" s="34" t="n">
        <f aca="false">IFERROR(AH97*AJ97*AX97,"")</f>
        <v>0.784722222222222</v>
      </c>
      <c r="AZ97" s="35" t="s">
        <v>78</v>
      </c>
    </row>
    <row r="98" customFormat="false" ht="12.75" hidden="false" customHeight="true" outlineLevel="0" collapsed="false">
      <c r="A98" s="24" t="n">
        <v>94</v>
      </c>
      <c r="B98" s="25" t="n">
        <v>46054</v>
      </c>
      <c r="C98" s="25" t="n">
        <v>12</v>
      </c>
      <c r="D98" s="26" t="s">
        <v>71</v>
      </c>
      <c r="E98" s="26" t="s">
        <v>94</v>
      </c>
      <c r="F98" s="26" t="s">
        <v>81</v>
      </c>
      <c r="G98" s="26" t="s">
        <v>11</v>
      </c>
      <c r="H98" s="27" t="n">
        <v>0.354166666666667</v>
      </c>
      <c r="I98" s="27" t="n">
        <v>0.854166666666667</v>
      </c>
      <c r="J98" s="26" t="n">
        <f aca="false">IFERROR((I98-H98)*24*60,"")</f>
        <v>720</v>
      </c>
      <c r="K98" s="26" t="s">
        <v>105</v>
      </c>
      <c r="L98" s="26" t="s">
        <v>108</v>
      </c>
      <c r="M98" s="26" t="s">
        <v>95</v>
      </c>
      <c r="N98" s="26" t="s">
        <v>96</v>
      </c>
      <c r="O98" s="26" t="n">
        <v>2</v>
      </c>
      <c r="P98" s="26" t="n">
        <v>31</v>
      </c>
      <c r="Q98" s="26" t="n">
        <f aca="false">IFERROR(3600/(P98/O98),"")</f>
        <v>232.258064516129</v>
      </c>
      <c r="R98" s="26" t="n">
        <v>2540</v>
      </c>
      <c r="S98" s="26" t="n">
        <v>46</v>
      </c>
      <c r="T98" s="26" t="n">
        <f aca="false">IFERROR(J98-S98,"")</f>
        <v>674</v>
      </c>
      <c r="U98" s="26"/>
      <c r="V98" s="26"/>
      <c r="W98" s="26"/>
      <c r="X98" s="26"/>
      <c r="Y98" s="26"/>
      <c r="Z98" s="26" t="n">
        <v>6</v>
      </c>
      <c r="AA98" s="26"/>
      <c r="AB98" s="26" t="n">
        <v>6</v>
      </c>
      <c r="AC98" s="26"/>
      <c r="AD98" s="26"/>
      <c r="AE98" s="26"/>
      <c r="AF98" s="26" t="n">
        <f aca="false">SUM(U98:AE98)</f>
        <v>12</v>
      </c>
      <c r="AG98" s="26" t="n">
        <f aca="false">T98-AF98</f>
        <v>662</v>
      </c>
      <c r="AH98" s="28" t="n">
        <f aca="false">IFERROR(AG98/T98,"")</f>
        <v>0.982195845697329</v>
      </c>
      <c r="AI98" s="29" t="n">
        <f aca="false">IFERROR(R98/AG98*60,"")</f>
        <v>230.211480362538</v>
      </c>
      <c r="AJ98" s="30" t="n">
        <f aca="false">IFERROR(AI98/Q98,"")</f>
        <v>0.991188318227593</v>
      </c>
      <c r="AK98" s="31" t="n">
        <f aca="false">IFERROR(R98/(T98/60*Q98),"")</f>
        <v>0.973541048466865</v>
      </c>
      <c r="AL98" s="26" t="n">
        <v>2</v>
      </c>
      <c r="AM98" s="26" t="n">
        <v>1</v>
      </c>
      <c r="AN98" s="26" t="n">
        <v>1</v>
      </c>
      <c r="AO98" s="26"/>
      <c r="AP98" s="26"/>
      <c r="AQ98" s="26"/>
      <c r="AR98" s="26" t="n">
        <v>1</v>
      </c>
      <c r="AS98" s="26" t="n">
        <v>3</v>
      </c>
      <c r="AT98" s="26" t="n">
        <v>1</v>
      </c>
      <c r="AU98" s="26" t="n">
        <v>2</v>
      </c>
      <c r="AV98" s="26" t="n">
        <f aca="false">SUM(AL98:AU98)</f>
        <v>11</v>
      </c>
      <c r="AW98" s="32" t="n">
        <f aca="false">IFERROR(AV98/R98*1000000,"")</f>
        <v>4330.70866141732</v>
      </c>
      <c r="AX98" s="33" t="n">
        <f aca="false">IFERROR((R98-AV98)/R98,"")</f>
        <v>0.995669291338583</v>
      </c>
      <c r="AY98" s="34" t="n">
        <f aca="false">IFERROR(AH98*AJ98*AX98,"")</f>
        <v>0.969324925816024</v>
      </c>
      <c r="AZ98" s="35"/>
    </row>
    <row r="99" customFormat="false" ht="12.75" hidden="false" customHeight="true" outlineLevel="0" collapsed="false">
      <c r="A99" s="24" t="n">
        <v>95</v>
      </c>
      <c r="B99" s="25" t="n">
        <v>46054</v>
      </c>
      <c r="C99" s="25" t="n">
        <v>12</v>
      </c>
      <c r="D99" s="26" t="s">
        <v>79</v>
      </c>
      <c r="E99" s="26" t="s">
        <v>97</v>
      </c>
      <c r="F99" s="26" t="s">
        <v>73</v>
      </c>
      <c r="G99" s="26" t="s">
        <v>12</v>
      </c>
      <c r="H99" s="27" t="n">
        <v>0.354166666666667</v>
      </c>
      <c r="I99" s="27" t="n">
        <v>0.854166666666667</v>
      </c>
      <c r="J99" s="26" t="n">
        <f aca="false">IFERROR((I99-H99)*24*60,"")</f>
        <v>720</v>
      </c>
      <c r="K99" s="26" t="s">
        <v>82</v>
      </c>
      <c r="L99" s="26" t="s">
        <v>106</v>
      </c>
      <c r="M99" s="26" t="s">
        <v>99</v>
      </c>
      <c r="N99" s="26" t="s">
        <v>100</v>
      </c>
      <c r="O99" s="26" t="n">
        <v>2</v>
      </c>
      <c r="P99" s="26" t="n">
        <v>70</v>
      </c>
      <c r="Q99" s="26" t="n">
        <f aca="false">IFERROR(3600/(P99/O99),"")</f>
        <v>102.857142857143</v>
      </c>
      <c r="R99" s="26" t="n">
        <v>1061</v>
      </c>
      <c r="S99" s="26" t="n">
        <v>62</v>
      </c>
      <c r="T99" s="26" t="n">
        <f aca="false">IFERROR(J99-S99,"")</f>
        <v>658</v>
      </c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 t="n">
        <v>9</v>
      </c>
      <c r="AF99" s="26" t="n">
        <f aca="false">SUM(U99:AE99)</f>
        <v>9</v>
      </c>
      <c r="AG99" s="26" t="n">
        <f aca="false">T99-AF99</f>
        <v>649</v>
      </c>
      <c r="AH99" s="28" t="n">
        <f aca="false">IFERROR(AG99/T99,"")</f>
        <v>0.986322188449848</v>
      </c>
      <c r="AI99" s="29" t="n">
        <f aca="false">IFERROR(R99/AG99*60,"")</f>
        <v>98.0893682588598</v>
      </c>
      <c r="AJ99" s="30" t="n">
        <f aca="false">IFERROR(AI99/Q99,"")</f>
        <v>0.953646635850026</v>
      </c>
      <c r="AK99" s="31" t="n">
        <f aca="false">IFERROR(R99/(T99/60*Q99),"")</f>
        <v>0.940602836879433</v>
      </c>
      <c r="AL99" s="26"/>
      <c r="AM99" s="26"/>
      <c r="AN99" s="26" t="n">
        <v>2</v>
      </c>
      <c r="AO99" s="26" t="n">
        <v>1</v>
      </c>
      <c r="AP99" s="26" t="n">
        <v>2</v>
      </c>
      <c r="AQ99" s="26" t="n">
        <v>2</v>
      </c>
      <c r="AR99" s="26" t="n">
        <v>4</v>
      </c>
      <c r="AS99" s="26" t="n">
        <v>1</v>
      </c>
      <c r="AT99" s="26" t="n">
        <v>2</v>
      </c>
      <c r="AU99" s="26" t="n">
        <v>2</v>
      </c>
      <c r="AV99" s="26" t="n">
        <f aca="false">SUM(AL99:AU99)</f>
        <v>16</v>
      </c>
      <c r="AW99" s="32" t="n">
        <f aca="false">IFERROR(AV99/R99*1000000,"")</f>
        <v>15080.1131008483</v>
      </c>
      <c r="AX99" s="33" t="n">
        <f aca="false">IFERROR((R99-AV99)/R99,"")</f>
        <v>0.984919886899152</v>
      </c>
      <c r="AY99" s="34" t="n">
        <f aca="false">IFERROR(AH99*AJ99*AX99,"")</f>
        <v>0.926418439716312</v>
      </c>
      <c r="AZ99" s="35" t="s">
        <v>86</v>
      </c>
    </row>
    <row r="100" customFormat="false" ht="12.75" hidden="false" customHeight="true" outlineLevel="0" collapsed="false">
      <c r="A100" s="24" t="n">
        <v>96</v>
      </c>
      <c r="B100" s="25" t="n">
        <v>46054</v>
      </c>
      <c r="C100" s="25" t="n">
        <v>12</v>
      </c>
      <c r="D100" s="26" t="s">
        <v>87</v>
      </c>
      <c r="E100" s="26" t="s">
        <v>101</v>
      </c>
      <c r="F100" s="26" t="s">
        <v>81</v>
      </c>
      <c r="G100" s="26" t="s">
        <v>13</v>
      </c>
      <c r="H100" s="27" t="n">
        <v>0.354166666666667</v>
      </c>
      <c r="I100" s="27" t="n">
        <v>0.854166666666667</v>
      </c>
      <c r="J100" s="26" t="n">
        <f aca="false">IFERROR((I100-H100)*24*60,"")</f>
        <v>720</v>
      </c>
      <c r="K100" s="26" t="s">
        <v>74</v>
      </c>
      <c r="L100" s="26" t="s">
        <v>108</v>
      </c>
      <c r="M100" s="26" t="s">
        <v>103</v>
      </c>
      <c r="N100" s="26" t="s">
        <v>104</v>
      </c>
      <c r="O100" s="26" t="n">
        <v>4</v>
      </c>
      <c r="P100" s="26" t="n">
        <v>67</v>
      </c>
      <c r="Q100" s="26" t="n">
        <f aca="false">IFERROR(3600/(P100/O100),"")</f>
        <v>214.925373134328</v>
      </c>
      <c r="R100" s="26" t="n">
        <v>1917</v>
      </c>
      <c r="S100" s="26" t="n">
        <v>42</v>
      </c>
      <c r="T100" s="26" t="n">
        <f aca="false">IFERROR(J100-S100,"")</f>
        <v>678</v>
      </c>
      <c r="U100" s="26"/>
      <c r="V100" s="26"/>
      <c r="W100" s="26"/>
      <c r="X100" s="26"/>
      <c r="Y100" s="26"/>
      <c r="Z100" s="26"/>
      <c r="AA100" s="26"/>
      <c r="AB100" s="26"/>
      <c r="AC100" s="26" t="n">
        <v>29</v>
      </c>
      <c r="AD100" s="26"/>
      <c r="AE100" s="26" t="n">
        <v>7</v>
      </c>
      <c r="AF100" s="26" t="n">
        <f aca="false">SUM(U100:AE100)</f>
        <v>36</v>
      </c>
      <c r="AG100" s="26" t="n">
        <f aca="false">T100-AF100</f>
        <v>642</v>
      </c>
      <c r="AH100" s="28" t="n">
        <f aca="false">IFERROR(AG100/T100,"")</f>
        <v>0.946902654867257</v>
      </c>
      <c r="AI100" s="29" t="n">
        <f aca="false">IFERROR(R100/AG100*60,"")</f>
        <v>179.158878504673</v>
      </c>
      <c r="AJ100" s="30" t="n">
        <f aca="false">IFERROR(AI100/Q100,"")</f>
        <v>0.833586448598131</v>
      </c>
      <c r="AK100" s="31" t="n">
        <f aca="false">IFERROR(R100/(T100/60*Q100),"")</f>
        <v>0.789325221238938</v>
      </c>
      <c r="AL100" s="26" t="n">
        <v>6</v>
      </c>
      <c r="AM100" s="26" t="n">
        <v>3</v>
      </c>
      <c r="AN100" s="26" t="n">
        <v>3</v>
      </c>
      <c r="AO100" s="26" t="n">
        <v>2</v>
      </c>
      <c r="AP100" s="26" t="n">
        <v>5</v>
      </c>
      <c r="AQ100" s="26" t="n">
        <v>3</v>
      </c>
      <c r="AR100" s="26" t="n">
        <v>3</v>
      </c>
      <c r="AS100" s="26" t="n">
        <v>2</v>
      </c>
      <c r="AT100" s="26" t="n">
        <v>4</v>
      </c>
      <c r="AU100" s="26" t="n">
        <v>3</v>
      </c>
      <c r="AV100" s="26" t="n">
        <f aca="false">SUM(AL100:AU100)</f>
        <v>34</v>
      </c>
      <c r="AW100" s="32" t="n">
        <f aca="false">IFERROR(AV100/R100*1000000,"")</f>
        <v>17736.04590506</v>
      </c>
      <c r="AX100" s="33" t="n">
        <f aca="false">IFERROR((R100-AV100)/R100,"")</f>
        <v>0.98226395409494</v>
      </c>
      <c r="AY100" s="34" t="n">
        <f aca="false">IFERROR(AH100*AJ100*AX100,"")</f>
        <v>0.775325712881023</v>
      </c>
      <c r="AZ100" s="35" t="s">
        <v>86</v>
      </c>
    </row>
    <row r="101" customFormat="false" ht="12.75" hidden="false" customHeight="true" outlineLevel="0" collapsed="false">
      <c r="A101" s="24" t="n">
        <v>97</v>
      </c>
      <c r="B101" s="25" t="n">
        <v>46055</v>
      </c>
      <c r="C101" s="25" t="n">
        <v>12</v>
      </c>
      <c r="D101" s="26" t="s">
        <v>71</v>
      </c>
      <c r="E101" s="26" t="s">
        <v>72</v>
      </c>
      <c r="F101" s="26" t="s">
        <v>73</v>
      </c>
      <c r="G101" s="26" t="s">
        <v>8</v>
      </c>
      <c r="H101" s="27" t="n">
        <v>0.354166666666667</v>
      </c>
      <c r="I101" s="27" t="n">
        <v>0.854166666666667</v>
      </c>
      <c r="J101" s="26" t="n">
        <f aca="false">IFERROR((I101-H101)*24*60,"")</f>
        <v>720</v>
      </c>
      <c r="K101" s="26" t="s">
        <v>74</v>
      </c>
      <c r="L101" s="26" t="s">
        <v>75</v>
      </c>
      <c r="M101" s="26" t="s">
        <v>76</v>
      </c>
      <c r="N101" s="26" t="s">
        <v>77</v>
      </c>
      <c r="O101" s="26" t="n">
        <v>1</v>
      </c>
      <c r="P101" s="26" t="n">
        <v>48</v>
      </c>
      <c r="Q101" s="26" t="n">
        <f aca="false">IFERROR(3600/(P101/O101),"")</f>
        <v>75</v>
      </c>
      <c r="R101" s="26" t="n">
        <v>648</v>
      </c>
      <c r="S101" s="26" t="n">
        <v>62</v>
      </c>
      <c r="T101" s="26" t="n">
        <f aca="false">IFERROR(J101-S101,"")</f>
        <v>658</v>
      </c>
      <c r="U101" s="26" t="n">
        <v>3</v>
      </c>
      <c r="V101" s="26"/>
      <c r="W101" s="26"/>
      <c r="X101" s="26"/>
      <c r="Y101" s="26" t="n">
        <v>30</v>
      </c>
      <c r="Z101" s="26"/>
      <c r="AA101" s="26"/>
      <c r="AB101" s="26"/>
      <c r="AC101" s="26" t="n">
        <v>13</v>
      </c>
      <c r="AD101" s="26"/>
      <c r="AE101" s="26"/>
      <c r="AF101" s="26" t="n">
        <f aca="false">SUM(U101:AE101)</f>
        <v>46</v>
      </c>
      <c r="AG101" s="26" t="n">
        <f aca="false">T101-AF101</f>
        <v>612</v>
      </c>
      <c r="AH101" s="28" t="n">
        <f aca="false">IFERROR(AG101/T101,"")</f>
        <v>0.930091185410334</v>
      </c>
      <c r="AI101" s="29" t="n">
        <f aca="false">IFERROR(R101/AG101*60,"")</f>
        <v>63.5294117647059</v>
      </c>
      <c r="AJ101" s="30" t="n">
        <f aca="false">IFERROR(AI101/Q101,"")</f>
        <v>0.847058823529412</v>
      </c>
      <c r="AK101" s="31" t="n">
        <f aca="false">IFERROR(R101/(T101/60*Q101),"")</f>
        <v>0.787841945288754</v>
      </c>
      <c r="AL101" s="26"/>
      <c r="AM101" s="26"/>
      <c r="AN101" s="26"/>
      <c r="AO101" s="26" t="n">
        <v>1</v>
      </c>
      <c r="AP101" s="26"/>
      <c r="AQ101" s="26" t="n">
        <v>1</v>
      </c>
      <c r="AR101" s="26"/>
      <c r="AS101" s="26" t="n">
        <v>1</v>
      </c>
      <c r="AT101" s="26"/>
      <c r="AU101" s="26" t="n">
        <v>1</v>
      </c>
      <c r="AV101" s="26" t="n">
        <f aca="false">SUM(AL101:AU101)</f>
        <v>4</v>
      </c>
      <c r="AW101" s="32" t="n">
        <f aca="false">IFERROR(AV101/R101*1000000,"")</f>
        <v>6172.83950617284</v>
      </c>
      <c r="AX101" s="33" t="n">
        <f aca="false">IFERROR((R101-AV101)/R101,"")</f>
        <v>0.993827160493827</v>
      </c>
      <c r="AY101" s="34" t="n">
        <f aca="false">IFERROR(AH101*AJ101*AX101,"")</f>
        <v>0.782978723404255</v>
      </c>
      <c r="AZ101" s="35" t="s">
        <v>93</v>
      </c>
    </row>
    <row r="102" customFormat="false" ht="12.75" hidden="false" customHeight="true" outlineLevel="0" collapsed="false">
      <c r="A102" s="24" t="n">
        <v>98</v>
      </c>
      <c r="B102" s="25" t="n">
        <v>46055</v>
      </c>
      <c r="C102" s="25" t="n">
        <v>12</v>
      </c>
      <c r="D102" s="26" t="s">
        <v>79</v>
      </c>
      <c r="E102" s="26" t="s">
        <v>80</v>
      </c>
      <c r="F102" s="26" t="s">
        <v>81</v>
      </c>
      <c r="G102" s="26" t="s">
        <v>9</v>
      </c>
      <c r="H102" s="27" t="n">
        <v>0.354166666666667</v>
      </c>
      <c r="I102" s="27" t="n">
        <v>0.854166666666667</v>
      </c>
      <c r="J102" s="26" t="n">
        <f aca="false">IFERROR((I102-H102)*24*60,"")</f>
        <v>720</v>
      </c>
      <c r="K102" s="26" t="s">
        <v>105</v>
      </c>
      <c r="L102" s="26" t="s">
        <v>83</v>
      </c>
      <c r="M102" s="26" t="s">
        <v>84</v>
      </c>
      <c r="N102" s="26" t="s">
        <v>85</v>
      </c>
      <c r="O102" s="26" t="n">
        <v>1</v>
      </c>
      <c r="P102" s="26" t="n">
        <v>35</v>
      </c>
      <c r="Q102" s="26" t="n">
        <f aca="false">IFERROR(3600/(P102/O102),"")</f>
        <v>102.857142857143</v>
      </c>
      <c r="R102" s="26" t="n">
        <v>1120</v>
      </c>
      <c r="S102" s="26" t="n">
        <v>58</v>
      </c>
      <c r="T102" s="26" t="n">
        <f aca="false">IFERROR(J102-S102,"")</f>
        <v>662</v>
      </c>
      <c r="U102" s="26" t="n">
        <v>9</v>
      </c>
      <c r="V102" s="26" t="n">
        <v>11</v>
      </c>
      <c r="W102" s="26"/>
      <c r="X102" s="26"/>
      <c r="Y102" s="26"/>
      <c r="Z102" s="26"/>
      <c r="AA102" s="26" t="n">
        <v>12</v>
      </c>
      <c r="AB102" s="26"/>
      <c r="AC102" s="26"/>
      <c r="AD102" s="26"/>
      <c r="AE102" s="26"/>
      <c r="AF102" s="26" t="n">
        <f aca="false">SUM(U102:AE102)</f>
        <v>32</v>
      </c>
      <c r="AG102" s="26" t="n">
        <f aca="false">T102-AF102</f>
        <v>630</v>
      </c>
      <c r="AH102" s="28" t="n">
        <f aca="false">IFERROR(AG102/T102,"")</f>
        <v>0.95166163141994</v>
      </c>
      <c r="AI102" s="29" t="n">
        <f aca="false">IFERROR(R102/AG102*60,"")</f>
        <v>106.666666666667</v>
      </c>
      <c r="AJ102" s="30" t="n">
        <f aca="false">IFERROR(AI102/Q102,"")</f>
        <v>1.03703703703704</v>
      </c>
      <c r="AK102" s="31" t="n">
        <f aca="false">IFERROR(R102/(T102/60*Q102),"")</f>
        <v>0.986908358509567</v>
      </c>
      <c r="AL102" s="26" t="n">
        <v>1</v>
      </c>
      <c r="AM102" s="26"/>
      <c r="AN102" s="26" t="n">
        <v>3</v>
      </c>
      <c r="AO102" s="26"/>
      <c r="AP102" s="26" t="n">
        <v>2</v>
      </c>
      <c r="AQ102" s="26" t="n">
        <v>1</v>
      </c>
      <c r="AR102" s="26"/>
      <c r="AS102" s="26" t="n">
        <v>1</v>
      </c>
      <c r="AT102" s="26"/>
      <c r="AU102" s="26" t="n">
        <v>1</v>
      </c>
      <c r="AV102" s="26" t="n">
        <f aca="false">SUM(AL102:AU102)</f>
        <v>9</v>
      </c>
      <c r="AW102" s="32" t="n">
        <f aca="false">IFERROR(AV102/R102*1000000,"")</f>
        <v>8035.71428571429</v>
      </c>
      <c r="AX102" s="33" t="n">
        <f aca="false">IFERROR((R102-AV102)/R102,"")</f>
        <v>0.991964285714286</v>
      </c>
      <c r="AY102" s="34" t="n">
        <f aca="false">IFERROR(AH102*AJ102*AX102,"")</f>
        <v>0.978977844914401</v>
      </c>
      <c r="AZ102" s="35" t="s">
        <v>93</v>
      </c>
    </row>
    <row r="103" customFormat="false" ht="12.75" hidden="false" customHeight="true" outlineLevel="0" collapsed="false">
      <c r="A103" s="24" t="n">
        <v>99</v>
      </c>
      <c r="B103" s="25" t="n">
        <v>46055</v>
      </c>
      <c r="C103" s="25" t="n">
        <v>12</v>
      </c>
      <c r="D103" s="26" t="s">
        <v>87</v>
      </c>
      <c r="E103" s="26" t="s">
        <v>88</v>
      </c>
      <c r="F103" s="26" t="s">
        <v>73</v>
      </c>
      <c r="G103" s="26" t="s">
        <v>10</v>
      </c>
      <c r="H103" s="27" t="n">
        <v>0.354166666666667</v>
      </c>
      <c r="I103" s="27" t="n">
        <v>0.854166666666667</v>
      </c>
      <c r="J103" s="26" t="n">
        <f aca="false">IFERROR((I103-H103)*24*60,"")</f>
        <v>720</v>
      </c>
      <c r="K103" s="26" t="s">
        <v>89</v>
      </c>
      <c r="L103" s="26" t="s">
        <v>90</v>
      </c>
      <c r="M103" s="26" t="s">
        <v>91</v>
      </c>
      <c r="N103" s="26" t="s">
        <v>92</v>
      </c>
      <c r="O103" s="26" t="n">
        <v>4</v>
      </c>
      <c r="P103" s="26" t="n">
        <v>55</v>
      </c>
      <c r="Q103" s="26" t="n">
        <f aca="false">IFERROR(3600/(P103/O103),"")</f>
        <v>261.818181818182</v>
      </c>
      <c r="R103" s="26" t="n">
        <v>2721</v>
      </c>
      <c r="S103" s="26" t="n">
        <v>68</v>
      </c>
      <c r="T103" s="26" t="n">
        <f aca="false">IFERROR(J103-S103,"")</f>
        <v>652</v>
      </c>
      <c r="U103" s="26"/>
      <c r="V103" s="26" t="n">
        <v>5</v>
      </c>
      <c r="W103" s="26"/>
      <c r="X103" s="26"/>
      <c r="Y103" s="26"/>
      <c r="Z103" s="26" t="n">
        <v>5</v>
      </c>
      <c r="AA103" s="26"/>
      <c r="AB103" s="26"/>
      <c r="AC103" s="26" t="n">
        <v>6</v>
      </c>
      <c r="AD103" s="26"/>
      <c r="AE103" s="26"/>
      <c r="AF103" s="26" t="n">
        <f aca="false">SUM(U103:AE103)</f>
        <v>16</v>
      </c>
      <c r="AG103" s="26" t="n">
        <f aca="false">T103-AF103</f>
        <v>636</v>
      </c>
      <c r="AH103" s="28" t="n">
        <f aca="false">IFERROR(AG103/T103,"")</f>
        <v>0.975460122699387</v>
      </c>
      <c r="AI103" s="29" t="n">
        <f aca="false">IFERROR(R103/AG103*60,"")</f>
        <v>256.698113207547</v>
      </c>
      <c r="AJ103" s="30" t="n">
        <f aca="false">IFERROR(AI103/Q103,"")</f>
        <v>0.980444182389937</v>
      </c>
      <c r="AK103" s="31" t="n">
        <f aca="false">IFERROR(R103/(T103/60*Q103),"")</f>
        <v>0.956384202453988</v>
      </c>
      <c r="AL103" s="26"/>
      <c r="AM103" s="26" t="n">
        <v>2</v>
      </c>
      <c r="AN103" s="26" t="n">
        <v>2</v>
      </c>
      <c r="AO103" s="26" t="n">
        <v>3</v>
      </c>
      <c r="AP103" s="26" t="n">
        <v>1</v>
      </c>
      <c r="AQ103" s="26" t="n">
        <v>4</v>
      </c>
      <c r="AR103" s="26" t="n">
        <v>2</v>
      </c>
      <c r="AS103" s="26"/>
      <c r="AT103" s="26" t="n">
        <v>4</v>
      </c>
      <c r="AU103" s="26" t="n">
        <v>1</v>
      </c>
      <c r="AV103" s="26" t="n">
        <f aca="false">SUM(AL103:AU103)</f>
        <v>19</v>
      </c>
      <c r="AW103" s="32" t="n">
        <f aca="false">IFERROR(AV103/R103*1000000,"")</f>
        <v>6982.72693862551</v>
      </c>
      <c r="AX103" s="33" t="n">
        <f aca="false">IFERROR((R103-AV103)/R103,"")</f>
        <v>0.993017273061374</v>
      </c>
      <c r="AY103" s="34" t="n">
        <f aca="false">IFERROR(AH103*AJ103*AX103,"")</f>
        <v>0.949706032719836</v>
      </c>
      <c r="AZ103" s="35" t="s">
        <v>78</v>
      </c>
    </row>
    <row r="104" customFormat="false" ht="12.75" hidden="false" customHeight="true" outlineLevel="0" collapsed="false">
      <c r="A104" s="24" t="n">
        <v>100</v>
      </c>
      <c r="B104" s="25" t="n">
        <v>46056</v>
      </c>
      <c r="C104" s="25" t="n">
        <v>12</v>
      </c>
      <c r="D104" s="26" t="s">
        <v>71</v>
      </c>
      <c r="E104" s="26" t="s">
        <v>94</v>
      </c>
      <c r="F104" s="26" t="s">
        <v>81</v>
      </c>
      <c r="G104" s="26" t="s">
        <v>11</v>
      </c>
      <c r="H104" s="27" t="n">
        <v>0.354166666666667</v>
      </c>
      <c r="I104" s="27" t="n">
        <v>0.854166666666667</v>
      </c>
      <c r="J104" s="26" t="n">
        <f aca="false">IFERROR((I104-H104)*24*60,"")</f>
        <v>720</v>
      </c>
      <c r="K104" s="26" t="s">
        <v>89</v>
      </c>
      <c r="L104" s="26" t="s">
        <v>98</v>
      </c>
      <c r="M104" s="26" t="s">
        <v>95</v>
      </c>
      <c r="N104" s="26" t="s">
        <v>96</v>
      </c>
      <c r="O104" s="26" t="n">
        <v>8</v>
      </c>
      <c r="P104" s="26" t="n">
        <v>39</v>
      </c>
      <c r="Q104" s="26" t="n">
        <f aca="false">IFERROR(3600/(P104/O104),"")</f>
        <v>738.461538461539</v>
      </c>
      <c r="R104" s="26" t="n">
        <v>7445</v>
      </c>
      <c r="S104" s="26" t="n">
        <v>72</v>
      </c>
      <c r="T104" s="26" t="n">
        <f aca="false">IFERROR(J104-S104,"")</f>
        <v>648</v>
      </c>
      <c r="U104" s="26"/>
      <c r="V104" s="26"/>
      <c r="W104" s="26"/>
      <c r="X104" s="26" t="n">
        <v>22</v>
      </c>
      <c r="Y104" s="26"/>
      <c r="Z104" s="26" t="n">
        <v>29</v>
      </c>
      <c r="AA104" s="26"/>
      <c r="AB104" s="26"/>
      <c r="AC104" s="26"/>
      <c r="AD104" s="26"/>
      <c r="AE104" s="26" t="n">
        <v>3</v>
      </c>
      <c r="AF104" s="26" t="n">
        <f aca="false">SUM(U104:AE104)</f>
        <v>54</v>
      </c>
      <c r="AG104" s="26" t="n">
        <f aca="false">T104-AF104</f>
        <v>594</v>
      </c>
      <c r="AH104" s="28" t="n">
        <f aca="false">IFERROR(AG104/T104,"")</f>
        <v>0.916666666666667</v>
      </c>
      <c r="AI104" s="29" t="n">
        <f aca="false">IFERROR(R104/AG104*60,"")</f>
        <v>752.020202020202</v>
      </c>
      <c r="AJ104" s="30" t="n">
        <f aca="false">IFERROR(AI104/Q104,"")</f>
        <v>1.01836069023569</v>
      </c>
      <c r="AK104" s="31" t="n">
        <f aca="false">IFERROR(R104/(T104/60*Q104),"")</f>
        <v>0.933497299382716</v>
      </c>
      <c r="AL104" s="26" t="n">
        <v>10</v>
      </c>
      <c r="AM104" s="26" t="n">
        <v>14</v>
      </c>
      <c r="AN104" s="26" t="n">
        <v>5</v>
      </c>
      <c r="AO104" s="26" t="n">
        <v>6</v>
      </c>
      <c r="AP104" s="26" t="n">
        <v>8</v>
      </c>
      <c r="AQ104" s="26" t="n">
        <v>5</v>
      </c>
      <c r="AR104" s="26" t="n">
        <v>10</v>
      </c>
      <c r="AS104" s="26" t="n">
        <v>6</v>
      </c>
      <c r="AT104" s="26" t="n">
        <v>12</v>
      </c>
      <c r="AU104" s="26" t="n">
        <v>4</v>
      </c>
      <c r="AV104" s="26" t="n">
        <f aca="false">SUM(AL104:AU104)</f>
        <v>80</v>
      </c>
      <c r="AW104" s="32" t="n">
        <f aca="false">IFERROR(AV104/R104*1000000,"")</f>
        <v>10745.4667562122</v>
      </c>
      <c r="AX104" s="33" t="n">
        <f aca="false">IFERROR((R104-AV104)/R104,"")</f>
        <v>0.989254533243788</v>
      </c>
      <c r="AY104" s="34" t="n">
        <f aca="false">IFERROR(AH104*AJ104*AX104,"")</f>
        <v>0.923466435185185</v>
      </c>
      <c r="AZ104" s="35" t="s">
        <v>86</v>
      </c>
    </row>
    <row r="105" customFormat="false" ht="12.75" hidden="false" customHeight="true" outlineLevel="0" collapsed="false">
      <c r="A105" s="24" t="n">
        <v>101</v>
      </c>
      <c r="B105" s="25" t="n">
        <v>46056</v>
      </c>
      <c r="C105" s="25" t="n">
        <v>12</v>
      </c>
      <c r="D105" s="26" t="s">
        <v>79</v>
      </c>
      <c r="E105" s="26" t="s">
        <v>97</v>
      </c>
      <c r="F105" s="26" t="s">
        <v>73</v>
      </c>
      <c r="G105" s="26" t="s">
        <v>12</v>
      </c>
      <c r="H105" s="27" t="n">
        <v>0.354166666666667</v>
      </c>
      <c r="I105" s="27" t="n">
        <v>0.854166666666667</v>
      </c>
      <c r="J105" s="26" t="n">
        <f aca="false">IFERROR((I105-H105)*24*60,"")</f>
        <v>720</v>
      </c>
      <c r="K105" s="26" t="s">
        <v>89</v>
      </c>
      <c r="L105" s="26" t="s">
        <v>107</v>
      </c>
      <c r="M105" s="26" t="s">
        <v>99</v>
      </c>
      <c r="N105" s="26" t="s">
        <v>100</v>
      </c>
      <c r="O105" s="26" t="n">
        <v>1</v>
      </c>
      <c r="P105" s="26" t="n">
        <v>59</v>
      </c>
      <c r="Q105" s="26" t="n">
        <f aca="false">IFERROR(3600/(P105/O105),"")</f>
        <v>61.0169491525424</v>
      </c>
      <c r="R105" s="26" t="n">
        <v>629</v>
      </c>
      <c r="S105" s="26" t="n">
        <v>49</v>
      </c>
      <c r="T105" s="26" t="n">
        <f aca="false">IFERROR(J105-S105,"")</f>
        <v>671</v>
      </c>
      <c r="U105" s="26" t="n">
        <v>6</v>
      </c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 t="n">
        <f aca="false">SUM(U105:AE105)</f>
        <v>6</v>
      </c>
      <c r="AG105" s="26" t="n">
        <f aca="false">T105-AF105</f>
        <v>665</v>
      </c>
      <c r="AH105" s="28" t="n">
        <f aca="false">IFERROR(AG105/T105,"")</f>
        <v>0.991058122205663</v>
      </c>
      <c r="AI105" s="29" t="n">
        <f aca="false">IFERROR(R105/AG105*60,"")</f>
        <v>56.7518796992481</v>
      </c>
      <c r="AJ105" s="30" t="n">
        <f aca="false">IFERROR(AI105/Q105,"")</f>
        <v>0.930100250626566</v>
      </c>
      <c r="AK105" s="31" t="n">
        <f aca="false">IFERROR(R105/(T105/60*Q105),"")</f>
        <v>0.921783407848982</v>
      </c>
      <c r="AL105" s="26"/>
      <c r="AM105" s="26"/>
      <c r="AN105" s="26"/>
      <c r="AO105" s="26"/>
      <c r="AP105" s="26"/>
      <c r="AQ105" s="26"/>
      <c r="AR105" s="26"/>
      <c r="AS105" s="26"/>
      <c r="AT105" s="26"/>
      <c r="AU105" s="26" t="n">
        <v>1</v>
      </c>
      <c r="AV105" s="26" t="n">
        <f aca="false">SUM(AL105:AU105)</f>
        <v>1</v>
      </c>
      <c r="AW105" s="32" t="n">
        <f aca="false">IFERROR(AV105/R105*1000000,"")</f>
        <v>1589.82511923688</v>
      </c>
      <c r="AX105" s="33" t="n">
        <f aca="false">IFERROR((R105-AV105)/R105,"")</f>
        <v>0.998410174880763</v>
      </c>
      <c r="AY105" s="34" t="n">
        <f aca="false">IFERROR(AH105*AJ105*AX105,"")</f>
        <v>0.920317933432688</v>
      </c>
      <c r="AZ105" s="35" t="s">
        <v>93</v>
      </c>
    </row>
    <row r="106" customFormat="false" ht="12.75" hidden="false" customHeight="true" outlineLevel="0" collapsed="false">
      <c r="A106" s="24" t="n">
        <v>102</v>
      </c>
      <c r="B106" s="25" t="n">
        <v>46056</v>
      </c>
      <c r="C106" s="25" t="n">
        <v>12</v>
      </c>
      <c r="D106" s="26" t="s">
        <v>87</v>
      </c>
      <c r="E106" s="26" t="s">
        <v>101</v>
      </c>
      <c r="F106" s="26" t="s">
        <v>81</v>
      </c>
      <c r="G106" s="26" t="s">
        <v>13</v>
      </c>
      <c r="H106" s="27" t="n">
        <v>0.354166666666667</v>
      </c>
      <c r="I106" s="27" t="n">
        <v>0.854166666666667</v>
      </c>
      <c r="J106" s="26" t="n">
        <f aca="false">IFERROR((I106-H106)*24*60,"")</f>
        <v>720</v>
      </c>
      <c r="K106" s="26" t="s">
        <v>74</v>
      </c>
      <c r="L106" s="26" t="s">
        <v>106</v>
      </c>
      <c r="M106" s="26" t="s">
        <v>103</v>
      </c>
      <c r="N106" s="26" t="s">
        <v>104</v>
      </c>
      <c r="O106" s="26" t="n">
        <v>2</v>
      </c>
      <c r="P106" s="26" t="n">
        <v>50</v>
      </c>
      <c r="Q106" s="26" t="n">
        <f aca="false">IFERROR(3600/(P106/O106),"")</f>
        <v>144</v>
      </c>
      <c r="R106" s="26" t="n">
        <v>1523</v>
      </c>
      <c r="S106" s="26" t="n">
        <v>43</v>
      </c>
      <c r="T106" s="26" t="n">
        <f aca="false">IFERROR(J106-S106,"")</f>
        <v>677</v>
      </c>
      <c r="U106" s="26"/>
      <c r="V106" s="26"/>
      <c r="W106" s="26" t="n">
        <v>7</v>
      </c>
      <c r="X106" s="26" t="n">
        <v>8</v>
      </c>
      <c r="Y106" s="26"/>
      <c r="Z106" s="26"/>
      <c r="AA106" s="26"/>
      <c r="AB106" s="26"/>
      <c r="AC106" s="26"/>
      <c r="AD106" s="26" t="n">
        <v>39</v>
      </c>
      <c r="AE106" s="26"/>
      <c r="AF106" s="26" t="n">
        <f aca="false">SUM(U106:AE106)</f>
        <v>54</v>
      </c>
      <c r="AG106" s="26" t="n">
        <f aca="false">T106-AF106</f>
        <v>623</v>
      </c>
      <c r="AH106" s="28" t="n">
        <f aca="false">IFERROR(AG106/T106,"")</f>
        <v>0.920236336779911</v>
      </c>
      <c r="AI106" s="29" t="n">
        <f aca="false">IFERROR(R106/AG106*60,"")</f>
        <v>146.677367576244</v>
      </c>
      <c r="AJ106" s="30" t="n">
        <f aca="false">IFERROR(AI106/Q106,"")</f>
        <v>1.01859283039058</v>
      </c>
      <c r="AK106" s="31" t="n">
        <f aca="false">IFERROR(R106/(T106/60*Q106),"")</f>
        <v>0.937346134908912</v>
      </c>
      <c r="AL106" s="26" t="n">
        <v>1</v>
      </c>
      <c r="AM106" s="26" t="n">
        <v>6</v>
      </c>
      <c r="AN106" s="26" t="n">
        <v>2</v>
      </c>
      <c r="AO106" s="26" t="n">
        <v>4</v>
      </c>
      <c r="AP106" s="26" t="n">
        <v>4</v>
      </c>
      <c r="AQ106" s="26" t="n">
        <v>4</v>
      </c>
      <c r="AR106" s="26"/>
      <c r="AS106" s="26" t="n">
        <v>4</v>
      </c>
      <c r="AT106" s="26" t="n">
        <v>2</v>
      </c>
      <c r="AU106" s="26" t="n">
        <v>5</v>
      </c>
      <c r="AV106" s="26" t="n">
        <f aca="false">SUM(AL106:AU106)</f>
        <v>32</v>
      </c>
      <c r="AW106" s="32" t="n">
        <f aca="false">IFERROR(AV106/R106*1000000,"")</f>
        <v>21011.1621799081</v>
      </c>
      <c r="AX106" s="33" t="n">
        <f aca="false">IFERROR((R106-AV106)/R106,"")</f>
        <v>0.978988837820092</v>
      </c>
      <c r="AY106" s="34" t="n">
        <f aca="false">IFERROR(AH106*AJ106*AX106,"")</f>
        <v>0.917651403249631</v>
      </c>
      <c r="AZ106" s="35" t="s">
        <v>93</v>
      </c>
    </row>
    <row r="107" customFormat="false" ht="12.75" hidden="false" customHeight="true" outlineLevel="0" collapsed="false">
      <c r="A107" s="24" t="n">
        <v>103</v>
      </c>
      <c r="B107" s="25" t="n">
        <v>46057</v>
      </c>
      <c r="C107" s="25" t="n">
        <v>12</v>
      </c>
      <c r="D107" s="26" t="s">
        <v>71</v>
      </c>
      <c r="E107" s="26" t="s">
        <v>72</v>
      </c>
      <c r="F107" s="26" t="s">
        <v>73</v>
      </c>
      <c r="G107" s="26" t="s">
        <v>8</v>
      </c>
      <c r="H107" s="27" t="n">
        <v>0.354166666666667</v>
      </c>
      <c r="I107" s="27" t="n">
        <v>0.854166666666667</v>
      </c>
      <c r="J107" s="26" t="n">
        <f aca="false">IFERROR((I107-H107)*24*60,"")</f>
        <v>720</v>
      </c>
      <c r="K107" s="26" t="s">
        <v>89</v>
      </c>
      <c r="L107" s="26" t="s">
        <v>107</v>
      </c>
      <c r="M107" s="26" t="s">
        <v>76</v>
      </c>
      <c r="N107" s="26" t="s">
        <v>77</v>
      </c>
      <c r="O107" s="26" t="n">
        <v>1</v>
      </c>
      <c r="P107" s="26" t="n">
        <v>44</v>
      </c>
      <c r="Q107" s="26" t="n">
        <f aca="false">IFERROR(3600/(P107/O107),"")</f>
        <v>81.8181818181818</v>
      </c>
      <c r="R107" s="26" t="n">
        <v>690</v>
      </c>
      <c r="S107" s="26" t="n">
        <v>57</v>
      </c>
      <c r="T107" s="26" t="n">
        <f aca="false">IFERROR(J107-S107,"")</f>
        <v>663</v>
      </c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 t="n">
        <v>14</v>
      </c>
      <c r="AF107" s="26" t="n">
        <f aca="false">SUM(U107:AE107)</f>
        <v>14</v>
      </c>
      <c r="AG107" s="26" t="n">
        <f aca="false">T107-AF107</f>
        <v>649</v>
      </c>
      <c r="AH107" s="28" t="n">
        <f aca="false">IFERROR(AG107/T107,"")</f>
        <v>0.978883861236802</v>
      </c>
      <c r="AI107" s="29" t="n">
        <f aca="false">IFERROR(R107/AG107*60,"")</f>
        <v>63.7904468412943</v>
      </c>
      <c r="AJ107" s="30" t="n">
        <f aca="false">IFERROR(AI107/Q107,"")</f>
        <v>0.779661016949153</v>
      </c>
      <c r="AK107" s="31" t="n">
        <f aca="false">IFERROR(R107/(T107/60*Q107),"")</f>
        <v>0.763197586726998</v>
      </c>
      <c r="AL107" s="26"/>
      <c r="AM107" s="26"/>
      <c r="AN107" s="26" t="n">
        <v>1</v>
      </c>
      <c r="AO107" s="26"/>
      <c r="AP107" s="26" t="n">
        <v>1</v>
      </c>
      <c r="AQ107" s="26" t="n">
        <v>3</v>
      </c>
      <c r="AR107" s="26"/>
      <c r="AS107" s="26" t="n">
        <v>3</v>
      </c>
      <c r="AT107" s="26"/>
      <c r="AU107" s="26"/>
      <c r="AV107" s="26" t="n">
        <f aca="false">SUM(AL107:AU107)</f>
        <v>8</v>
      </c>
      <c r="AW107" s="32" t="n">
        <f aca="false">IFERROR(AV107/R107*1000000,"")</f>
        <v>11594.2028985507</v>
      </c>
      <c r="AX107" s="33" t="n">
        <f aca="false">IFERROR((R107-AV107)/R107,"")</f>
        <v>0.988405797101449</v>
      </c>
      <c r="AY107" s="34" t="n">
        <f aca="false">IFERROR(AH107*AJ107*AX107,"")</f>
        <v>0.754348919054801</v>
      </c>
      <c r="AZ107" s="35" t="s">
        <v>86</v>
      </c>
    </row>
    <row r="108" customFormat="false" ht="12.75" hidden="false" customHeight="true" outlineLevel="0" collapsed="false">
      <c r="A108" s="24" t="n">
        <v>104</v>
      </c>
      <c r="B108" s="25" t="n">
        <v>46057</v>
      </c>
      <c r="C108" s="25" t="n">
        <v>12</v>
      </c>
      <c r="D108" s="26" t="s">
        <v>79</v>
      </c>
      <c r="E108" s="26" t="s">
        <v>80</v>
      </c>
      <c r="F108" s="26" t="s">
        <v>81</v>
      </c>
      <c r="G108" s="26" t="s">
        <v>9</v>
      </c>
      <c r="H108" s="27" t="n">
        <v>0.354166666666667</v>
      </c>
      <c r="I108" s="27" t="n">
        <v>0.854166666666667</v>
      </c>
      <c r="J108" s="26" t="n">
        <f aca="false">IFERROR((I108-H108)*24*60,"")</f>
        <v>720</v>
      </c>
      <c r="K108" s="26" t="s">
        <v>89</v>
      </c>
      <c r="L108" s="26" t="s">
        <v>75</v>
      </c>
      <c r="M108" s="26" t="s">
        <v>84</v>
      </c>
      <c r="N108" s="26" t="s">
        <v>85</v>
      </c>
      <c r="O108" s="26" t="n">
        <v>4</v>
      </c>
      <c r="P108" s="26" t="n">
        <v>32</v>
      </c>
      <c r="Q108" s="26" t="n">
        <f aca="false">IFERROR(3600/(P108/O108),"")</f>
        <v>450</v>
      </c>
      <c r="R108" s="26" t="n">
        <v>4784</v>
      </c>
      <c r="S108" s="26" t="n">
        <v>71</v>
      </c>
      <c r="T108" s="26" t="n">
        <f aca="false">IFERROR(J108-S108,"")</f>
        <v>649</v>
      </c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 t="n">
        <v>7</v>
      </c>
      <c r="AF108" s="26" t="n">
        <f aca="false">SUM(U108:AE108)</f>
        <v>7</v>
      </c>
      <c r="AG108" s="26" t="n">
        <f aca="false">T108-AF108</f>
        <v>642</v>
      </c>
      <c r="AH108" s="28" t="n">
        <f aca="false">IFERROR(AG108/T108,"")</f>
        <v>0.989214175654854</v>
      </c>
      <c r="AI108" s="29" t="n">
        <f aca="false">IFERROR(R108/AG108*60,"")</f>
        <v>447.102803738318</v>
      </c>
      <c r="AJ108" s="30" t="n">
        <f aca="false">IFERROR(AI108/Q108,"")</f>
        <v>0.993561786085151</v>
      </c>
      <c r="AK108" s="31" t="n">
        <f aca="false">IFERROR(R108/(T108/60*Q108),"")</f>
        <v>0.982845403184386</v>
      </c>
      <c r="AL108" s="26" t="n">
        <v>3</v>
      </c>
      <c r="AM108" s="26" t="n">
        <v>1</v>
      </c>
      <c r="AN108" s="26" t="n">
        <v>1</v>
      </c>
      <c r="AO108" s="26" t="n">
        <v>1</v>
      </c>
      <c r="AP108" s="26" t="n">
        <v>1</v>
      </c>
      <c r="AQ108" s="26" t="n">
        <v>1</v>
      </c>
      <c r="AR108" s="26" t="n">
        <v>1</v>
      </c>
      <c r="AS108" s="26" t="n">
        <v>1</v>
      </c>
      <c r="AT108" s="26" t="n">
        <v>4</v>
      </c>
      <c r="AU108" s="26" t="n">
        <v>3</v>
      </c>
      <c r="AV108" s="26" t="n">
        <f aca="false">SUM(AL108:AU108)</f>
        <v>17</v>
      </c>
      <c r="AW108" s="32" t="n">
        <f aca="false">IFERROR(AV108/R108*1000000,"")</f>
        <v>3553.51170568562</v>
      </c>
      <c r="AX108" s="33" t="n">
        <f aca="false">IFERROR((R108-AV108)/R108,"")</f>
        <v>0.996446488294314</v>
      </c>
      <c r="AY108" s="34" t="n">
        <f aca="false">IFERROR(AH108*AJ108*AX108,"")</f>
        <v>0.979352850539291</v>
      </c>
      <c r="AZ108" s="35" t="s">
        <v>93</v>
      </c>
    </row>
    <row r="109" customFormat="false" ht="12.75" hidden="false" customHeight="true" outlineLevel="0" collapsed="false">
      <c r="A109" s="24" t="n">
        <v>105</v>
      </c>
      <c r="B109" s="25" t="n">
        <v>46057</v>
      </c>
      <c r="C109" s="25" t="n">
        <v>12</v>
      </c>
      <c r="D109" s="26" t="s">
        <v>87</v>
      </c>
      <c r="E109" s="26" t="s">
        <v>88</v>
      </c>
      <c r="F109" s="26" t="s">
        <v>73</v>
      </c>
      <c r="G109" s="26" t="s">
        <v>10</v>
      </c>
      <c r="H109" s="27" t="n">
        <v>0.354166666666667</v>
      </c>
      <c r="I109" s="27" t="n">
        <v>0.854166666666667</v>
      </c>
      <c r="J109" s="26" t="n">
        <f aca="false">IFERROR((I109-H109)*24*60,"")</f>
        <v>720</v>
      </c>
      <c r="K109" s="26" t="s">
        <v>74</v>
      </c>
      <c r="L109" s="26" t="s">
        <v>102</v>
      </c>
      <c r="M109" s="26" t="s">
        <v>91</v>
      </c>
      <c r="N109" s="26" t="s">
        <v>92</v>
      </c>
      <c r="O109" s="26" t="n">
        <v>1</v>
      </c>
      <c r="P109" s="26" t="n">
        <v>49</v>
      </c>
      <c r="Q109" s="26" t="n">
        <f aca="false">IFERROR(3600/(P109/O109),"")</f>
        <v>73.4693877551021</v>
      </c>
      <c r="R109" s="26" t="n">
        <v>630</v>
      </c>
      <c r="S109" s="26" t="n">
        <v>38</v>
      </c>
      <c r="T109" s="26" t="n">
        <f aca="false">IFERROR(J109-S109,"")</f>
        <v>682</v>
      </c>
      <c r="U109" s="26"/>
      <c r="V109" s="26"/>
      <c r="W109" s="26"/>
      <c r="X109" s="26"/>
      <c r="Y109" s="26"/>
      <c r="Z109" s="26"/>
      <c r="AA109" s="26"/>
      <c r="AB109" s="26"/>
      <c r="AC109" s="26"/>
      <c r="AD109" s="26" t="n">
        <v>18</v>
      </c>
      <c r="AE109" s="26"/>
      <c r="AF109" s="26" t="n">
        <f aca="false">SUM(U109:AE109)</f>
        <v>18</v>
      </c>
      <c r="AG109" s="26" t="n">
        <f aca="false">T109-AF109</f>
        <v>664</v>
      </c>
      <c r="AH109" s="28" t="n">
        <f aca="false">IFERROR(AG109/T109,"")</f>
        <v>0.973607038123167</v>
      </c>
      <c r="AI109" s="29" t="n">
        <f aca="false">IFERROR(R109/AG109*60,"")</f>
        <v>56.9277108433735</v>
      </c>
      <c r="AJ109" s="30" t="n">
        <f aca="false">IFERROR(AI109/Q109,"")</f>
        <v>0.774849397590361</v>
      </c>
      <c r="AK109" s="31" t="n">
        <f aca="false">IFERROR(R109/(T109/60*Q109),"")</f>
        <v>0.754398826979472</v>
      </c>
      <c r="AL109" s="26" t="n">
        <v>1</v>
      </c>
      <c r="AM109" s="26"/>
      <c r="AN109" s="26" t="n">
        <v>4</v>
      </c>
      <c r="AO109" s="26"/>
      <c r="AP109" s="26"/>
      <c r="AQ109" s="26" t="n">
        <v>1</v>
      </c>
      <c r="AR109" s="26"/>
      <c r="AS109" s="26" t="n">
        <v>2</v>
      </c>
      <c r="AT109" s="26" t="n">
        <v>1</v>
      </c>
      <c r="AU109" s="26" t="n">
        <v>2</v>
      </c>
      <c r="AV109" s="26" t="n">
        <f aca="false">SUM(AL109:AU109)</f>
        <v>11</v>
      </c>
      <c r="AW109" s="32" t="n">
        <f aca="false">IFERROR(AV109/R109*1000000,"")</f>
        <v>17460.3174603175</v>
      </c>
      <c r="AX109" s="33" t="n">
        <f aca="false">IFERROR((R109-AV109)/R109,"")</f>
        <v>0.982539682539683</v>
      </c>
      <c r="AY109" s="34" t="n">
        <f aca="false">IFERROR(AH109*AJ109*AX109,"")</f>
        <v>0.741226783968719</v>
      </c>
      <c r="AZ109" s="35" t="s">
        <v>86</v>
      </c>
    </row>
    <row r="110" customFormat="false" ht="12.75" hidden="false" customHeight="true" outlineLevel="0" collapsed="false">
      <c r="A110" s="24" t="n">
        <v>106</v>
      </c>
      <c r="B110" s="25" t="n">
        <v>46058</v>
      </c>
      <c r="C110" s="25" t="n">
        <v>12</v>
      </c>
      <c r="D110" s="26" t="s">
        <v>71</v>
      </c>
      <c r="E110" s="26" t="s">
        <v>94</v>
      </c>
      <c r="F110" s="26" t="s">
        <v>81</v>
      </c>
      <c r="G110" s="26" t="s">
        <v>11</v>
      </c>
      <c r="H110" s="27" t="n">
        <v>0.354166666666667</v>
      </c>
      <c r="I110" s="27" t="n">
        <v>0.854166666666667</v>
      </c>
      <c r="J110" s="26" t="n">
        <f aca="false">IFERROR((I110-H110)*24*60,"")</f>
        <v>720</v>
      </c>
      <c r="K110" s="26" t="s">
        <v>74</v>
      </c>
      <c r="L110" s="26" t="s">
        <v>75</v>
      </c>
      <c r="M110" s="26" t="s">
        <v>95</v>
      </c>
      <c r="N110" s="26" t="s">
        <v>96</v>
      </c>
      <c r="O110" s="26" t="n">
        <v>4</v>
      </c>
      <c r="P110" s="26" t="n">
        <v>38</v>
      </c>
      <c r="Q110" s="26" t="n">
        <f aca="false">IFERROR(3600/(P110/O110),"")</f>
        <v>378.947368421053</v>
      </c>
      <c r="R110" s="26" t="n">
        <v>2981</v>
      </c>
      <c r="S110" s="26" t="n">
        <v>34</v>
      </c>
      <c r="T110" s="26" t="n">
        <f aca="false">IFERROR(J110-S110,"")</f>
        <v>686</v>
      </c>
      <c r="U110" s="26"/>
      <c r="V110" s="26"/>
      <c r="W110" s="26"/>
      <c r="X110" s="26"/>
      <c r="Y110" s="26"/>
      <c r="Z110" s="26" t="n">
        <v>19</v>
      </c>
      <c r="AA110" s="26"/>
      <c r="AB110" s="26"/>
      <c r="AC110" s="26"/>
      <c r="AD110" s="26"/>
      <c r="AE110" s="26"/>
      <c r="AF110" s="26" t="n">
        <f aca="false">SUM(U110:AE110)</f>
        <v>19</v>
      </c>
      <c r="AG110" s="26" t="n">
        <f aca="false">T110-AF110</f>
        <v>667</v>
      </c>
      <c r="AH110" s="28" t="n">
        <f aca="false">IFERROR(AG110/T110,"")</f>
        <v>0.972303206997085</v>
      </c>
      <c r="AI110" s="29" t="n">
        <f aca="false">IFERROR(R110/AG110*60,"")</f>
        <v>268.155922038981</v>
      </c>
      <c r="AJ110" s="30" t="n">
        <f aca="false">IFERROR(AI110/Q110,"")</f>
        <v>0.707633683158421</v>
      </c>
      <c r="AK110" s="31" t="n">
        <f aca="false">IFERROR(R110/(T110/60*Q110),"")</f>
        <v>0.688034499514091</v>
      </c>
      <c r="AL110" s="26" t="n">
        <v>3</v>
      </c>
      <c r="AM110" s="26" t="n">
        <v>2</v>
      </c>
      <c r="AN110" s="26" t="n">
        <v>2</v>
      </c>
      <c r="AO110" s="26" t="n">
        <v>1</v>
      </c>
      <c r="AP110" s="26" t="n">
        <v>3</v>
      </c>
      <c r="AQ110" s="26" t="n">
        <v>4</v>
      </c>
      <c r="AR110" s="26" t="n">
        <v>4</v>
      </c>
      <c r="AS110" s="26" t="n">
        <v>4</v>
      </c>
      <c r="AT110" s="26" t="n">
        <v>5</v>
      </c>
      <c r="AU110" s="26" t="n">
        <v>4</v>
      </c>
      <c r="AV110" s="26" t="n">
        <f aca="false">SUM(AL110:AU110)</f>
        <v>32</v>
      </c>
      <c r="AW110" s="32" t="n">
        <f aca="false">IFERROR(AV110/R110*1000000,"")</f>
        <v>10734.6528010735</v>
      </c>
      <c r="AX110" s="33" t="n">
        <f aca="false">IFERROR((R110-AV110)/R110,"")</f>
        <v>0.989265347198927</v>
      </c>
      <c r="AY110" s="34" t="n">
        <f aca="false">IFERROR(AH110*AJ110*AX110,"")</f>
        <v>0.680648688046647</v>
      </c>
      <c r="AZ110" s="35" t="s">
        <v>78</v>
      </c>
    </row>
    <row r="111" customFormat="false" ht="12.75" hidden="false" customHeight="true" outlineLevel="0" collapsed="false">
      <c r="A111" s="24" t="n">
        <v>107</v>
      </c>
      <c r="B111" s="25" t="n">
        <v>46058</v>
      </c>
      <c r="C111" s="25" t="n">
        <v>12</v>
      </c>
      <c r="D111" s="26" t="s">
        <v>79</v>
      </c>
      <c r="E111" s="26" t="s">
        <v>97</v>
      </c>
      <c r="F111" s="26" t="s">
        <v>73</v>
      </c>
      <c r="G111" s="26" t="s">
        <v>12</v>
      </c>
      <c r="H111" s="27" t="n">
        <v>0.354166666666667</v>
      </c>
      <c r="I111" s="27" t="n">
        <v>0.854166666666667</v>
      </c>
      <c r="J111" s="26" t="n">
        <f aca="false">IFERROR((I111-H111)*24*60,"")</f>
        <v>720</v>
      </c>
      <c r="K111" s="26" t="s">
        <v>89</v>
      </c>
      <c r="L111" s="26" t="s">
        <v>83</v>
      </c>
      <c r="M111" s="26" t="s">
        <v>99</v>
      </c>
      <c r="N111" s="26" t="s">
        <v>100</v>
      </c>
      <c r="O111" s="26" t="n">
        <v>2</v>
      </c>
      <c r="P111" s="26" t="n">
        <v>33</v>
      </c>
      <c r="Q111" s="26" t="n">
        <f aca="false">IFERROR(3600/(P111/O111),"")</f>
        <v>218.181818181818</v>
      </c>
      <c r="R111" s="26" t="n">
        <v>1742</v>
      </c>
      <c r="S111" s="26" t="n">
        <v>62</v>
      </c>
      <c r="T111" s="26" t="n">
        <f aca="false">IFERROR(J111-S111,"")</f>
        <v>658</v>
      </c>
      <c r="U111" s="26"/>
      <c r="V111" s="26" t="n">
        <v>22</v>
      </c>
      <c r="W111" s="26"/>
      <c r="X111" s="26"/>
      <c r="Y111" s="26"/>
      <c r="Z111" s="26"/>
      <c r="AA111" s="26" t="n">
        <v>6</v>
      </c>
      <c r="AB111" s="26"/>
      <c r="AC111" s="26"/>
      <c r="AD111" s="26"/>
      <c r="AE111" s="26"/>
      <c r="AF111" s="26" t="n">
        <f aca="false">SUM(U111:AE111)</f>
        <v>28</v>
      </c>
      <c r="AG111" s="26" t="n">
        <f aca="false">T111-AF111</f>
        <v>630</v>
      </c>
      <c r="AH111" s="28" t="n">
        <f aca="false">IFERROR(AG111/T111,"")</f>
        <v>0.957446808510638</v>
      </c>
      <c r="AI111" s="29" t="n">
        <f aca="false">IFERROR(R111/AG111*60,"")</f>
        <v>165.904761904762</v>
      </c>
      <c r="AJ111" s="30" t="n">
        <f aca="false">IFERROR(AI111/Q111,"")</f>
        <v>0.760396825396825</v>
      </c>
      <c r="AK111" s="31" t="n">
        <f aca="false">IFERROR(R111/(T111/60*Q111),"")</f>
        <v>0.728039513677812</v>
      </c>
      <c r="AL111" s="26" t="n">
        <v>5</v>
      </c>
      <c r="AM111" s="26" t="n">
        <v>2</v>
      </c>
      <c r="AN111" s="26" t="n">
        <v>7</v>
      </c>
      <c r="AO111" s="26" t="n">
        <v>3</v>
      </c>
      <c r="AP111" s="26" t="n">
        <v>2</v>
      </c>
      <c r="AQ111" s="26"/>
      <c r="AR111" s="26" t="n">
        <v>2</v>
      </c>
      <c r="AS111" s="26" t="n">
        <v>5</v>
      </c>
      <c r="AT111" s="26" t="n">
        <v>2</v>
      </c>
      <c r="AU111" s="26" t="n">
        <v>7</v>
      </c>
      <c r="AV111" s="26" t="n">
        <f aca="false">SUM(AL111:AU111)</f>
        <v>35</v>
      </c>
      <c r="AW111" s="32" t="n">
        <f aca="false">IFERROR(AV111/R111*1000000,"")</f>
        <v>20091.8484500574</v>
      </c>
      <c r="AX111" s="33" t="n">
        <f aca="false">IFERROR((R111-AV111)/R111,"")</f>
        <v>0.979908151549943</v>
      </c>
      <c r="AY111" s="34" t="n">
        <f aca="false">IFERROR(AH111*AJ111*AX111,"")</f>
        <v>0.713411854103343</v>
      </c>
      <c r="AZ111" s="35" t="s">
        <v>86</v>
      </c>
    </row>
    <row r="112" customFormat="false" ht="12.75" hidden="false" customHeight="true" outlineLevel="0" collapsed="false">
      <c r="A112" s="24" t="n">
        <v>108</v>
      </c>
      <c r="B112" s="25" t="n">
        <v>46058</v>
      </c>
      <c r="C112" s="25" t="n">
        <v>12</v>
      </c>
      <c r="D112" s="26" t="s">
        <v>87</v>
      </c>
      <c r="E112" s="26" t="s">
        <v>101</v>
      </c>
      <c r="F112" s="26" t="s">
        <v>81</v>
      </c>
      <c r="G112" s="26" t="s">
        <v>13</v>
      </c>
      <c r="H112" s="27" t="n">
        <v>0.354166666666667</v>
      </c>
      <c r="I112" s="27" t="n">
        <v>0.854166666666667</v>
      </c>
      <c r="J112" s="26" t="n">
        <f aca="false">IFERROR((I112-H112)*24*60,"")</f>
        <v>720</v>
      </c>
      <c r="K112" s="26" t="s">
        <v>105</v>
      </c>
      <c r="L112" s="26" t="s">
        <v>107</v>
      </c>
      <c r="M112" s="26" t="s">
        <v>103</v>
      </c>
      <c r="N112" s="26" t="s">
        <v>104</v>
      </c>
      <c r="O112" s="26" t="n">
        <v>2</v>
      </c>
      <c r="P112" s="26" t="n">
        <v>63</v>
      </c>
      <c r="Q112" s="26" t="n">
        <f aca="false">IFERROR(3600/(P112/O112),"")</f>
        <v>114.285714285714</v>
      </c>
      <c r="R112" s="26" t="n">
        <v>1135</v>
      </c>
      <c r="S112" s="26" t="n">
        <v>56</v>
      </c>
      <c r="T112" s="26" t="n">
        <f aca="false">IFERROR(J112-S112,"")</f>
        <v>664</v>
      </c>
      <c r="U112" s="26"/>
      <c r="V112" s="26"/>
      <c r="W112" s="26"/>
      <c r="X112" s="26"/>
      <c r="Y112" s="26"/>
      <c r="Z112" s="26"/>
      <c r="AA112" s="26"/>
      <c r="AB112" s="26" t="n">
        <v>8</v>
      </c>
      <c r="AC112" s="26"/>
      <c r="AD112" s="26"/>
      <c r="AE112" s="26" t="n">
        <v>5</v>
      </c>
      <c r="AF112" s="26" t="n">
        <f aca="false">SUM(U112:AE112)</f>
        <v>13</v>
      </c>
      <c r="AG112" s="26" t="n">
        <f aca="false">T112-AF112</f>
        <v>651</v>
      </c>
      <c r="AH112" s="28" t="n">
        <f aca="false">IFERROR(AG112/T112,"")</f>
        <v>0.980421686746988</v>
      </c>
      <c r="AI112" s="29" t="n">
        <f aca="false">IFERROR(R112/AG112*60,"")</f>
        <v>104.608294930876</v>
      </c>
      <c r="AJ112" s="30" t="n">
        <f aca="false">IFERROR(AI112/Q112,"")</f>
        <v>0.915322580645161</v>
      </c>
      <c r="AK112" s="31" t="n">
        <f aca="false">IFERROR(R112/(T112/60*Q112),"")</f>
        <v>0.897402108433735</v>
      </c>
      <c r="AL112" s="26" t="n">
        <v>1</v>
      </c>
      <c r="AM112" s="26" t="n">
        <v>3</v>
      </c>
      <c r="AN112" s="26" t="n">
        <v>3</v>
      </c>
      <c r="AO112" s="26" t="n">
        <v>2</v>
      </c>
      <c r="AP112" s="26"/>
      <c r="AQ112" s="26"/>
      <c r="AR112" s="26" t="n">
        <v>3</v>
      </c>
      <c r="AS112" s="26" t="n">
        <v>1</v>
      </c>
      <c r="AT112" s="26" t="n">
        <v>2</v>
      </c>
      <c r="AU112" s="26" t="n">
        <v>2</v>
      </c>
      <c r="AV112" s="26" t="n">
        <f aca="false">SUM(AL112:AU112)</f>
        <v>17</v>
      </c>
      <c r="AW112" s="32" t="n">
        <f aca="false">IFERROR(AV112/R112*1000000,"")</f>
        <v>14977.9735682819</v>
      </c>
      <c r="AX112" s="33" t="n">
        <f aca="false">IFERROR((R112-AV112)/R112,"")</f>
        <v>0.985022026431718</v>
      </c>
      <c r="AY112" s="34" t="n">
        <f aca="false">IFERROR(AH112*AJ112*AX112,"")</f>
        <v>0.883960843373494</v>
      </c>
      <c r="AZ112" s="35" t="s">
        <v>78</v>
      </c>
    </row>
    <row r="113" customFormat="false" ht="12.75" hidden="false" customHeight="true" outlineLevel="0" collapsed="false">
      <c r="A113" s="24" t="n">
        <v>109</v>
      </c>
      <c r="B113" s="25" t="n">
        <v>46059</v>
      </c>
      <c r="C113" s="25" t="n">
        <v>12</v>
      </c>
      <c r="D113" s="26" t="s">
        <v>71</v>
      </c>
      <c r="E113" s="26" t="s">
        <v>72</v>
      </c>
      <c r="F113" s="26" t="s">
        <v>73</v>
      </c>
      <c r="G113" s="26" t="s">
        <v>8</v>
      </c>
      <c r="H113" s="27" t="n">
        <v>0.354166666666667</v>
      </c>
      <c r="I113" s="27" t="n">
        <v>0.854166666666667</v>
      </c>
      <c r="J113" s="26" t="n">
        <f aca="false">IFERROR((I113-H113)*24*60,"")</f>
        <v>720</v>
      </c>
      <c r="K113" s="26" t="s">
        <v>89</v>
      </c>
      <c r="L113" s="26" t="s">
        <v>83</v>
      </c>
      <c r="M113" s="26" t="s">
        <v>76</v>
      </c>
      <c r="N113" s="26" t="s">
        <v>77</v>
      </c>
      <c r="O113" s="26" t="n">
        <v>1</v>
      </c>
      <c r="P113" s="26" t="n">
        <v>73</v>
      </c>
      <c r="Q113" s="26" t="n">
        <f aca="false">IFERROR(3600/(P113/O113),"")</f>
        <v>49.3150684931507</v>
      </c>
      <c r="R113" s="26" t="n">
        <v>491</v>
      </c>
      <c r="S113" s="26" t="n">
        <v>60</v>
      </c>
      <c r="T113" s="26" t="n">
        <f aca="false">IFERROR(J113-S113,"")</f>
        <v>660</v>
      </c>
      <c r="U113" s="26" t="n">
        <v>5</v>
      </c>
      <c r="V113" s="26"/>
      <c r="W113" s="26"/>
      <c r="X113" s="26"/>
      <c r="Y113" s="26"/>
      <c r="Z113" s="26"/>
      <c r="AA113" s="26" t="n">
        <v>11</v>
      </c>
      <c r="AB113" s="26"/>
      <c r="AC113" s="26"/>
      <c r="AD113" s="26"/>
      <c r="AE113" s="26"/>
      <c r="AF113" s="26" t="n">
        <f aca="false">SUM(U113:AE113)</f>
        <v>16</v>
      </c>
      <c r="AG113" s="26" t="n">
        <f aca="false">T113-AF113</f>
        <v>644</v>
      </c>
      <c r="AH113" s="28" t="n">
        <f aca="false">IFERROR(AG113/T113,"")</f>
        <v>0.975757575757576</v>
      </c>
      <c r="AI113" s="29" t="n">
        <f aca="false">IFERROR(R113/AG113*60,"")</f>
        <v>45.7453416149068</v>
      </c>
      <c r="AJ113" s="30" t="n">
        <f aca="false">IFERROR(AI113/Q113,"")</f>
        <v>0.927613871635611</v>
      </c>
      <c r="AK113" s="31" t="n">
        <f aca="false">IFERROR(R113/(T113/60*Q113),"")</f>
        <v>0.905126262626263</v>
      </c>
      <c r="AL113" s="26"/>
      <c r="AM113" s="26" t="n">
        <v>1</v>
      </c>
      <c r="AN113" s="26"/>
      <c r="AO113" s="26" t="n">
        <v>1</v>
      </c>
      <c r="AP113" s="26"/>
      <c r="AQ113" s="26" t="n">
        <v>1</v>
      </c>
      <c r="AR113" s="26" t="n">
        <v>2</v>
      </c>
      <c r="AS113" s="26" t="n">
        <v>1</v>
      </c>
      <c r="AT113" s="26"/>
      <c r="AU113" s="26" t="n">
        <v>2</v>
      </c>
      <c r="AV113" s="26" t="n">
        <f aca="false">SUM(AL113:AU113)</f>
        <v>8</v>
      </c>
      <c r="AW113" s="32" t="n">
        <f aca="false">IFERROR(AV113/R113*1000000,"")</f>
        <v>16293.2790224033</v>
      </c>
      <c r="AX113" s="33" t="n">
        <f aca="false">IFERROR((R113-AV113)/R113,"")</f>
        <v>0.983706720977597</v>
      </c>
      <c r="AY113" s="34" t="n">
        <f aca="false">IFERROR(AH113*AJ113*AX113,"")</f>
        <v>0.890378787878788</v>
      </c>
      <c r="AZ113" s="35" t="s">
        <v>93</v>
      </c>
    </row>
    <row r="114" customFormat="false" ht="12.75" hidden="false" customHeight="true" outlineLevel="0" collapsed="false">
      <c r="A114" s="24" t="n">
        <v>110</v>
      </c>
      <c r="B114" s="25" t="n">
        <v>46059</v>
      </c>
      <c r="C114" s="25" t="n">
        <v>12</v>
      </c>
      <c r="D114" s="26" t="s">
        <v>79</v>
      </c>
      <c r="E114" s="26" t="s">
        <v>80</v>
      </c>
      <c r="F114" s="26" t="s">
        <v>81</v>
      </c>
      <c r="G114" s="26" t="s">
        <v>9</v>
      </c>
      <c r="H114" s="27" t="n">
        <v>0.354166666666667</v>
      </c>
      <c r="I114" s="27" t="n">
        <v>0.854166666666667</v>
      </c>
      <c r="J114" s="26" t="n">
        <f aca="false">IFERROR((I114-H114)*24*60,"")</f>
        <v>720</v>
      </c>
      <c r="K114" s="26" t="s">
        <v>82</v>
      </c>
      <c r="L114" s="26" t="s">
        <v>98</v>
      </c>
      <c r="M114" s="26" t="s">
        <v>84</v>
      </c>
      <c r="N114" s="26" t="s">
        <v>85</v>
      </c>
      <c r="O114" s="26" t="n">
        <v>1</v>
      </c>
      <c r="P114" s="26" t="n">
        <v>42</v>
      </c>
      <c r="Q114" s="26" t="n">
        <f aca="false">IFERROR(3600/(P114/O114),"")</f>
        <v>85.7142857142857</v>
      </c>
      <c r="R114" s="26" t="n">
        <v>813</v>
      </c>
      <c r="S114" s="26" t="n">
        <v>60</v>
      </c>
      <c r="T114" s="26" t="n">
        <f aca="false">IFERROR(J114-S114,"")</f>
        <v>660</v>
      </c>
      <c r="U114" s="26" t="n">
        <v>23</v>
      </c>
      <c r="V114" s="26"/>
      <c r="W114" s="26"/>
      <c r="X114" s="26"/>
      <c r="Y114" s="26" t="n">
        <v>16</v>
      </c>
      <c r="Z114" s="26"/>
      <c r="AA114" s="26"/>
      <c r="AB114" s="26"/>
      <c r="AC114" s="26"/>
      <c r="AD114" s="26"/>
      <c r="AE114" s="26"/>
      <c r="AF114" s="26" t="n">
        <f aca="false">SUM(U114:AE114)</f>
        <v>39</v>
      </c>
      <c r="AG114" s="26" t="n">
        <f aca="false">T114-AF114</f>
        <v>621</v>
      </c>
      <c r="AH114" s="28" t="n">
        <f aca="false">IFERROR(AG114/T114,"")</f>
        <v>0.940909090909091</v>
      </c>
      <c r="AI114" s="29" t="n">
        <f aca="false">IFERROR(R114/AG114*60,"")</f>
        <v>78.5507246376812</v>
      </c>
      <c r="AJ114" s="30" t="n">
        <f aca="false">IFERROR(AI114/Q114,"")</f>
        <v>0.916425120772947</v>
      </c>
      <c r="AK114" s="31" t="n">
        <f aca="false">IFERROR(R114/(T114/60*Q114),"")</f>
        <v>0.862272727272727</v>
      </c>
      <c r="AL114" s="26" t="n">
        <v>1</v>
      </c>
      <c r="AM114" s="26" t="n">
        <v>2</v>
      </c>
      <c r="AN114" s="26" t="n">
        <v>1</v>
      </c>
      <c r="AO114" s="26" t="n">
        <v>1</v>
      </c>
      <c r="AP114" s="26"/>
      <c r="AQ114" s="26" t="n">
        <v>2</v>
      </c>
      <c r="AR114" s="26" t="n">
        <v>3</v>
      </c>
      <c r="AS114" s="26"/>
      <c r="AT114" s="26" t="n">
        <v>1</v>
      </c>
      <c r="AU114" s="26" t="n">
        <v>1</v>
      </c>
      <c r="AV114" s="26" t="n">
        <f aca="false">SUM(AL114:AU114)</f>
        <v>12</v>
      </c>
      <c r="AW114" s="32" t="n">
        <f aca="false">IFERROR(AV114/R114*1000000,"")</f>
        <v>14760.147601476</v>
      </c>
      <c r="AX114" s="33" t="n">
        <f aca="false">IFERROR((R114-AV114)/R114,"")</f>
        <v>0.985239852398524</v>
      </c>
      <c r="AY114" s="34" t="n">
        <f aca="false">IFERROR(AH114*AJ114*AX114,"")</f>
        <v>0.849545454545455</v>
      </c>
      <c r="AZ114" s="35"/>
    </row>
    <row r="115" customFormat="false" ht="12.75" hidden="false" customHeight="true" outlineLevel="0" collapsed="false">
      <c r="A115" s="24" t="n">
        <v>111</v>
      </c>
      <c r="B115" s="25" t="n">
        <v>46059</v>
      </c>
      <c r="C115" s="25" t="n">
        <v>12</v>
      </c>
      <c r="D115" s="26" t="s">
        <v>87</v>
      </c>
      <c r="E115" s="26" t="s">
        <v>88</v>
      </c>
      <c r="F115" s="26" t="s">
        <v>73</v>
      </c>
      <c r="G115" s="26" t="s">
        <v>10</v>
      </c>
      <c r="H115" s="27" t="n">
        <v>0.354166666666667</v>
      </c>
      <c r="I115" s="27" t="n">
        <v>0.854166666666667</v>
      </c>
      <c r="J115" s="26" t="n">
        <f aca="false">IFERROR((I115-H115)*24*60,"")</f>
        <v>720</v>
      </c>
      <c r="K115" s="26" t="s">
        <v>82</v>
      </c>
      <c r="L115" s="26" t="s">
        <v>107</v>
      </c>
      <c r="M115" s="26" t="s">
        <v>91</v>
      </c>
      <c r="N115" s="26" t="s">
        <v>92</v>
      </c>
      <c r="O115" s="26" t="n">
        <v>4</v>
      </c>
      <c r="P115" s="26" t="n">
        <v>67</v>
      </c>
      <c r="Q115" s="26" t="n">
        <f aca="false">IFERROR(3600/(P115/O115),"")</f>
        <v>214.925373134328</v>
      </c>
      <c r="R115" s="26" t="n">
        <v>1823</v>
      </c>
      <c r="S115" s="26" t="n">
        <v>66</v>
      </c>
      <c r="T115" s="26" t="n">
        <f aca="false">IFERROR(J115-S115,"")</f>
        <v>654</v>
      </c>
      <c r="U115" s="26"/>
      <c r="V115" s="26"/>
      <c r="W115" s="26"/>
      <c r="X115" s="26"/>
      <c r="Y115" s="26"/>
      <c r="Z115" s="26"/>
      <c r="AA115" s="26"/>
      <c r="AB115" s="26"/>
      <c r="AC115" s="26" t="n">
        <v>16</v>
      </c>
      <c r="AD115" s="26"/>
      <c r="AE115" s="26"/>
      <c r="AF115" s="26" t="n">
        <f aca="false">SUM(U115:AE115)</f>
        <v>16</v>
      </c>
      <c r="AG115" s="26" t="n">
        <f aca="false">T115-AF115</f>
        <v>638</v>
      </c>
      <c r="AH115" s="28" t="n">
        <f aca="false">IFERROR(AG115/T115,"")</f>
        <v>0.975535168195719</v>
      </c>
      <c r="AI115" s="29" t="n">
        <f aca="false">IFERROR(R115/AG115*60,"")</f>
        <v>171.442006269592</v>
      </c>
      <c r="AJ115" s="30" t="n">
        <f aca="false">IFERROR(AI115/Q115,"")</f>
        <v>0.797681556948798</v>
      </c>
      <c r="AK115" s="31" t="n">
        <f aca="false">IFERROR(R115/(T115/60*Q115),"")</f>
        <v>0.778166411824669</v>
      </c>
      <c r="AL115" s="26" t="n">
        <v>2</v>
      </c>
      <c r="AM115" s="26" t="n">
        <v>5</v>
      </c>
      <c r="AN115" s="26" t="n">
        <v>5</v>
      </c>
      <c r="AO115" s="26" t="n">
        <v>3</v>
      </c>
      <c r="AP115" s="26" t="n">
        <v>3</v>
      </c>
      <c r="AQ115" s="26" t="n">
        <v>3</v>
      </c>
      <c r="AR115" s="26" t="n">
        <v>4</v>
      </c>
      <c r="AS115" s="26" t="n">
        <v>4</v>
      </c>
      <c r="AT115" s="26" t="n">
        <v>4</v>
      </c>
      <c r="AU115" s="26" t="n">
        <v>3</v>
      </c>
      <c r="AV115" s="26" t="n">
        <f aca="false">SUM(AL115:AU115)</f>
        <v>36</v>
      </c>
      <c r="AW115" s="32" t="n">
        <f aca="false">IFERROR(AV115/R115*1000000,"")</f>
        <v>19747.6686780033</v>
      </c>
      <c r="AX115" s="33" t="n">
        <f aca="false">IFERROR((R115-AV115)/R115,"")</f>
        <v>0.980252331321997</v>
      </c>
      <c r="AY115" s="34" t="n">
        <f aca="false">IFERROR(AH115*AJ115*AX115,"")</f>
        <v>0.762799439347604</v>
      </c>
      <c r="AZ115" s="35" t="s">
        <v>78</v>
      </c>
    </row>
    <row r="116" customFormat="false" ht="12.75" hidden="false" customHeight="true" outlineLevel="0" collapsed="false">
      <c r="A116" s="24" t="n">
        <v>112</v>
      </c>
      <c r="B116" s="25" t="n">
        <v>46060</v>
      </c>
      <c r="C116" s="25" t="n">
        <v>12</v>
      </c>
      <c r="D116" s="26" t="s">
        <v>71</v>
      </c>
      <c r="E116" s="26" t="s">
        <v>94</v>
      </c>
      <c r="F116" s="26" t="s">
        <v>81</v>
      </c>
      <c r="G116" s="26" t="s">
        <v>11</v>
      </c>
      <c r="H116" s="27" t="n">
        <v>0.354166666666667</v>
      </c>
      <c r="I116" s="27" t="n">
        <v>0.854166666666667</v>
      </c>
      <c r="J116" s="26" t="n">
        <f aca="false">IFERROR((I116-H116)*24*60,"")</f>
        <v>720</v>
      </c>
      <c r="K116" s="26" t="s">
        <v>82</v>
      </c>
      <c r="L116" s="26" t="s">
        <v>75</v>
      </c>
      <c r="M116" s="26" t="s">
        <v>95</v>
      </c>
      <c r="N116" s="26" t="s">
        <v>96</v>
      </c>
      <c r="O116" s="26" t="n">
        <v>4</v>
      </c>
      <c r="P116" s="26" t="n">
        <v>69</v>
      </c>
      <c r="Q116" s="26" t="n">
        <f aca="false">IFERROR(3600/(P116/O116),"")</f>
        <v>208.695652173913</v>
      </c>
      <c r="R116" s="26" t="n">
        <v>2184</v>
      </c>
      <c r="S116" s="26" t="n">
        <v>54</v>
      </c>
      <c r="T116" s="26" t="n">
        <f aca="false">IFERROR(J116-S116,"")</f>
        <v>666</v>
      </c>
      <c r="U116" s="26"/>
      <c r="V116" s="26"/>
      <c r="W116" s="26" t="n">
        <v>27</v>
      </c>
      <c r="X116" s="26"/>
      <c r="Y116" s="26"/>
      <c r="Z116" s="26"/>
      <c r="AA116" s="26"/>
      <c r="AB116" s="26"/>
      <c r="AC116" s="26"/>
      <c r="AD116" s="26"/>
      <c r="AE116" s="26"/>
      <c r="AF116" s="26" t="n">
        <f aca="false">SUM(U116:AE116)</f>
        <v>27</v>
      </c>
      <c r="AG116" s="26" t="n">
        <f aca="false">T116-AF116</f>
        <v>639</v>
      </c>
      <c r="AH116" s="28" t="n">
        <f aca="false">IFERROR(AG116/T116,"")</f>
        <v>0.959459459459459</v>
      </c>
      <c r="AI116" s="29" t="n">
        <f aca="false">IFERROR(R116/AG116*60,"")</f>
        <v>205.070422535211</v>
      </c>
      <c r="AJ116" s="30" t="n">
        <f aca="false">IFERROR(AI116/Q116,"")</f>
        <v>0.982629107981221</v>
      </c>
      <c r="AK116" s="31" t="n">
        <f aca="false">IFERROR(R116/(T116/60*Q116),"")</f>
        <v>0.942792792792793</v>
      </c>
      <c r="AL116" s="26" t="n">
        <v>5</v>
      </c>
      <c r="AM116" s="26" t="n">
        <v>3</v>
      </c>
      <c r="AN116" s="26" t="n">
        <v>2</v>
      </c>
      <c r="AO116" s="26" t="n">
        <v>5</v>
      </c>
      <c r="AP116" s="26" t="n">
        <v>3</v>
      </c>
      <c r="AQ116" s="26" t="n">
        <v>4</v>
      </c>
      <c r="AR116" s="26" t="n">
        <v>3</v>
      </c>
      <c r="AS116" s="26" t="n">
        <v>1</v>
      </c>
      <c r="AT116" s="26" t="n">
        <v>6</v>
      </c>
      <c r="AU116" s="26" t="n">
        <v>4</v>
      </c>
      <c r="AV116" s="26" t="n">
        <f aca="false">SUM(AL116:AU116)</f>
        <v>36</v>
      </c>
      <c r="AW116" s="32" t="n">
        <f aca="false">IFERROR(AV116/R116*1000000,"")</f>
        <v>16483.5164835165</v>
      </c>
      <c r="AX116" s="33" t="n">
        <f aca="false">IFERROR((R116-AV116)/R116,"")</f>
        <v>0.983516483516484</v>
      </c>
      <c r="AY116" s="34" t="n">
        <f aca="false">IFERROR(AH116*AJ116*AX116,"")</f>
        <v>0.927252252252252</v>
      </c>
      <c r="AZ116" s="35" t="s">
        <v>86</v>
      </c>
    </row>
    <row r="117" customFormat="false" ht="12.75" hidden="false" customHeight="true" outlineLevel="0" collapsed="false">
      <c r="A117" s="24" t="n">
        <v>113</v>
      </c>
      <c r="B117" s="25" t="n">
        <v>46060</v>
      </c>
      <c r="C117" s="25" t="n">
        <v>12</v>
      </c>
      <c r="D117" s="26" t="s">
        <v>79</v>
      </c>
      <c r="E117" s="26" t="s">
        <v>97</v>
      </c>
      <c r="F117" s="26" t="s">
        <v>73</v>
      </c>
      <c r="G117" s="26" t="s">
        <v>12</v>
      </c>
      <c r="H117" s="27" t="n">
        <v>0.354166666666667</v>
      </c>
      <c r="I117" s="27" t="n">
        <v>0.854166666666667</v>
      </c>
      <c r="J117" s="26" t="n">
        <f aca="false">IFERROR((I117-H117)*24*60,"")</f>
        <v>720</v>
      </c>
      <c r="K117" s="26" t="s">
        <v>89</v>
      </c>
      <c r="L117" s="26" t="s">
        <v>108</v>
      </c>
      <c r="M117" s="26" t="s">
        <v>99</v>
      </c>
      <c r="N117" s="26" t="s">
        <v>100</v>
      </c>
      <c r="O117" s="26" t="n">
        <v>1</v>
      </c>
      <c r="P117" s="26" t="n">
        <v>40</v>
      </c>
      <c r="Q117" s="26" t="n">
        <f aca="false">IFERROR(3600/(P117/O117),"")</f>
        <v>90</v>
      </c>
      <c r="R117" s="26" t="n">
        <v>699</v>
      </c>
      <c r="S117" s="26" t="n">
        <v>59</v>
      </c>
      <c r="T117" s="26" t="n">
        <f aca="false">IFERROR(J117-S117,"")</f>
        <v>661</v>
      </c>
      <c r="U117" s="26"/>
      <c r="V117" s="26"/>
      <c r="W117" s="26"/>
      <c r="X117" s="26"/>
      <c r="Y117" s="26" t="n">
        <v>50</v>
      </c>
      <c r="Z117" s="26"/>
      <c r="AA117" s="26"/>
      <c r="AB117" s="26"/>
      <c r="AC117" s="26" t="n">
        <v>11</v>
      </c>
      <c r="AD117" s="26"/>
      <c r="AE117" s="26"/>
      <c r="AF117" s="26" t="n">
        <f aca="false">SUM(U117:AE117)</f>
        <v>61</v>
      </c>
      <c r="AG117" s="26" t="n">
        <f aca="false">T117-AF117</f>
        <v>600</v>
      </c>
      <c r="AH117" s="28" t="n">
        <f aca="false">IFERROR(AG117/T117,"")</f>
        <v>0.907715582450832</v>
      </c>
      <c r="AI117" s="29" t="n">
        <f aca="false">IFERROR(R117/AG117*60,"")</f>
        <v>69.9</v>
      </c>
      <c r="AJ117" s="30" t="n">
        <f aca="false">IFERROR(AI117/Q117,"")</f>
        <v>0.776666666666667</v>
      </c>
      <c r="AK117" s="31" t="n">
        <f aca="false">IFERROR(R117/(T117/60*Q117),"")</f>
        <v>0.70499243570348</v>
      </c>
      <c r="AL117" s="26"/>
      <c r="AM117" s="26" t="n">
        <v>1</v>
      </c>
      <c r="AN117" s="26"/>
      <c r="AO117" s="26"/>
      <c r="AP117" s="26" t="n">
        <v>2</v>
      </c>
      <c r="AQ117" s="26"/>
      <c r="AR117" s="26"/>
      <c r="AS117" s="26"/>
      <c r="AT117" s="26" t="n">
        <v>2</v>
      </c>
      <c r="AU117" s="26" t="n">
        <v>1</v>
      </c>
      <c r="AV117" s="26" t="n">
        <f aca="false">SUM(AL117:AU117)</f>
        <v>6</v>
      </c>
      <c r="AW117" s="32" t="n">
        <f aca="false">IFERROR(AV117/R117*1000000,"")</f>
        <v>8583.69098712446</v>
      </c>
      <c r="AX117" s="33" t="n">
        <f aca="false">IFERROR((R117-AV117)/R117,"")</f>
        <v>0.991416309012876</v>
      </c>
      <c r="AY117" s="34" t="n">
        <f aca="false">IFERROR(AH117*AJ117*AX117,"")</f>
        <v>0.698940998487141</v>
      </c>
      <c r="AZ117" s="35"/>
    </row>
    <row r="118" customFormat="false" ht="12.75" hidden="false" customHeight="true" outlineLevel="0" collapsed="false">
      <c r="A118" s="24" t="n">
        <v>114</v>
      </c>
      <c r="B118" s="25" t="n">
        <v>46060</v>
      </c>
      <c r="C118" s="25" t="n">
        <v>12</v>
      </c>
      <c r="D118" s="26" t="s">
        <v>87</v>
      </c>
      <c r="E118" s="26" t="s">
        <v>101</v>
      </c>
      <c r="F118" s="26" t="s">
        <v>81</v>
      </c>
      <c r="G118" s="26" t="s">
        <v>13</v>
      </c>
      <c r="H118" s="27" t="n">
        <v>0.354166666666667</v>
      </c>
      <c r="I118" s="27" t="n">
        <v>0.854166666666667</v>
      </c>
      <c r="J118" s="26" t="n">
        <f aca="false">IFERROR((I118-H118)*24*60,"")</f>
        <v>720</v>
      </c>
      <c r="K118" s="26" t="s">
        <v>105</v>
      </c>
      <c r="L118" s="26" t="s">
        <v>90</v>
      </c>
      <c r="M118" s="26" t="s">
        <v>103</v>
      </c>
      <c r="N118" s="26" t="s">
        <v>104</v>
      </c>
      <c r="O118" s="26" t="n">
        <v>8</v>
      </c>
      <c r="P118" s="26" t="n">
        <v>67</v>
      </c>
      <c r="Q118" s="26" t="n">
        <f aca="false">IFERROR(3600/(P118/O118),"")</f>
        <v>429.850746268657</v>
      </c>
      <c r="R118" s="26" t="n">
        <v>3885</v>
      </c>
      <c r="S118" s="26" t="n">
        <v>45</v>
      </c>
      <c r="T118" s="26" t="n">
        <f aca="false">IFERROR(J118-S118,"")</f>
        <v>675</v>
      </c>
      <c r="U118" s="26"/>
      <c r="V118" s="26" t="n">
        <v>44</v>
      </c>
      <c r="W118" s="26"/>
      <c r="X118" s="26"/>
      <c r="Y118" s="26" t="n">
        <v>6</v>
      </c>
      <c r="Z118" s="26"/>
      <c r="AA118" s="26"/>
      <c r="AB118" s="26" t="n">
        <v>3</v>
      </c>
      <c r="AC118" s="26"/>
      <c r="AD118" s="26"/>
      <c r="AE118" s="26"/>
      <c r="AF118" s="26" t="n">
        <f aca="false">SUM(U118:AE118)</f>
        <v>53</v>
      </c>
      <c r="AG118" s="26" t="n">
        <f aca="false">T118-AF118</f>
        <v>622</v>
      </c>
      <c r="AH118" s="28" t="n">
        <f aca="false">IFERROR(AG118/T118,"")</f>
        <v>0.921481481481482</v>
      </c>
      <c r="AI118" s="29" t="n">
        <f aca="false">IFERROR(R118/AG118*60,"")</f>
        <v>374.75884244373</v>
      </c>
      <c r="AJ118" s="30" t="n">
        <f aca="false">IFERROR(AI118/Q118,"")</f>
        <v>0.871834807073955</v>
      </c>
      <c r="AK118" s="31" t="n">
        <f aca="false">IFERROR(R118/(T118/60*Q118),"")</f>
        <v>0.80337962962963</v>
      </c>
      <c r="AL118" s="26" t="n">
        <v>1</v>
      </c>
      <c r="AM118" s="26" t="n">
        <v>5</v>
      </c>
      <c r="AN118" s="26" t="n">
        <v>3</v>
      </c>
      <c r="AO118" s="26" t="n">
        <v>12</v>
      </c>
      <c r="AP118" s="26" t="n">
        <v>4</v>
      </c>
      <c r="AQ118" s="26" t="n">
        <v>6</v>
      </c>
      <c r="AR118" s="26" t="n">
        <v>2</v>
      </c>
      <c r="AS118" s="26" t="n">
        <v>3</v>
      </c>
      <c r="AT118" s="26" t="n">
        <v>3</v>
      </c>
      <c r="AU118" s="26" t="n">
        <v>2</v>
      </c>
      <c r="AV118" s="26" t="n">
        <f aca="false">SUM(AL118:AU118)</f>
        <v>41</v>
      </c>
      <c r="AW118" s="32" t="n">
        <f aca="false">IFERROR(AV118/R118*1000000,"")</f>
        <v>10553.4105534106</v>
      </c>
      <c r="AX118" s="33" t="n">
        <f aca="false">IFERROR((R118-AV118)/R118,"")</f>
        <v>0.98944658944659</v>
      </c>
      <c r="AY118" s="34" t="n">
        <f aca="false">IFERROR(AH118*AJ118*AX118,"")</f>
        <v>0.794901234567901</v>
      </c>
      <c r="AZ118" s="35"/>
    </row>
    <row r="119" customFormat="false" ht="12.75" hidden="false" customHeight="true" outlineLevel="0" collapsed="false">
      <c r="A119" s="24" t="n">
        <v>115</v>
      </c>
      <c r="B119" s="25" t="n">
        <v>46061</v>
      </c>
      <c r="C119" s="25" t="n">
        <v>12</v>
      </c>
      <c r="D119" s="26" t="s">
        <v>71</v>
      </c>
      <c r="E119" s="26" t="s">
        <v>72</v>
      </c>
      <c r="F119" s="26" t="s">
        <v>73</v>
      </c>
      <c r="G119" s="26" t="s">
        <v>8</v>
      </c>
      <c r="H119" s="27" t="n">
        <v>0.354166666666667</v>
      </c>
      <c r="I119" s="27" t="n">
        <v>0.854166666666667</v>
      </c>
      <c r="J119" s="26" t="n">
        <f aca="false">IFERROR((I119-H119)*24*60,"")</f>
        <v>720</v>
      </c>
      <c r="K119" s="26" t="s">
        <v>82</v>
      </c>
      <c r="L119" s="26" t="s">
        <v>83</v>
      </c>
      <c r="M119" s="26" t="s">
        <v>76</v>
      </c>
      <c r="N119" s="26" t="s">
        <v>77</v>
      </c>
      <c r="O119" s="26" t="n">
        <v>8</v>
      </c>
      <c r="P119" s="26" t="n">
        <v>60</v>
      </c>
      <c r="Q119" s="26" t="n">
        <f aca="false">IFERROR(3600/(P119/O119),"")</f>
        <v>480</v>
      </c>
      <c r="R119" s="26" t="n">
        <v>4969</v>
      </c>
      <c r="S119" s="26" t="n">
        <v>53</v>
      </c>
      <c r="T119" s="26" t="n">
        <f aca="false">IFERROR(J119-S119,"")</f>
        <v>667</v>
      </c>
      <c r="U119" s="26"/>
      <c r="V119" s="26"/>
      <c r="W119" s="26"/>
      <c r="X119" s="26"/>
      <c r="Y119" s="26"/>
      <c r="Z119" s="26"/>
      <c r="AA119" s="26" t="n">
        <v>11</v>
      </c>
      <c r="AB119" s="26"/>
      <c r="AC119" s="26" t="n">
        <v>8</v>
      </c>
      <c r="AD119" s="26"/>
      <c r="AE119" s="26"/>
      <c r="AF119" s="26" t="n">
        <f aca="false">SUM(U119:AE119)</f>
        <v>19</v>
      </c>
      <c r="AG119" s="26" t="n">
        <f aca="false">T119-AF119</f>
        <v>648</v>
      </c>
      <c r="AH119" s="28" t="n">
        <f aca="false">IFERROR(AG119/T119,"")</f>
        <v>0.971514242878561</v>
      </c>
      <c r="AI119" s="29" t="n">
        <f aca="false">IFERROR(R119/AG119*60,"")</f>
        <v>460.092592592593</v>
      </c>
      <c r="AJ119" s="30" t="n">
        <f aca="false">IFERROR(AI119/Q119,"")</f>
        <v>0.958526234567901</v>
      </c>
      <c r="AK119" s="31" t="n">
        <f aca="false">IFERROR(R119/(T119/60*Q119),"")</f>
        <v>0.931221889055472</v>
      </c>
      <c r="AL119" s="26" t="n">
        <v>4</v>
      </c>
      <c r="AM119" s="26" t="n">
        <v>2</v>
      </c>
      <c r="AN119" s="26" t="n">
        <v>3</v>
      </c>
      <c r="AO119" s="26" t="n">
        <v>2</v>
      </c>
      <c r="AP119" s="26" t="n">
        <v>3</v>
      </c>
      <c r="AQ119" s="26" t="n">
        <v>5</v>
      </c>
      <c r="AR119" s="26" t="n">
        <v>3</v>
      </c>
      <c r="AS119" s="26" t="n">
        <v>4</v>
      </c>
      <c r="AT119" s="26" t="n">
        <v>5</v>
      </c>
      <c r="AU119" s="26" t="n">
        <v>4</v>
      </c>
      <c r="AV119" s="26" t="n">
        <f aca="false">SUM(AL119:AU119)</f>
        <v>35</v>
      </c>
      <c r="AW119" s="32" t="n">
        <f aca="false">IFERROR(AV119/R119*1000000,"")</f>
        <v>7043.67075870397</v>
      </c>
      <c r="AX119" s="33" t="n">
        <f aca="false">IFERROR((R119-AV119)/R119,"")</f>
        <v>0.992956329241296</v>
      </c>
      <c r="AY119" s="34" t="n">
        <f aca="false">IFERROR(AH119*AJ119*AX119,"")</f>
        <v>0.924662668665667</v>
      </c>
      <c r="AZ119" s="35"/>
    </row>
    <row r="120" customFormat="false" ht="12.75" hidden="false" customHeight="true" outlineLevel="0" collapsed="false">
      <c r="A120" s="24" t="n">
        <v>116</v>
      </c>
      <c r="B120" s="25" t="n">
        <v>46061</v>
      </c>
      <c r="C120" s="25" t="n">
        <v>12</v>
      </c>
      <c r="D120" s="26" t="s">
        <v>79</v>
      </c>
      <c r="E120" s="26" t="s">
        <v>80</v>
      </c>
      <c r="F120" s="26" t="s">
        <v>81</v>
      </c>
      <c r="G120" s="26" t="s">
        <v>9</v>
      </c>
      <c r="H120" s="27" t="n">
        <v>0.354166666666667</v>
      </c>
      <c r="I120" s="27" t="n">
        <v>0.854166666666667</v>
      </c>
      <c r="J120" s="26" t="n">
        <f aca="false">IFERROR((I120-H120)*24*60,"")</f>
        <v>720</v>
      </c>
      <c r="K120" s="26" t="s">
        <v>74</v>
      </c>
      <c r="L120" s="26" t="s">
        <v>83</v>
      </c>
      <c r="M120" s="26" t="s">
        <v>84</v>
      </c>
      <c r="N120" s="26" t="s">
        <v>85</v>
      </c>
      <c r="O120" s="26" t="n">
        <v>8</v>
      </c>
      <c r="P120" s="26" t="n">
        <v>68</v>
      </c>
      <c r="Q120" s="26" t="n">
        <f aca="false">IFERROR(3600/(P120/O120),"")</f>
        <v>423.529411764706</v>
      </c>
      <c r="R120" s="26" t="n">
        <v>4285</v>
      </c>
      <c r="S120" s="26" t="n">
        <v>57</v>
      </c>
      <c r="T120" s="26" t="n">
        <f aca="false">IFERROR(J120-S120,"")</f>
        <v>663</v>
      </c>
      <c r="U120" s="26"/>
      <c r="V120" s="26"/>
      <c r="W120" s="26" t="n">
        <v>10</v>
      </c>
      <c r="X120" s="26"/>
      <c r="Y120" s="26" t="n">
        <v>15</v>
      </c>
      <c r="Z120" s="26"/>
      <c r="AA120" s="26"/>
      <c r="AB120" s="26"/>
      <c r="AC120" s="26"/>
      <c r="AD120" s="26"/>
      <c r="AE120" s="26"/>
      <c r="AF120" s="26" t="n">
        <f aca="false">SUM(U120:AE120)</f>
        <v>25</v>
      </c>
      <c r="AG120" s="26" t="n">
        <f aca="false">T120-AF120</f>
        <v>638</v>
      </c>
      <c r="AH120" s="28" t="n">
        <f aca="false">IFERROR(AG120/T120,"")</f>
        <v>0.962292609351433</v>
      </c>
      <c r="AI120" s="29" t="n">
        <f aca="false">IFERROR(R120/AG120*60,"")</f>
        <v>402.978056426332</v>
      </c>
      <c r="AJ120" s="30" t="n">
        <f aca="false">IFERROR(AI120/Q120,"")</f>
        <v>0.951475966562174</v>
      </c>
      <c r="AK120" s="31" t="n">
        <f aca="false">IFERROR(R120/(T120/60*Q120),"")</f>
        <v>0.915598290598291</v>
      </c>
      <c r="AL120" s="26" t="n">
        <v>4</v>
      </c>
      <c r="AM120" s="26" t="n">
        <v>5</v>
      </c>
      <c r="AN120" s="26" t="n">
        <v>6</v>
      </c>
      <c r="AO120" s="26" t="n">
        <v>5</v>
      </c>
      <c r="AP120" s="26" t="n">
        <v>8</v>
      </c>
      <c r="AQ120" s="26" t="n">
        <v>8</v>
      </c>
      <c r="AR120" s="26" t="n">
        <v>6</v>
      </c>
      <c r="AS120" s="26" t="n">
        <v>8</v>
      </c>
      <c r="AT120" s="26" t="n">
        <v>8</v>
      </c>
      <c r="AU120" s="26" t="n">
        <v>6</v>
      </c>
      <c r="AV120" s="26" t="n">
        <f aca="false">SUM(AL120:AU120)</f>
        <v>64</v>
      </c>
      <c r="AW120" s="32" t="n">
        <f aca="false">IFERROR(AV120/R120*1000000,"")</f>
        <v>14935.8226371062</v>
      </c>
      <c r="AX120" s="33" t="n">
        <f aca="false">IFERROR((R120-AV120)/R120,"")</f>
        <v>0.985064177362894</v>
      </c>
      <c r="AY120" s="34" t="n">
        <f aca="false">IFERROR(AH120*AJ120*AX120,"")</f>
        <v>0.901923076923077</v>
      </c>
      <c r="AZ120" s="35" t="s">
        <v>93</v>
      </c>
    </row>
    <row r="121" customFormat="false" ht="12.75" hidden="false" customHeight="true" outlineLevel="0" collapsed="false">
      <c r="A121" s="24" t="n">
        <v>117</v>
      </c>
      <c r="B121" s="25" t="n">
        <v>46061</v>
      </c>
      <c r="C121" s="25" t="n">
        <v>12</v>
      </c>
      <c r="D121" s="26" t="s">
        <v>87</v>
      </c>
      <c r="E121" s="26" t="s">
        <v>88</v>
      </c>
      <c r="F121" s="26" t="s">
        <v>73</v>
      </c>
      <c r="G121" s="26" t="s">
        <v>10</v>
      </c>
      <c r="H121" s="27" t="n">
        <v>0.354166666666667</v>
      </c>
      <c r="I121" s="27" t="n">
        <v>0.854166666666667</v>
      </c>
      <c r="J121" s="26" t="n">
        <f aca="false">IFERROR((I121-H121)*24*60,"")</f>
        <v>720</v>
      </c>
      <c r="K121" s="26" t="s">
        <v>105</v>
      </c>
      <c r="L121" s="26" t="s">
        <v>75</v>
      </c>
      <c r="M121" s="26" t="s">
        <v>91</v>
      </c>
      <c r="N121" s="26" t="s">
        <v>92</v>
      </c>
      <c r="O121" s="26" t="n">
        <v>1</v>
      </c>
      <c r="P121" s="26" t="n">
        <v>29</v>
      </c>
      <c r="Q121" s="26" t="n">
        <f aca="false">IFERROR(3600/(P121/O121),"")</f>
        <v>124.137931034483</v>
      </c>
      <c r="R121" s="26" t="n">
        <v>964</v>
      </c>
      <c r="S121" s="26" t="n">
        <v>56</v>
      </c>
      <c r="T121" s="26" t="n">
        <f aca="false">IFERROR(J121-S121,"")</f>
        <v>664</v>
      </c>
      <c r="U121" s="26"/>
      <c r="V121" s="26"/>
      <c r="W121" s="26"/>
      <c r="X121" s="26"/>
      <c r="Y121" s="26"/>
      <c r="Z121" s="26" t="n">
        <v>13</v>
      </c>
      <c r="AA121" s="26"/>
      <c r="AB121" s="26"/>
      <c r="AC121" s="26"/>
      <c r="AD121" s="26"/>
      <c r="AE121" s="26"/>
      <c r="AF121" s="26" t="n">
        <f aca="false">SUM(U121:AE121)</f>
        <v>13</v>
      </c>
      <c r="AG121" s="26" t="n">
        <f aca="false">T121-AF121</f>
        <v>651</v>
      </c>
      <c r="AH121" s="28" t="n">
        <f aca="false">IFERROR(AG121/T121,"")</f>
        <v>0.980421686746988</v>
      </c>
      <c r="AI121" s="29" t="n">
        <f aca="false">IFERROR(R121/AG121*60,"")</f>
        <v>88.8479262672811</v>
      </c>
      <c r="AJ121" s="30" t="n">
        <f aca="false">IFERROR(AI121/Q121,"")</f>
        <v>0.715719406041987</v>
      </c>
      <c r="AK121" s="31" t="n">
        <f aca="false">IFERROR(R121/(T121/60*Q121),"")</f>
        <v>0.701706827309237</v>
      </c>
      <c r="AL121" s="26" t="n">
        <v>1</v>
      </c>
      <c r="AM121" s="26"/>
      <c r="AN121" s="26" t="n">
        <v>3</v>
      </c>
      <c r="AO121" s="26" t="n">
        <v>1</v>
      </c>
      <c r="AP121" s="26" t="n">
        <v>3</v>
      </c>
      <c r="AQ121" s="26" t="n">
        <v>1</v>
      </c>
      <c r="AR121" s="26" t="n">
        <v>2</v>
      </c>
      <c r="AS121" s="26" t="n">
        <v>2</v>
      </c>
      <c r="AT121" s="26" t="n">
        <v>1</v>
      </c>
      <c r="AU121" s="26" t="n">
        <v>2</v>
      </c>
      <c r="AV121" s="26" t="n">
        <f aca="false">SUM(AL121:AU121)</f>
        <v>16</v>
      </c>
      <c r="AW121" s="32" t="n">
        <f aca="false">IFERROR(AV121/R121*1000000,"")</f>
        <v>16597.510373444</v>
      </c>
      <c r="AX121" s="33" t="n">
        <f aca="false">IFERROR((R121-AV121)/R121,"")</f>
        <v>0.983402489626556</v>
      </c>
      <c r="AY121" s="34" t="n">
        <f aca="false">IFERROR(AH121*AJ121*AX121,"")</f>
        <v>0.690060240963855</v>
      </c>
      <c r="AZ121" s="35" t="s">
        <v>86</v>
      </c>
    </row>
    <row r="122" customFormat="false" ht="12.75" hidden="false" customHeight="true" outlineLevel="0" collapsed="false">
      <c r="A122" s="24" t="n">
        <v>118</v>
      </c>
      <c r="B122" s="25" t="n">
        <v>46062</v>
      </c>
      <c r="C122" s="25" t="n">
        <v>12</v>
      </c>
      <c r="D122" s="26" t="s">
        <v>71</v>
      </c>
      <c r="E122" s="26" t="s">
        <v>94</v>
      </c>
      <c r="F122" s="26" t="s">
        <v>81</v>
      </c>
      <c r="G122" s="26" t="s">
        <v>11</v>
      </c>
      <c r="H122" s="27" t="n">
        <v>0.354166666666667</v>
      </c>
      <c r="I122" s="27" t="n">
        <v>0.854166666666667</v>
      </c>
      <c r="J122" s="26" t="n">
        <f aca="false">IFERROR((I122-H122)*24*60,"")</f>
        <v>720</v>
      </c>
      <c r="K122" s="26" t="s">
        <v>82</v>
      </c>
      <c r="L122" s="26" t="s">
        <v>102</v>
      </c>
      <c r="M122" s="26" t="s">
        <v>95</v>
      </c>
      <c r="N122" s="26" t="s">
        <v>96</v>
      </c>
      <c r="O122" s="26" t="n">
        <v>1</v>
      </c>
      <c r="P122" s="26" t="n">
        <v>28</v>
      </c>
      <c r="Q122" s="26" t="n">
        <f aca="false">IFERROR(3600/(P122/O122),"")</f>
        <v>128.571428571429</v>
      </c>
      <c r="R122" s="26" t="n">
        <v>1415</v>
      </c>
      <c r="S122" s="26" t="n">
        <v>55</v>
      </c>
      <c r="T122" s="26" t="n">
        <f aca="false">IFERROR(J122-S122,"")</f>
        <v>665</v>
      </c>
      <c r="U122" s="26" t="n">
        <v>11</v>
      </c>
      <c r="V122" s="26"/>
      <c r="W122" s="26"/>
      <c r="X122" s="26"/>
      <c r="Y122" s="26"/>
      <c r="Z122" s="26"/>
      <c r="AA122" s="26" t="n">
        <v>3</v>
      </c>
      <c r="AB122" s="26"/>
      <c r="AC122" s="26"/>
      <c r="AD122" s="26"/>
      <c r="AE122" s="26"/>
      <c r="AF122" s="26" t="n">
        <f aca="false">SUM(U122:AE122)</f>
        <v>14</v>
      </c>
      <c r="AG122" s="26" t="n">
        <f aca="false">T122-AF122</f>
        <v>651</v>
      </c>
      <c r="AH122" s="28" t="n">
        <f aca="false">IFERROR(AG122/T122,"")</f>
        <v>0.978947368421053</v>
      </c>
      <c r="AI122" s="29" t="n">
        <f aca="false">IFERROR(R122/AG122*60,"")</f>
        <v>130.414746543779</v>
      </c>
      <c r="AJ122" s="30" t="n">
        <f aca="false">IFERROR(AI122/Q122,"")</f>
        <v>1.01433691756272</v>
      </c>
      <c r="AK122" s="31" t="n">
        <f aca="false">IFERROR(R122/(T122/60*Q122),"")</f>
        <v>0.992982456140351</v>
      </c>
      <c r="AL122" s="26" t="n">
        <v>2</v>
      </c>
      <c r="AM122" s="26" t="n">
        <v>3</v>
      </c>
      <c r="AN122" s="26" t="n">
        <v>4</v>
      </c>
      <c r="AO122" s="26" t="n">
        <v>2</v>
      </c>
      <c r="AP122" s="26" t="n">
        <v>3</v>
      </c>
      <c r="AQ122" s="26" t="n">
        <v>1</v>
      </c>
      <c r="AR122" s="26" t="n">
        <v>1</v>
      </c>
      <c r="AS122" s="26" t="n">
        <v>1</v>
      </c>
      <c r="AT122" s="26" t="n">
        <v>1</v>
      </c>
      <c r="AU122" s="26" t="n">
        <v>1</v>
      </c>
      <c r="AV122" s="26" t="n">
        <f aca="false">SUM(AL122:AU122)</f>
        <v>19</v>
      </c>
      <c r="AW122" s="32" t="n">
        <f aca="false">IFERROR(AV122/R122*1000000,"")</f>
        <v>13427.5618374558</v>
      </c>
      <c r="AX122" s="33" t="n">
        <f aca="false">IFERROR((R122-AV122)/R122,"")</f>
        <v>0.986572438162544</v>
      </c>
      <c r="AY122" s="34" t="n">
        <f aca="false">IFERROR(AH122*AJ122*AX122,"")</f>
        <v>0.979649122807018</v>
      </c>
      <c r="AZ122" s="35"/>
    </row>
    <row r="123" customFormat="false" ht="12.75" hidden="false" customHeight="true" outlineLevel="0" collapsed="false">
      <c r="A123" s="24" t="n">
        <v>119</v>
      </c>
      <c r="B123" s="25" t="n">
        <v>46062</v>
      </c>
      <c r="C123" s="25" t="n">
        <v>12</v>
      </c>
      <c r="D123" s="26" t="s">
        <v>79</v>
      </c>
      <c r="E123" s="26" t="s">
        <v>97</v>
      </c>
      <c r="F123" s="26" t="s">
        <v>73</v>
      </c>
      <c r="G123" s="26" t="s">
        <v>12</v>
      </c>
      <c r="H123" s="27" t="n">
        <v>0.354166666666667</v>
      </c>
      <c r="I123" s="27" t="n">
        <v>0.854166666666667</v>
      </c>
      <c r="J123" s="26" t="n">
        <f aca="false">IFERROR((I123-H123)*24*60,"")</f>
        <v>720</v>
      </c>
      <c r="K123" s="26" t="s">
        <v>74</v>
      </c>
      <c r="L123" s="26" t="s">
        <v>83</v>
      </c>
      <c r="M123" s="26" t="s">
        <v>99</v>
      </c>
      <c r="N123" s="26" t="s">
        <v>100</v>
      </c>
      <c r="O123" s="26" t="n">
        <v>8</v>
      </c>
      <c r="P123" s="26" t="n">
        <v>32</v>
      </c>
      <c r="Q123" s="26" t="n">
        <f aca="false">IFERROR(3600/(P123/O123),"")</f>
        <v>900</v>
      </c>
      <c r="R123" s="26" t="n">
        <v>9546</v>
      </c>
      <c r="S123" s="26" t="n">
        <v>64</v>
      </c>
      <c r="T123" s="26" t="n">
        <f aca="false">IFERROR(J123-S123,"")</f>
        <v>656</v>
      </c>
      <c r="U123" s="26"/>
      <c r="V123" s="26"/>
      <c r="W123" s="26" t="n">
        <v>20</v>
      </c>
      <c r="X123" s="26"/>
      <c r="Y123" s="26"/>
      <c r="Z123" s="26"/>
      <c r="AA123" s="26"/>
      <c r="AB123" s="26" t="n">
        <v>12</v>
      </c>
      <c r="AC123" s="26"/>
      <c r="AD123" s="26" t="n">
        <v>12</v>
      </c>
      <c r="AE123" s="26"/>
      <c r="AF123" s="26" t="n">
        <f aca="false">SUM(U123:AE123)</f>
        <v>44</v>
      </c>
      <c r="AG123" s="26" t="n">
        <f aca="false">T123-AF123</f>
        <v>612</v>
      </c>
      <c r="AH123" s="28" t="n">
        <f aca="false">IFERROR(AG123/T123,"")</f>
        <v>0.932926829268293</v>
      </c>
      <c r="AI123" s="29" t="n">
        <f aca="false">IFERROR(R123/AG123*60,"")</f>
        <v>935.882352941177</v>
      </c>
      <c r="AJ123" s="30" t="n">
        <f aca="false">IFERROR(AI123/Q123,"")</f>
        <v>1.03986928104575</v>
      </c>
      <c r="AK123" s="31" t="n">
        <f aca="false">IFERROR(R123/(T123/60*Q123),"")</f>
        <v>0.970121951219512</v>
      </c>
      <c r="AL123" s="26" t="n">
        <v>19</v>
      </c>
      <c r="AM123" s="26" t="n">
        <v>14</v>
      </c>
      <c r="AN123" s="26" t="n">
        <v>14</v>
      </c>
      <c r="AO123" s="26" t="n">
        <v>19</v>
      </c>
      <c r="AP123" s="26" t="n">
        <v>22</v>
      </c>
      <c r="AQ123" s="26" t="n">
        <v>12</v>
      </c>
      <c r="AR123" s="26" t="n">
        <v>17</v>
      </c>
      <c r="AS123" s="26" t="n">
        <v>18</v>
      </c>
      <c r="AT123" s="26" t="n">
        <v>14</v>
      </c>
      <c r="AU123" s="26" t="n">
        <v>8</v>
      </c>
      <c r="AV123" s="26" t="n">
        <f aca="false">SUM(AL123:AU123)</f>
        <v>157</v>
      </c>
      <c r="AW123" s="32" t="n">
        <f aca="false">IFERROR(AV123/R123*1000000,"")</f>
        <v>16446.6792373769</v>
      </c>
      <c r="AX123" s="33" t="n">
        <f aca="false">IFERROR((R123-AV123)/R123,"")</f>
        <v>0.983553320762623</v>
      </c>
      <c r="AY123" s="34" t="n">
        <f aca="false">IFERROR(AH123*AJ123*AX123,"")</f>
        <v>0.954166666666667</v>
      </c>
      <c r="AZ123" s="35"/>
    </row>
    <row r="124" customFormat="false" ht="12.75" hidden="false" customHeight="true" outlineLevel="0" collapsed="false">
      <c r="A124" s="24" t="n">
        <v>120</v>
      </c>
      <c r="B124" s="25" t="n">
        <v>46062</v>
      </c>
      <c r="C124" s="25" t="n">
        <v>12</v>
      </c>
      <c r="D124" s="26" t="s">
        <v>87</v>
      </c>
      <c r="E124" s="26" t="s">
        <v>101</v>
      </c>
      <c r="F124" s="26" t="s">
        <v>81</v>
      </c>
      <c r="G124" s="26" t="s">
        <v>13</v>
      </c>
      <c r="H124" s="27" t="n">
        <v>0.354166666666667</v>
      </c>
      <c r="I124" s="27" t="n">
        <v>0.854166666666667</v>
      </c>
      <c r="J124" s="26" t="n">
        <f aca="false">IFERROR((I124-H124)*24*60,"")</f>
        <v>720</v>
      </c>
      <c r="K124" s="26" t="s">
        <v>82</v>
      </c>
      <c r="L124" s="26" t="s">
        <v>106</v>
      </c>
      <c r="M124" s="26" t="s">
        <v>103</v>
      </c>
      <c r="N124" s="26" t="s">
        <v>104</v>
      </c>
      <c r="O124" s="26" t="n">
        <v>1</v>
      </c>
      <c r="P124" s="26" t="n">
        <v>27</v>
      </c>
      <c r="Q124" s="26" t="n">
        <f aca="false">IFERROR(3600/(P124/O124),"")</f>
        <v>133.333333333333</v>
      </c>
      <c r="R124" s="26" t="n">
        <v>1175</v>
      </c>
      <c r="S124" s="26" t="n">
        <v>35</v>
      </c>
      <c r="T124" s="26" t="n">
        <f aca="false">IFERROR(J124-S124,"")</f>
        <v>685</v>
      </c>
      <c r="U124" s="26"/>
      <c r="V124" s="26"/>
      <c r="W124" s="26"/>
      <c r="X124" s="26"/>
      <c r="Y124" s="26"/>
      <c r="Z124" s="26"/>
      <c r="AA124" s="26"/>
      <c r="AB124" s="26"/>
      <c r="AC124" s="26" t="n">
        <v>25</v>
      </c>
      <c r="AD124" s="26"/>
      <c r="AE124" s="26"/>
      <c r="AF124" s="26" t="n">
        <f aca="false">SUM(U124:AE124)</f>
        <v>25</v>
      </c>
      <c r="AG124" s="26" t="n">
        <f aca="false">T124-AF124</f>
        <v>660</v>
      </c>
      <c r="AH124" s="28" t="n">
        <f aca="false">IFERROR(AG124/T124,"")</f>
        <v>0.963503649635037</v>
      </c>
      <c r="AI124" s="29" t="n">
        <f aca="false">IFERROR(R124/AG124*60,"")</f>
        <v>106.818181818182</v>
      </c>
      <c r="AJ124" s="30" t="n">
        <f aca="false">IFERROR(AI124/Q124,"")</f>
        <v>0.801136363636364</v>
      </c>
      <c r="AK124" s="31" t="n">
        <f aca="false">IFERROR(R124/(T124/60*Q124),"")</f>
        <v>0.771897810218978</v>
      </c>
      <c r="AL124" s="26" t="n">
        <v>2</v>
      </c>
      <c r="AM124" s="26"/>
      <c r="AN124" s="26" t="n">
        <v>3</v>
      </c>
      <c r="AO124" s="26" t="n">
        <v>3</v>
      </c>
      <c r="AP124" s="26" t="n">
        <v>2</v>
      </c>
      <c r="AQ124" s="26" t="n">
        <v>3</v>
      </c>
      <c r="AR124" s="26" t="n">
        <v>1</v>
      </c>
      <c r="AS124" s="26" t="n">
        <v>5</v>
      </c>
      <c r="AT124" s="26" t="n">
        <v>3</v>
      </c>
      <c r="AU124" s="26" t="n">
        <v>1</v>
      </c>
      <c r="AV124" s="26" t="n">
        <f aca="false">SUM(AL124:AU124)</f>
        <v>23</v>
      </c>
      <c r="AW124" s="32" t="n">
        <f aca="false">IFERROR(AV124/R124*1000000,"")</f>
        <v>19574.4680851064</v>
      </c>
      <c r="AX124" s="33" t="n">
        <f aca="false">IFERROR((R124-AV124)/R124,"")</f>
        <v>0.980425531914894</v>
      </c>
      <c r="AY124" s="34" t="n">
        <f aca="false">IFERROR(AH124*AJ124*AX124,"")</f>
        <v>0.756788321167883</v>
      </c>
      <c r="AZ124" s="35"/>
    </row>
    <row r="125" customFormat="false" ht="12.75" hidden="false" customHeight="true" outlineLevel="0" collapsed="false">
      <c r="A125" s="24" t="n">
        <v>121</v>
      </c>
      <c r="B125" s="25" t="n">
        <v>46063</v>
      </c>
      <c r="C125" s="25" t="n">
        <v>12</v>
      </c>
      <c r="D125" s="26" t="s">
        <v>71</v>
      </c>
      <c r="E125" s="26" t="s">
        <v>72</v>
      </c>
      <c r="F125" s="26" t="s">
        <v>73</v>
      </c>
      <c r="G125" s="26" t="s">
        <v>8</v>
      </c>
      <c r="H125" s="27" t="n">
        <v>0.354166666666667</v>
      </c>
      <c r="I125" s="27" t="n">
        <v>0.854166666666667</v>
      </c>
      <c r="J125" s="26" t="n">
        <f aca="false">IFERROR((I125-H125)*24*60,"")</f>
        <v>720</v>
      </c>
      <c r="K125" s="26" t="s">
        <v>74</v>
      </c>
      <c r="L125" s="26" t="s">
        <v>90</v>
      </c>
      <c r="M125" s="26" t="s">
        <v>76</v>
      </c>
      <c r="N125" s="26" t="s">
        <v>77</v>
      </c>
      <c r="O125" s="26" t="n">
        <v>2</v>
      </c>
      <c r="P125" s="26" t="n">
        <v>28</v>
      </c>
      <c r="Q125" s="26" t="n">
        <f aca="false">IFERROR(3600/(P125/O125),"")</f>
        <v>257.142857142857</v>
      </c>
      <c r="R125" s="26" t="n">
        <v>2275</v>
      </c>
      <c r="S125" s="26" t="n">
        <v>47</v>
      </c>
      <c r="T125" s="26" t="n">
        <f aca="false">IFERROR(J125-S125,"")</f>
        <v>673</v>
      </c>
      <c r="U125" s="26"/>
      <c r="V125" s="26"/>
      <c r="W125" s="26"/>
      <c r="X125" s="26"/>
      <c r="Y125" s="26" t="n">
        <v>21</v>
      </c>
      <c r="Z125" s="26" t="n">
        <v>20</v>
      </c>
      <c r="AA125" s="26"/>
      <c r="AB125" s="26"/>
      <c r="AC125" s="26"/>
      <c r="AD125" s="26"/>
      <c r="AE125" s="26"/>
      <c r="AF125" s="26" t="n">
        <f aca="false">SUM(U125:AE125)</f>
        <v>41</v>
      </c>
      <c r="AG125" s="26" t="n">
        <f aca="false">T125-AF125</f>
        <v>632</v>
      </c>
      <c r="AH125" s="28" t="n">
        <f aca="false">IFERROR(AG125/T125,"")</f>
        <v>0.939078751857355</v>
      </c>
      <c r="AI125" s="29" t="n">
        <f aca="false">IFERROR(R125/AG125*60,"")</f>
        <v>215.981012658228</v>
      </c>
      <c r="AJ125" s="30" t="n">
        <f aca="false">IFERROR(AI125/Q125,"")</f>
        <v>0.839926160337553</v>
      </c>
      <c r="AK125" s="31" t="n">
        <f aca="false">IFERROR(R125/(T125/60*Q125),"")</f>
        <v>0.78875681030213</v>
      </c>
      <c r="AL125" s="26" t="n">
        <v>2</v>
      </c>
      <c r="AM125" s="26" t="n">
        <v>4</v>
      </c>
      <c r="AN125" s="26" t="n">
        <v>3</v>
      </c>
      <c r="AO125" s="26" t="n">
        <v>2</v>
      </c>
      <c r="AP125" s="26" t="n">
        <v>1</v>
      </c>
      <c r="AQ125" s="26" t="n">
        <v>4</v>
      </c>
      <c r="AR125" s="26" t="n">
        <v>3</v>
      </c>
      <c r="AS125" s="26" t="n">
        <v>1</v>
      </c>
      <c r="AT125" s="26" t="n">
        <v>5</v>
      </c>
      <c r="AU125" s="26" t="n">
        <v>3</v>
      </c>
      <c r="AV125" s="26" t="n">
        <f aca="false">SUM(AL125:AU125)</f>
        <v>28</v>
      </c>
      <c r="AW125" s="32" t="n">
        <f aca="false">IFERROR(AV125/R125*1000000,"")</f>
        <v>12307.6923076923</v>
      </c>
      <c r="AX125" s="33" t="n">
        <f aca="false">IFERROR((R125-AV125)/R125,"")</f>
        <v>0.987692307692308</v>
      </c>
      <c r="AY125" s="34" t="n">
        <f aca="false">IFERROR(AH125*AJ125*AX125,"")</f>
        <v>0.779049034175334</v>
      </c>
      <c r="AZ125" s="35" t="s">
        <v>86</v>
      </c>
    </row>
    <row r="126" customFormat="false" ht="12.75" hidden="false" customHeight="true" outlineLevel="0" collapsed="false">
      <c r="A126" s="24" t="n">
        <v>122</v>
      </c>
      <c r="B126" s="25" t="n">
        <v>46063</v>
      </c>
      <c r="C126" s="25" t="n">
        <v>12</v>
      </c>
      <c r="D126" s="26" t="s">
        <v>79</v>
      </c>
      <c r="E126" s="26" t="s">
        <v>80</v>
      </c>
      <c r="F126" s="26" t="s">
        <v>81</v>
      </c>
      <c r="G126" s="26" t="s">
        <v>9</v>
      </c>
      <c r="H126" s="27" t="n">
        <v>0.354166666666667</v>
      </c>
      <c r="I126" s="27" t="n">
        <v>0.854166666666667</v>
      </c>
      <c r="J126" s="26" t="n">
        <f aca="false">IFERROR((I126-H126)*24*60,"")</f>
        <v>720</v>
      </c>
      <c r="K126" s="26" t="s">
        <v>74</v>
      </c>
      <c r="L126" s="26" t="s">
        <v>75</v>
      </c>
      <c r="M126" s="26" t="s">
        <v>84</v>
      </c>
      <c r="N126" s="26" t="s">
        <v>85</v>
      </c>
      <c r="O126" s="26" t="n">
        <v>2</v>
      </c>
      <c r="P126" s="26" t="n">
        <v>30</v>
      </c>
      <c r="Q126" s="26" t="n">
        <f aca="false">IFERROR(3600/(P126/O126),"")</f>
        <v>240</v>
      </c>
      <c r="R126" s="26" t="n">
        <v>1788</v>
      </c>
      <c r="S126" s="26" t="n">
        <v>36</v>
      </c>
      <c r="T126" s="26" t="n">
        <f aca="false">IFERROR(J126-S126,"")</f>
        <v>684</v>
      </c>
      <c r="U126" s="26"/>
      <c r="V126" s="26"/>
      <c r="W126" s="26"/>
      <c r="X126" s="26"/>
      <c r="Y126" s="26"/>
      <c r="Z126" s="26"/>
      <c r="AA126" s="26"/>
      <c r="AB126" s="26"/>
      <c r="AC126" s="26" t="n">
        <v>18</v>
      </c>
      <c r="AD126" s="26" t="n">
        <v>27</v>
      </c>
      <c r="AE126" s="26" t="n">
        <v>27</v>
      </c>
      <c r="AF126" s="26" t="n">
        <f aca="false">SUM(U126:AE126)</f>
        <v>72</v>
      </c>
      <c r="AG126" s="26" t="n">
        <f aca="false">T126-AF126</f>
        <v>612</v>
      </c>
      <c r="AH126" s="28" t="n">
        <f aca="false">IFERROR(AG126/T126,"")</f>
        <v>0.894736842105263</v>
      </c>
      <c r="AI126" s="29" t="n">
        <f aca="false">IFERROR(R126/AG126*60,"")</f>
        <v>175.294117647059</v>
      </c>
      <c r="AJ126" s="30" t="n">
        <f aca="false">IFERROR(AI126/Q126,"")</f>
        <v>0.730392156862745</v>
      </c>
      <c r="AK126" s="31" t="n">
        <f aca="false">IFERROR(R126/(T126/60*Q126),"")</f>
        <v>0.653508771929825</v>
      </c>
      <c r="AL126" s="26" t="n">
        <v>5</v>
      </c>
      <c r="AM126" s="26" t="n">
        <v>6</v>
      </c>
      <c r="AN126" s="26"/>
      <c r="AO126" s="26" t="n">
        <v>5</v>
      </c>
      <c r="AP126" s="26" t="n">
        <v>3</v>
      </c>
      <c r="AQ126" s="26" t="n">
        <v>3</v>
      </c>
      <c r="AR126" s="26" t="n">
        <v>2</v>
      </c>
      <c r="AS126" s="26" t="n">
        <v>2</v>
      </c>
      <c r="AT126" s="26" t="n">
        <v>4</v>
      </c>
      <c r="AU126" s="26" t="n">
        <v>2</v>
      </c>
      <c r="AV126" s="26" t="n">
        <f aca="false">SUM(AL126:AU126)</f>
        <v>32</v>
      </c>
      <c r="AW126" s="32" t="n">
        <f aca="false">IFERROR(AV126/R126*1000000,"")</f>
        <v>17897.0917225951</v>
      </c>
      <c r="AX126" s="33" t="n">
        <f aca="false">IFERROR((R126-AV126)/R126,"")</f>
        <v>0.982102908277405</v>
      </c>
      <c r="AY126" s="34" t="n">
        <f aca="false">IFERROR(AH126*AJ126*AX126,"")</f>
        <v>0.641812865497076</v>
      </c>
      <c r="AZ126" s="35" t="s">
        <v>86</v>
      </c>
    </row>
    <row r="127" customFormat="false" ht="12.75" hidden="false" customHeight="true" outlineLevel="0" collapsed="false">
      <c r="A127" s="24" t="n">
        <v>123</v>
      </c>
      <c r="B127" s="25" t="n">
        <v>46063</v>
      </c>
      <c r="C127" s="25" t="n">
        <v>12</v>
      </c>
      <c r="D127" s="26" t="s">
        <v>87</v>
      </c>
      <c r="E127" s="26" t="s">
        <v>88</v>
      </c>
      <c r="F127" s="26" t="s">
        <v>73</v>
      </c>
      <c r="G127" s="26" t="s">
        <v>10</v>
      </c>
      <c r="H127" s="27" t="n">
        <v>0.354166666666667</v>
      </c>
      <c r="I127" s="27" t="n">
        <v>0.854166666666667</v>
      </c>
      <c r="J127" s="26" t="n">
        <f aca="false">IFERROR((I127-H127)*24*60,"")</f>
        <v>720</v>
      </c>
      <c r="K127" s="26" t="s">
        <v>89</v>
      </c>
      <c r="L127" s="26" t="s">
        <v>106</v>
      </c>
      <c r="M127" s="26" t="s">
        <v>91</v>
      </c>
      <c r="N127" s="26" t="s">
        <v>92</v>
      </c>
      <c r="O127" s="26" t="n">
        <v>1</v>
      </c>
      <c r="P127" s="26" t="n">
        <v>73</v>
      </c>
      <c r="Q127" s="26" t="n">
        <f aca="false">IFERROR(3600/(P127/O127),"")</f>
        <v>49.3150684931507</v>
      </c>
      <c r="R127" s="26" t="n">
        <v>452</v>
      </c>
      <c r="S127" s="26" t="n">
        <v>65</v>
      </c>
      <c r="T127" s="26" t="n">
        <f aca="false">IFERROR(J127-S127,"")</f>
        <v>655</v>
      </c>
      <c r="U127" s="26"/>
      <c r="V127" s="26" t="n">
        <v>16</v>
      </c>
      <c r="W127" s="26"/>
      <c r="X127" s="26"/>
      <c r="Y127" s="26"/>
      <c r="Z127" s="26"/>
      <c r="AA127" s="26"/>
      <c r="AB127" s="26" t="n">
        <v>24</v>
      </c>
      <c r="AC127" s="26"/>
      <c r="AD127" s="26"/>
      <c r="AE127" s="26"/>
      <c r="AF127" s="26" t="n">
        <f aca="false">SUM(U127:AE127)</f>
        <v>40</v>
      </c>
      <c r="AG127" s="26" t="n">
        <f aca="false">T127-AF127</f>
        <v>615</v>
      </c>
      <c r="AH127" s="28" t="n">
        <f aca="false">IFERROR(AG127/T127,"")</f>
        <v>0.938931297709924</v>
      </c>
      <c r="AI127" s="29" t="n">
        <f aca="false">IFERROR(R127/AG127*60,"")</f>
        <v>44.0975609756098</v>
      </c>
      <c r="AJ127" s="30" t="n">
        <f aca="false">IFERROR(AI127/Q127,"")</f>
        <v>0.89420054200542</v>
      </c>
      <c r="AK127" s="31" t="n">
        <f aca="false">IFERROR(R127/(T127/60*Q127),"")</f>
        <v>0.839592875318066</v>
      </c>
      <c r="AL127" s="26"/>
      <c r="AM127" s="26"/>
      <c r="AN127" s="26" t="n">
        <v>1</v>
      </c>
      <c r="AO127" s="26"/>
      <c r="AP127" s="26"/>
      <c r="AQ127" s="26"/>
      <c r="AR127" s="26"/>
      <c r="AS127" s="26"/>
      <c r="AT127" s="26" t="n">
        <v>1</v>
      </c>
      <c r="AU127" s="26"/>
      <c r="AV127" s="26" t="n">
        <f aca="false">SUM(AL127:AU127)</f>
        <v>2</v>
      </c>
      <c r="AW127" s="32" t="n">
        <f aca="false">IFERROR(AV127/R127*1000000,"")</f>
        <v>4424.77876106195</v>
      </c>
      <c r="AX127" s="33" t="n">
        <f aca="false">IFERROR((R127-AV127)/R127,"")</f>
        <v>0.995575221238938</v>
      </c>
      <c r="AY127" s="34" t="n">
        <f aca="false">IFERROR(AH127*AJ127*AX127,"")</f>
        <v>0.83587786259542</v>
      </c>
      <c r="AZ127" s="35" t="s">
        <v>86</v>
      </c>
    </row>
    <row r="128" customFormat="false" ht="12.75" hidden="false" customHeight="true" outlineLevel="0" collapsed="false">
      <c r="A128" s="24" t="n">
        <v>124</v>
      </c>
      <c r="B128" s="25" t="n">
        <v>46064</v>
      </c>
      <c r="C128" s="25" t="n">
        <v>12</v>
      </c>
      <c r="D128" s="26" t="s">
        <v>71</v>
      </c>
      <c r="E128" s="26" t="s">
        <v>94</v>
      </c>
      <c r="F128" s="26" t="s">
        <v>81</v>
      </c>
      <c r="G128" s="26" t="s">
        <v>11</v>
      </c>
      <c r="H128" s="27" t="n">
        <v>0.354166666666667</v>
      </c>
      <c r="I128" s="27" t="n">
        <v>0.854166666666667</v>
      </c>
      <c r="J128" s="26" t="n">
        <f aca="false">IFERROR((I128-H128)*24*60,"")</f>
        <v>720</v>
      </c>
      <c r="K128" s="26" t="s">
        <v>105</v>
      </c>
      <c r="L128" s="26" t="s">
        <v>90</v>
      </c>
      <c r="M128" s="26" t="s">
        <v>95</v>
      </c>
      <c r="N128" s="26" t="s">
        <v>96</v>
      </c>
      <c r="O128" s="26" t="n">
        <v>4</v>
      </c>
      <c r="P128" s="26" t="n">
        <v>44</v>
      </c>
      <c r="Q128" s="26" t="n">
        <f aca="false">IFERROR(3600/(P128/O128),"")</f>
        <v>327.272727272727</v>
      </c>
      <c r="R128" s="26" t="n">
        <v>2901</v>
      </c>
      <c r="S128" s="26" t="n">
        <v>64</v>
      </c>
      <c r="T128" s="26" t="n">
        <f aca="false">IFERROR(J128-S128,"")</f>
        <v>656</v>
      </c>
      <c r="U128" s="26"/>
      <c r="V128" s="26"/>
      <c r="W128" s="26"/>
      <c r="X128" s="26"/>
      <c r="Y128" s="26"/>
      <c r="Z128" s="26" t="n">
        <v>30</v>
      </c>
      <c r="AA128" s="26"/>
      <c r="AB128" s="26"/>
      <c r="AC128" s="26"/>
      <c r="AD128" s="26"/>
      <c r="AE128" s="26" t="n">
        <v>16</v>
      </c>
      <c r="AF128" s="26" t="n">
        <f aca="false">SUM(U128:AE128)</f>
        <v>46</v>
      </c>
      <c r="AG128" s="26" t="n">
        <f aca="false">T128-AF128</f>
        <v>610</v>
      </c>
      <c r="AH128" s="28" t="n">
        <f aca="false">IFERROR(AG128/T128,"")</f>
        <v>0.929878048780488</v>
      </c>
      <c r="AI128" s="29" t="n">
        <f aca="false">IFERROR(R128/AG128*60,"")</f>
        <v>285.344262295082</v>
      </c>
      <c r="AJ128" s="30" t="n">
        <f aca="false">IFERROR(AI128/Q128,"")</f>
        <v>0.87188524590164</v>
      </c>
      <c r="AK128" s="31" t="n">
        <f aca="false">IFERROR(R128/(T128/60*Q128),"")</f>
        <v>0.810746951219512</v>
      </c>
      <c r="AL128" s="26" t="n">
        <v>5</v>
      </c>
      <c r="AM128" s="26"/>
      <c r="AN128" s="26" t="n">
        <v>2</v>
      </c>
      <c r="AO128" s="26" t="n">
        <v>4</v>
      </c>
      <c r="AP128" s="26" t="n">
        <v>5</v>
      </c>
      <c r="AQ128" s="26" t="n">
        <v>3</v>
      </c>
      <c r="AR128" s="26" t="n">
        <v>2</v>
      </c>
      <c r="AS128" s="26" t="n">
        <v>2</v>
      </c>
      <c r="AT128" s="26" t="n">
        <v>6</v>
      </c>
      <c r="AU128" s="26" t="n">
        <v>5</v>
      </c>
      <c r="AV128" s="26" t="n">
        <f aca="false">SUM(AL128:AU128)</f>
        <v>34</v>
      </c>
      <c r="AW128" s="32" t="n">
        <f aca="false">IFERROR(AV128/R128*1000000,"")</f>
        <v>11720.0965184419</v>
      </c>
      <c r="AX128" s="33" t="n">
        <f aca="false">IFERROR((R128-AV128)/R128,"")</f>
        <v>0.988279903481558</v>
      </c>
      <c r="AY128" s="34" t="n">
        <f aca="false">IFERROR(AH128*AJ128*AX128,"")</f>
        <v>0.801244918699187</v>
      </c>
      <c r="AZ128" s="35"/>
    </row>
    <row r="129" customFormat="false" ht="12.75" hidden="false" customHeight="true" outlineLevel="0" collapsed="false">
      <c r="A129" s="24" t="n">
        <v>125</v>
      </c>
      <c r="B129" s="25" t="n">
        <v>46064</v>
      </c>
      <c r="C129" s="25" t="n">
        <v>12</v>
      </c>
      <c r="D129" s="26" t="s">
        <v>79</v>
      </c>
      <c r="E129" s="26" t="s">
        <v>97</v>
      </c>
      <c r="F129" s="26" t="s">
        <v>73</v>
      </c>
      <c r="G129" s="26" t="s">
        <v>12</v>
      </c>
      <c r="H129" s="27" t="n">
        <v>0.354166666666667</v>
      </c>
      <c r="I129" s="27" t="n">
        <v>0.854166666666667</v>
      </c>
      <c r="J129" s="26" t="n">
        <f aca="false">IFERROR((I129-H129)*24*60,"")</f>
        <v>720</v>
      </c>
      <c r="K129" s="26" t="s">
        <v>89</v>
      </c>
      <c r="L129" s="26" t="s">
        <v>90</v>
      </c>
      <c r="M129" s="26" t="s">
        <v>99</v>
      </c>
      <c r="N129" s="26" t="s">
        <v>100</v>
      </c>
      <c r="O129" s="26" t="n">
        <v>2</v>
      </c>
      <c r="P129" s="26" t="n">
        <v>40</v>
      </c>
      <c r="Q129" s="26" t="n">
        <f aca="false">IFERROR(3600/(P129/O129),"")</f>
        <v>180</v>
      </c>
      <c r="R129" s="26" t="n">
        <v>1612</v>
      </c>
      <c r="S129" s="26" t="n">
        <v>52</v>
      </c>
      <c r="T129" s="26" t="n">
        <f aca="false">IFERROR(J129-S129,"")</f>
        <v>668</v>
      </c>
      <c r="U129" s="26"/>
      <c r="V129" s="26" t="n">
        <v>16</v>
      </c>
      <c r="W129" s="26"/>
      <c r="X129" s="26" t="n">
        <v>6</v>
      </c>
      <c r="Y129" s="26" t="n">
        <v>7</v>
      </c>
      <c r="Z129" s="26"/>
      <c r="AA129" s="26"/>
      <c r="AB129" s="26"/>
      <c r="AC129" s="26"/>
      <c r="AD129" s="26"/>
      <c r="AE129" s="26"/>
      <c r="AF129" s="26" t="n">
        <f aca="false">SUM(U129:AE129)</f>
        <v>29</v>
      </c>
      <c r="AG129" s="26" t="n">
        <f aca="false">T129-AF129</f>
        <v>639</v>
      </c>
      <c r="AH129" s="28" t="n">
        <f aca="false">IFERROR(AG129/T129,"")</f>
        <v>0.956586826347305</v>
      </c>
      <c r="AI129" s="29" t="n">
        <f aca="false">IFERROR(R129/AG129*60,"")</f>
        <v>151.361502347418</v>
      </c>
      <c r="AJ129" s="30" t="n">
        <f aca="false">IFERROR(AI129/Q129,"")</f>
        <v>0.840897235263433</v>
      </c>
      <c r="AK129" s="31" t="n">
        <f aca="false">IFERROR(R129/(T129/60*Q129),"")</f>
        <v>0.80439121756487</v>
      </c>
      <c r="AL129" s="26" t="n">
        <v>3</v>
      </c>
      <c r="AM129" s="26" t="n">
        <v>4</v>
      </c>
      <c r="AN129" s="26" t="n">
        <v>1</v>
      </c>
      <c r="AO129" s="26" t="n">
        <v>2</v>
      </c>
      <c r="AP129" s="26" t="n">
        <v>1</v>
      </c>
      <c r="AQ129" s="26" t="n">
        <v>3</v>
      </c>
      <c r="AR129" s="26" t="n">
        <v>3</v>
      </c>
      <c r="AS129" s="26" t="n">
        <v>2</v>
      </c>
      <c r="AT129" s="26"/>
      <c r="AU129" s="26" t="n">
        <v>5</v>
      </c>
      <c r="AV129" s="26" t="n">
        <f aca="false">SUM(AL129:AU129)</f>
        <v>24</v>
      </c>
      <c r="AW129" s="32" t="n">
        <f aca="false">IFERROR(AV129/R129*1000000,"")</f>
        <v>14888.3374689826</v>
      </c>
      <c r="AX129" s="33" t="n">
        <f aca="false">IFERROR((R129-AV129)/R129,"")</f>
        <v>0.985111662531017</v>
      </c>
      <c r="AY129" s="34" t="n">
        <f aca="false">IFERROR(AH129*AJ129*AX129,"")</f>
        <v>0.792415169660679</v>
      </c>
      <c r="AZ129" s="35" t="s">
        <v>93</v>
      </c>
    </row>
    <row r="130" customFormat="false" ht="12.75" hidden="false" customHeight="true" outlineLevel="0" collapsed="false">
      <c r="A130" s="24" t="n">
        <v>126</v>
      </c>
      <c r="B130" s="25" t="n">
        <v>46064</v>
      </c>
      <c r="C130" s="25" t="n">
        <v>12</v>
      </c>
      <c r="D130" s="26" t="s">
        <v>87</v>
      </c>
      <c r="E130" s="26" t="s">
        <v>101</v>
      </c>
      <c r="F130" s="26" t="s">
        <v>81</v>
      </c>
      <c r="G130" s="26" t="s">
        <v>13</v>
      </c>
      <c r="H130" s="27" t="n">
        <v>0.354166666666667</v>
      </c>
      <c r="I130" s="27" t="n">
        <v>0.854166666666667</v>
      </c>
      <c r="J130" s="26" t="n">
        <f aca="false">IFERROR((I130-H130)*24*60,"")</f>
        <v>720</v>
      </c>
      <c r="K130" s="26" t="s">
        <v>105</v>
      </c>
      <c r="L130" s="26" t="s">
        <v>107</v>
      </c>
      <c r="M130" s="26" t="s">
        <v>103</v>
      </c>
      <c r="N130" s="26" t="s">
        <v>104</v>
      </c>
      <c r="O130" s="26" t="n">
        <v>4</v>
      </c>
      <c r="P130" s="26" t="n">
        <v>58</v>
      </c>
      <c r="Q130" s="26" t="n">
        <f aca="false">IFERROR(3600/(P130/O130),"")</f>
        <v>248.275862068966</v>
      </c>
      <c r="R130" s="26" t="n">
        <v>2407</v>
      </c>
      <c r="S130" s="26" t="n">
        <v>63</v>
      </c>
      <c r="T130" s="26" t="n">
        <f aca="false">IFERROR(J130-S130,"")</f>
        <v>657</v>
      </c>
      <c r="U130" s="26" t="n">
        <v>3</v>
      </c>
      <c r="V130" s="26"/>
      <c r="W130" s="26"/>
      <c r="X130" s="26" t="n">
        <v>7</v>
      </c>
      <c r="Y130" s="26"/>
      <c r="Z130" s="26"/>
      <c r="AA130" s="26"/>
      <c r="AB130" s="26"/>
      <c r="AC130" s="26"/>
      <c r="AD130" s="26"/>
      <c r="AE130" s="26"/>
      <c r="AF130" s="26" t="n">
        <f aca="false">SUM(U130:AE130)</f>
        <v>10</v>
      </c>
      <c r="AG130" s="26" t="n">
        <f aca="false">T130-AF130</f>
        <v>647</v>
      </c>
      <c r="AH130" s="28" t="n">
        <f aca="false">IFERROR(AG130/T130,"")</f>
        <v>0.984779299847793</v>
      </c>
      <c r="AI130" s="29" t="n">
        <f aca="false">IFERROR(R130/AG130*60,"")</f>
        <v>223.214837712519</v>
      </c>
      <c r="AJ130" s="30" t="n">
        <f aca="false">IFERROR(AI130/Q130,"")</f>
        <v>0.899059763008758</v>
      </c>
      <c r="AK130" s="31" t="n">
        <f aca="false">IFERROR(R130/(T130/60*Q130),"")</f>
        <v>0.885375443937088</v>
      </c>
      <c r="AL130" s="26" t="n">
        <v>1</v>
      </c>
      <c r="AM130" s="26" t="n">
        <v>4</v>
      </c>
      <c r="AN130" s="26" t="n">
        <v>4</v>
      </c>
      <c r="AO130" s="26" t="n">
        <v>5</v>
      </c>
      <c r="AP130" s="26" t="n">
        <v>3</v>
      </c>
      <c r="AQ130" s="26" t="n">
        <v>2</v>
      </c>
      <c r="AR130" s="26" t="n">
        <v>8</v>
      </c>
      <c r="AS130" s="26" t="n">
        <v>4</v>
      </c>
      <c r="AT130" s="26" t="n">
        <v>6</v>
      </c>
      <c r="AU130" s="26" t="n">
        <v>5</v>
      </c>
      <c r="AV130" s="26" t="n">
        <f aca="false">SUM(AL130:AU130)</f>
        <v>42</v>
      </c>
      <c r="AW130" s="32" t="n">
        <f aca="false">IFERROR(AV130/R130*1000000,"")</f>
        <v>17449.1067719152</v>
      </c>
      <c r="AX130" s="33" t="n">
        <f aca="false">IFERROR((R130-AV130)/R130,"")</f>
        <v>0.982550893228085</v>
      </c>
      <c r="AY130" s="34" t="n">
        <f aca="false">IFERROR(AH130*AJ130*AX130,"")</f>
        <v>0.869926433282598</v>
      </c>
      <c r="AZ130" s="35"/>
    </row>
    <row r="131" customFormat="false" ht="12.75" hidden="false" customHeight="true" outlineLevel="0" collapsed="false">
      <c r="A131" s="24" t="n">
        <v>127</v>
      </c>
      <c r="B131" s="25" t="n">
        <v>46065</v>
      </c>
      <c r="C131" s="25" t="n">
        <v>12</v>
      </c>
      <c r="D131" s="26" t="s">
        <v>71</v>
      </c>
      <c r="E131" s="26" t="s">
        <v>72</v>
      </c>
      <c r="F131" s="26" t="s">
        <v>73</v>
      </c>
      <c r="G131" s="26" t="s">
        <v>8</v>
      </c>
      <c r="H131" s="27" t="n">
        <v>0.354166666666667</v>
      </c>
      <c r="I131" s="27" t="n">
        <v>0.854166666666667</v>
      </c>
      <c r="J131" s="26" t="n">
        <f aca="false">IFERROR((I131-H131)*24*60,"")</f>
        <v>720</v>
      </c>
      <c r="K131" s="26" t="s">
        <v>105</v>
      </c>
      <c r="L131" s="26" t="s">
        <v>106</v>
      </c>
      <c r="M131" s="26" t="s">
        <v>76</v>
      </c>
      <c r="N131" s="26" t="s">
        <v>77</v>
      </c>
      <c r="O131" s="26" t="n">
        <v>4</v>
      </c>
      <c r="P131" s="26" t="n">
        <v>36</v>
      </c>
      <c r="Q131" s="26" t="n">
        <f aca="false">IFERROR(3600/(P131/O131),"")</f>
        <v>400</v>
      </c>
      <c r="R131" s="26" t="n">
        <v>3341</v>
      </c>
      <c r="S131" s="26" t="n">
        <v>57</v>
      </c>
      <c r="T131" s="26" t="n">
        <f aca="false">IFERROR(J131-S131,"")</f>
        <v>663</v>
      </c>
      <c r="U131" s="26" t="n">
        <v>23</v>
      </c>
      <c r="V131" s="26"/>
      <c r="W131" s="26" t="n">
        <v>18</v>
      </c>
      <c r="X131" s="26"/>
      <c r="Y131" s="26" t="n">
        <v>15</v>
      </c>
      <c r="Z131" s="26"/>
      <c r="AA131" s="26"/>
      <c r="AB131" s="26"/>
      <c r="AC131" s="26"/>
      <c r="AD131" s="26"/>
      <c r="AE131" s="26"/>
      <c r="AF131" s="26" t="n">
        <f aca="false">SUM(U131:AE131)</f>
        <v>56</v>
      </c>
      <c r="AG131" s="26" t="n">
        <f aca="false">T131-AF131</f>
        <v>607</v>
      </c>
      <c r="AH131" s="28" t="n">
        <f aca="false">IFERROR(AG131/T131,"")</f>
        <v>0.91553544494721</v>
      </c>
      <c r="AI131" s="29" t="n">
        <f aca="false">IFERROR(R131/AG131*60,"")</f>
        <v>330.247116968699</v>
      </c>
      <c r="AJ131" s="30" t="n">
        <f aca="false">IFERROR(AI131/Q131,"")</f>
        <v>0.825617792421746</v>
      </c>
      <c r="AK131" s="31" t="n">
        <f aca="false">IFERROR(R131/(T131/60*Q131),"")</f>
        <v>0.755882352941176</v>
      </c>
      <c r="AL131" s="26" t="n">
        <v>12</v>
      </c>
      <c r="AM131" s="26" t="n">
        <v>7</v>
      </c>
      <c r="AN131" s="26" t="n">
        <v>7</v>
      </c>
      <c r="AO131" s="26" t="n">
        <v>10</v>
      </c>
      <c r="AP131" s="26" t="n">
        <v>9</v>
      </c>
      <c r="AQ131" s="26" t="n">
        <v>6</v>
      </c>
      <c r="AR131" s="26" t="n">
        <v>5</v>
      </c>
      <c r="AS131" s="26" t="n">
        <v>9</v>
      </c>
      <c r="AT131" s="26" t="n">
        <v>10</v>
      </c>
      <c r="AU131" s="26" t="n">
        <v>7</v>
      </c>
      <c r="AV131" s="26" t="n">
        <f aca="false">SUM(AL131:AU131)</f>
        <v>82</v>
      </c>
      <c r="AW131" s="32" t="n">
        <f aca="false">IFERROR(AV131/R131*1000000,"")</f>
        <v>24543.5498353786</v>
      </c>
      <c r="AX131" s="33" t="n">
        <f aca="false">IFERROR((R131-AV131)/R131,"")</f>
        <v>0.975456450164621</v>
      </c>
      <c r="AY131" s="34" t="n">
        <f aca="false">IFERROR(AH131*AJ131*AX131,"")</f>
        <v>0.737330316742081</v>
      </c>
      <c r="AZ131" s="35" t="s">
        <v>93</v>
      </c>
    </row>
    <row r="132" customFormat="false" ht="12.75" hidden="false" customHeight="true" outlineLevel="0" collapsed="false">
      <c r="A132" s="24" t="n">
        <v>128</v>
      </c>
      <c r="B132" s="25" t="n">
        <v>46065</v>
      </c>
      <c r="C132" s="25" t="n">
        <v>12</v>
      </c>
      <c r="D132" s="26" t="s">
        <v>79</v>
      </c>
      <c r="E132" s="26" t="s">
        <v>80</v>
      </c>
      <c r="F132" s="26" t="s">
        <v>81</v>
      </c>
      <c r="G132" s="26" t="s">
        <v>9</v>
      </c>
      <c r="H132" s="27" t="n">
        <v>0.354166666666667</v>
      </c>
      <c r="I132" s="27" t="n">
        <v>0.854166666666667</v>
      </c>
      <c r="J132" s="26" t="n">
        <f aca="false">IFERROR((I132-H132)*24*60,"")</f>
        <v>720</v>
      </c>
      <c r="K132" s="26" t="s">
        <v>74</v>
      </c>
      <c r="L132" s="26" t="s">
        <v>75</v>
      </c>
      <c r="M132" s="26" t="s">
        <v>84</v>
      </c>
      <c r="N132" s="26" t="s">
        <v>85</v>
      </c>
      <c r="O132" s="26" t="n">
        <v>2</v>
      </c>
      <c r="P132" s="26" t="n">
        <v>56</v>
      </c>
      <c r="Q132" s="26" t="n">
        <f aca="false">IFERROR(3600/(P132/O132),"")</f>
        <v>128.571428571429</v>
      </c>
      <c r="R132" s="26" t="n">
        <v>1077</v>
      </c>
      <c r="S132" s="26" t="n">
        <v>52</v>
      </c>
      <c r="T132" s="26" t="n">
        <f aca="false">IFERROR(J132-S132,"")</f>
        <v>668</v>
      </c>
      <c r="U132" s="26"/>
      <c r="V132" s="26"/>
      <c r="W132" s="26"/>
      <c r="X132" s="26"/>
      <c r="Y132" s="26" t="n">
        <v>23</v>
      </c>
      <c r="Z132" s="26"/>
      <c r="AA132" s="26"/>
      <c r="AB132" s="26"/>
      <c r="AC132" s="26"/>
      <c r="AD132" s="26"/>
      <c r="AE132" s="26"/>
      <c r="AF132" s="26" t="n">
        <f aca="false">SUM(U132:AE132)</f>
        <v>23</v>
      </c>
      <c r="AG132" s="26" t="n">
        <f aca="false">T132-AF132</f>
        <v>645</v>
      </c>
      <c r="AH132" s="28" t="n">
        <f aca="false">IFERROR(AG132/T132,"")</f>
        <v>0.965568862275449</v>
      </c>
      <c r="AI132" s="29" t="n">
        <f aca="false">IFERROR(R132/AG132*60,"")</f>
        <v>100.186046511628</v>
      </c>
      <c r="AJ132" s="30" t="n">
        <f aca="false">IFERROR(AI132/Q132,"")</f>
        <v>0.77922480620155</v>
      </c>
      <c r="AK132" s="31" t="n">
        <f aca="false">IFERROR(R132/(T132/60*Q132),"")</f>
        <v>0.752395209580838</v>
      </c>
      <c r="AL132" s="26" t="n">
        <v>1</v>
      </c>
      <c r="AM132" s="26" t="n">
        <v>1</v>
      </c>
      <c r="AN132" s="26" t="n">
        <v>3</v>
      </c>
      <c r="AO132" s="26" t="n">
        <v>3</v>
      </c>
      <c r="AP132" s="26" t="n">
        <v>2</v>
      </c>
      <c r="AQ132" s="26" t="n">
        <v>2</v>
      </c>
      <c r="AR132" s="26" t="n">
        <v>4</v>
      </c>
      <c r="AS132" s="26" t="n">
        <v>1</v>
      </c>
      <c r="AT132" s="26" t="n">
        <v>3</v>
      </c>
      <c r="AU132" s="26" t="n">
        <v>3</v>
      </c>
      <c r="AV132" s="26" t="n">
        <f aca="false">SUM(AL132:AU132)</f>
        <v>23</v>
      </c>
      <c r="AW132" s="32" t="n">
        <f aca="false">IFERROR(AV132/R132*1000000,"")</f>
        <v>21355.617455896</v>
      </c>
      <c r="AX132" s="33" t="n">
        <f aca="false">IFERROR((R132-AV132)/R132,"")</f>
        <v>0.978644382544104</v>
      </c>
      <c r="AY132" s="34" t="n">
        <f aca="false">IFERROR(AH132*AJ132*AX132,"")</f>
        <v>0.736327345309381</v>
      </c>
      <c r="AZ132" s="35" t="s">
        <v>86</v>
      </c>
    </row>
    <row r="133" customFormat="false" ht="12.75" hidden="false" customHeight="true" outlineLevel="0" collapsed="false">
      <c r="A133" s="24" t="n">
        <v>129</v>
      </c>
      <c r="B133" s="25" t="n">
        <v>46065</v>
      </c>
      <c r="C133" s="25" t="n">
        <v>12</v>
      </c>
      <c r="D133" s="26" t="s">
        <v>87</v>
      </c>
      <c r="E133" s="26" t="s">
        <v>88</v>
      </c>
      <c r="F133" s="26" t="s">
        <v>73</v>
      </c>
      <c r="G133" s="26" t="s">
        <v>10</v>
      </c>
      <c r="H133" s="27" t="n">
        <v>0.354166666666667</v>
      </c>
      <c r="I133" s="27" t="n">
        <v>0.854166666666667</v>
      </c>
      <c r="J133" s="26" t="n">
        <f aca="false">IFERROR((I133-H133)*24*60,"")</f>
        <v>720</v>
      </c>
      <c r="K133" s="26" t="s">
        <v>74</v>
      </c>
      <c r="L133" s="26" t="s">
        <v>108</v>
      </c>
      <c r="M133" s="26" t="s">
        <v>91</v>
      </c>
      <c r="N133" s="26" t="s">
        <v>92</v>
      </c>
      <c r="O133" s="26" t="n">
        <v>2</v>
      </c>
      <c r="P133" s="26" t="n">
        <v>32</v>
      </c>
      <c r="Q133" s="26" t="n">
        <f aca="false">IFERROR(3600/(P133/O133),"")</f>
        <v>225</v>
      </c>
      <c r="R133" s="26" t="n">
        <v>1769</v>
      </c>
      <c r="S133" s="26" t="n">
        <v>67</v>
      </c>
      <c r="T133" s="26" t="n">
        <f aca="false">IFERROR(J133-S133,"")</f>
        <v>653</v>
      </c>
      <c r="U133" s="26"/>
      <c r="V133" s="26"/>
      <c r="W133" s="26" t="n">
        <v>52</v>
      </c>
      <c r="X133" s="26"/>
      <c r="Y133" s="26"/>
      <c r="Z133" s="26"/>
      <c r="AA133" s="26"/>
      <c r="AB133" s="26"/>
      <c r="AC133" s="26"/>
      <c r="AD133" s="26"/>
      <c r="AE133" s="26" t="n">
        <v>27</v>
      </c>
      <c r="AF133" s="26" t="n">
        <f aca="false">SUM(U133:AE133)</f>
        <v>79</v>
      </c>
      <c r="AG133" s="26" t="n">
        <f aca="false">T133-AF133</f>
        <v>574</v>
      </c>
      <c r="AH133" s="28" t="n">
        <f aca="false">IFERROR(AG133/T133,"")</f>
        <v>0.879019908116386</v>
      </c>
      <c r="AI133" s="29" t="n">
        <f aca="false">IFERROR(R133/AG133*60,"")</f>
        <v>184.912891986063</v>
      </c>
      <c r="AJ133" s="30" t="n">
        <f aca="false">IFERROR(AI133/Q133,"")</f>
        <v>0.821835075493612</v>
      </c>
      <c r="AK133" s="31" t="n">
        <f aca="false">IFERROR(R133/(T133/60*Q133),"")</f>
        <v>0.722409392547218</v>
      </c>
      <c r="AL133" s="26" t="n">
        <v>3</v>
      </c>
      <c r="AM133" s="26" t="n">
        <v>4</v>
      </c>
      <c r="AN133" s="26" t="n">
        <v>7</v>
      </c>
      <c r="AO133" s="26" t="n">
        <v>4</v>
      </c>
      <c r="AP133" s="26" t="n">
        <v>3</v>
      </c>
      <c r="AQ133" s="26" t="n">
        <v>5</v>
      </c>
      <c r="AR133" s="26" t="n">
        <v>2</v>
      </c>
      <c r="AS133" s="26" t="n">
        <v>3</v>
      </c>
      <c r="AT133" s="26" t="n">
        <v>3</v>
      </c>
      <c r="AU133" s="26" t="n">
        <v>7</v>
      </c>
      <c r="AV133" s="26" t="n">
        <f aca="false">SUM(AL133:AU133)</f>
        <v>41</v>
      </c>
      <c r="AW133" s="32" t="n">
        <f aca="false">IFERROR(AV133/R133*1000000,"")</f>
        <v>23176.9361221029</v>
      </c>
      <c r="AX133" s="33" t="n">
        <f aca="false">IFERROR((R133-AV133)/R133,"")</f>
        <v>0.976823063877897</v>
      </c>
      <c r="AY133" s="34" t="n">
        <f aca="false">IFERROR(AH133*AJ133*AX133,"")</f>
        <v>0.705666156202144</v>
      </c>
      <c r="AZ133" s="35"/>
    </row>
    <row r="134" customFormat="false" ht="12.75" hidden="false" customHeight="true" outlineLevel="0" collapsed="false">
      <c r="A134" s="24" t="n">
        <v>130</v>
      </c>
      <c r="B134" s="25" t="n">
        <v>46066</v>
      </c>
      <c r="C134" s="25" t="n">
        <v>12</v>
      </c>
      <c r="D134" s="26" t="s">
        <v>71</v>
      </c>
      <c r="E134" s="26" t="s">
        <v>94</v>
      </c>
      <c r="F134" s="26" t="s">
        <v>81</v>
      </c>
      <c r="G134" s="26" t="s">
        <v>11</v>
      </c>
      <c r="H134" s="27" t="n">
        <v>0.354166666666667</v>
      </c>
      <c r="I134" s="27" t="n">
        <v>0.854166666666667</v>
      </c>
      <c r="J134" s="26" t="n">
        <f aca="false">IFERROR((I134-H134)*24*60,"")</f>
        <v>720</v>
      </c>
      <c r="K134" s="26" t="s">
        <v>89</v>
      </c>
      <c r="L134" s="26" t="s">
        <v>90</v>
      </c>
      <c r="M134" s="26" t="s">
        <v>95</v>
      </c>
      <c r="N134" s="26" t="s">
        <v>96</v>
      </c>
      <c r="O134" s="26" t="n">
        <v>2</v>
      </c>
      <c r="P134" s="26" t="n">
        <v>36</v>
      </c>
      <c r="Q134" s="26" t="n">
        <f aca="false">IFERROR(3600/(P134/O134),"")</f>
        <v>200</v>
      </c>
      <c r="R134" s="26" t="n">
        <v>1676</v>
      </c>
      <c r="S134" s="26" t="n">
        <v>60</v>
      </c>
      <c r="T134" s="26" t="n">
        <f aca="false">IFERROR(J134-S134,"")</f>
        <v>660</v>
      </c>
      <c r="U134" s="26"/>
      <c r="V134" s="26"/>
      <c r="W134" s="26"/>
      <c r="X134" s="26" t="n">
        <v>9</v>
      </c>
      <c r="Y134" s="26" t="n">
        <v>3</v>
      </c>
      <c r="Z134" s="26"/>
      <c r="AA134" s="26"/>
      <c r="AB134" s="26"/>
      <c r="AC134" s="26"/>
      <c r="AD134" s="26"/>
      <c r="AE134" s="26"/>
      <c r="AF134" s="26" t="n">
        <f aca="false">SUM(U134:AE134)</f>
        <v>12</v>
      </c>
      <c r="AG134" s="26" t="n">
        <f aca="false">T134-AF134</f>
        <v>648</v>
      </c>
      <c r="AH134" s="28" t="n">
        <f aca="false">IFERROR(AG134/T134,"")</f>
        <v>0.981818181818182</v>
      </c>
      <c r="AI134" s="29" t="n">
        <f aca="false">IFERROR(R134/AG134*60,"")</f>
        <v>155.185185185185</v>
      </c>
      <c r="AJ134" s="30" t="n">
        <f aca="false">IFERROR(AI134/Q134,"")</f>
        <v>0.775925925925926</v>
      </c>
      <c r="AK134" s="31" t="n">
        <f aca="false">IFERROR(R134/(T134/60*Q134),"")</f>
        <v>0.761818181818182</v>
      </c>
      <c r="AL134" s="26" t="n">
        <v>3</v>
      </c>
      <c r="AM134" s="26" t="n">
        <v>2</v>
      </c>
      <c r="AN134" s="26" t="n">
        <v>1</v>
      </c>
      <c r="AO134" s="26" t="n">
        <v>4</v>
      </c>
      <c r="AP134" s="26"/>
      <c r="AQ134" s="26" t="n">
        <v>2</v>
      </c>
      <c r="AR134" s="26" t="n">
        <v>4</v>
      </c>
      <c r="AS134" s="26" t="n">
        <v>5</v>
      </c>
      <c r="AT134" s="26" t="n">
        <v>5</v>
      </c>
      <c r="AU134" s="26" t="n">
        <v>5</v>
      </c>
      <c r="AV134" s="26" t="n">
        <f aca="false">SUM(AL134:AU134)</f>
        <v>31</v>
      </c>
      <c r="AW134" s="32" t="n">
        <f aca="false">IFERROR(AV134/R134*1000000,"")</f>
        <v>18496.4200477327</v>
      </c>
      <c r="AX134" s="33" t="n">
        <f aca="false">IFERROR((R134-AV134)/R134,"")</f>
        <v>0.981503579952267</v>
      </c>
      <c r="AY134" s="34" t="n">
        <f aca="false">IFERROR(AH134*AJ134*AX134,"")</f>
        <v>0.747727272727273</v>
      </c>
      <c r="AZ134" s="35"/>
    </row>
    <row r="135" customFormat="false" ht="12.75" hidden="false" customHeight="true" outlineLevel="0" collapsed="false">
      <c r="A135" s="24" t="n">
        <v>131</v>
      </c>
      <c r="B135" s="25" t="n">
        <v>46066</v>
      </c>
      <c r="C135" s="25" t="n">
        <v>12</v>
      </c>
      <c r="D135" s="26" t="s">
        <v>79</v>
      </c>
      <c r="E135" s="26" t="s">
        <v>97</v>
      </c>
      <c r="F135" s="26" t="s">
        <v>73</v>
      </c>
      <c r="G135" s="26" t="s">
        <v>12</v>
      </c>
      <c r="H135" s="27" t="n">
        <v>0.354166666666667</v>
      </c>
      <c r="I135" s="27" t="n">
        <v>0.854166666666667</v>
      </c>
      <c r="J135" s="26" t="n">
        <f aca="false">IFERROR((I135-H135)*24*60,"")</f>
        <v>720</v>
      </c>
      <c r="K135" s="26" t="s">
        <v>89</v>
      </c>
      <c r="L135" s="26" t="s">
        <v>106</v>
      </c>
      <c r="M135" s="26" t="s">
        <v>99</v>
      </c>
      <c r="N135" s="26" t="s">
        <v>100</v>
      </c>
      <c r="O135" s="26" t="n">
        <v>2</v>
      </c>
      <c r="P135" s="26" t="n">
        <v>42</v>
      </c>
      <c r="Q135" s="26" t="n">
        <f aca="false">IFERROR(3600/(P135/O135),"")</f>
        <v>171.428571428571</v>
      </c>
      <c r="R135" s="26" t="n">
        <v>1584</v>
      </c>
      <c r="S135" s="26" t="n">
        <v>63</v>
      </c>
      <c r="T135" s="26" t="n">
        <f aca="false">IFERROR(J135-S135,"")</f>
        <v>657</v>
      </c>
      <c r="U135" s="26"/>
      <c r="V135" s="26"/>
      <c r="W135" s="26"/>
      <c r="X135" s="26"/>
      <c r="Y135" s="26"/>
      <c r="Z135" s="26"/>
      <c r="AA135" s="26" t="n">
        <v>3</v>
      </c>
      <c r="AB135" s="26" t="n">
        <v>5</v>
      </c>
      <c r="AC135" s="26"/>
      <c r="AD135" s="26"/>
      <c r="AE135" s="26"/>
      <c r="AF135" s="26" t="n">
        <f aca="false">SUM(U135:AE135)</f>
        <v>8</v>
      </c>
      <c r="AG135" s="26" t="n">
        <f aca="false">T135-AF135</f>
        <v>649</v>
      </c>
      <c r="AH135" s="28" t="n">
        <f aca="false">IFERROR(AG135/T135,"")</f>
        <v>0.987823439878234</v>
      </c>
      <c r="AI135" s="29" t="n">
        <f aca="false">IFERROR(R135/AG135*60,"")</f>
        <v>146.440677966102</v>
      </c>
      <c r="AJ135" s="30" t="n">
        <f aca="false">IFERROR(AI135/Q135,"")</f>
        <v>0.854237288135593</v>
      </c>
      <c r="AK135" s="31" t="n">
        <f aca="false">IFERROR(R135/(T135/60*Q135),"")</f>
        <v>0.843835616438356</v>
      </c>
      <c r="AL135" s="26" t="n">
        <v>1</v>
      </c>
      <c r="AM135" s="26" t="n">
        <v>2</v>
      </c>
      <c r="AN135" s="26" t="n">
        <v>3</v>
      </c>
      <c r="AO135" s="26"/>
      <c r="AP135" s="26"/>
      <c r="AQ135" s="26"/>
      <c r="AR135" s="26" t="n">
        <v>1</v>
      </c>
      <c r="AS135" s="26" t="n">
        <v>2</v>
      </c>
      <c r="AT135" s="26" t="n">
        <v>3</v>
      </c>
      <c r="AU135" s="26" t="n">
        <v>1</v>
      </c>
      <c r="AV135" s="26" t="n">
        <f aca="false">SUM(AL135:AU135)</f>
        <v>13</v>
      </c>
      <c r="AW135" s="32" t="n">
        <f aca="false">IFERROR(AV135/R135*1000000,"")</f>
        <v>8207.07070707071</v>
      </c>
      <c r="AX135" s="33" t="n">
        <f aca="false">IFERROR((R135-AV135)/R135,"")</f>
        <v>0.991792929292929</v>
      </c>
      <c r="AY135" s="34" t="n">
        <f aca="false">IFERROR(AH135*AJ135*AX135,"")</f>
        <v>0.836910197869102</v>
      </c>
      <c r="AZ135" s="35"/>
    </row>
    <row r="136" customFormat="false" ht="12.75" hidden="false" customHeight="true" outlineLevel="0" collapsed="false">
      <c r="A136" s="24" t="n">
        <v>132</v>
      </c>
      <c r="B136" s="25" t="n">
        <v>46066</v>
      </c>
      <c r="C136" s="25" t="n">
        <v>12</v>
      </c>
      <c r="D136" s="26" t="s">
        <v>87</v>
      </c>
      <c r="E136" s="26" t="s">
        <v>101</v>
      </c>
      <c r="F136" s="26" t="s">
        <v>81</v>
      </c>
      <c r="G136" s="26" t="s">
        <v>13</v>
      </c>
      <c r="H136" s="27" t="n">
        <v>0.354166666666667</v>
      </c>
      <c r="I136" s="27" t="n">
        <v>0.854166666666667</v>
      </c>
      <c r="J136" s="26" t="n">
        <f aca="false">IFERROR((I136-H136)*24*60,"")</f>
        <v>720</v>
      </c>
      <c r="K136" s="26" t="s">
        <v>105</v>
      </c>
      <c r="L136" s="26" t="s">
        <v>102</v>
      </c>
      <c r="M136" s="26" t="s">
        <v>103</v>
      </c>
      <c r="N136" s="26" t="s">
        <v>104</v>
      </c>
      <c r="O136" s="26" t="n">
        <v>8</v>
      </c>
      <c r="P136" s="26" t="n">
        <v>61</v>
      </c>
      <c r="Q136" s="26" t="n">
        <f aca="false">IFERROR(3600/(P136/O136),"")</f>
        <v>472.131147540984</v>
      </c>
      <c r="R136" s="26" t="n">
        <v>5251</v>
      </c>
      <c r="S136" s="26" t="n">
        <v>31</v>
      </c>
      <c r="T136" s="26" t="n">
        <f aca="false">IFERROR(J136-S136,"")</f>
        <v>689</v>
      </c>
      <c r="U136" s="26"/>
      <c r="V136" s="26" t="n">
        <v>10</v>
      </c>
      <c r="W136" s="26"/>
      <c r="X136" s="26"/>
      <c r="Y136" s="26"/>
      <c r="Z136" s="26"/>
      <c r="AA136" s="26"/>
      <c r="AB136" s="26"/>
      <c r="AC136" s="26"/>
      <c r="AD136" s="26"/>
      <c r="AE136" s="26"/>
      <c r="AF136" s="26" t="n">
        <f aca="false">SUM(U136:AE136)</f>
        <v>10</v>
      </c>
      <c r="AG136" s="26" t="n">
        <f aca="false">T136-AF136</f>
        <v>679</v>
      </c>
      <c r="AH136" s="28" t="n">
        <f aca="false">IFERROR(AG136/T136,"")</f>
        <v>0.985486211901306</v>
      </c>
      <c r="AI136" s="29" t="n">
        <f aca="false">IFERROR(R136/AG136*60,"")</f>
        <v>464.0058910162</v>
      </c>
      <c r="AJ136" s="30" t="n">
        <f aca="false">IFERROR(AI136/Q136,"")</f>
        <v>0.982790255277369</v>
      </c>
      <c r="AK136" s="31" t="n">
        <f aca="false">IFERROR(R136/(T136/60*Q136),"")</f>
        <v>0.968526245766812</v>
      </c>
      <c r="AL136" s="26" t="n">
        <v>4</v>
      </c>
      <c r="AM136" s="26" t="n">
        <v>5</v>
      </c>
      <c r="AN136" s="26" t="n">
        <v>9</v>
      </c>
      <c r="AO136" s="26" t="n">
        <v>1</v>
      </c>
      <c r="AP136" s="26" t="n">
        <v>4</v>
      </c>
      <c r="AQ136" s="26" t="n">
        <v>2</v>
      </c>
      <c r="AR136" s="26" t="n">
        <v>4</v>
      </c>
      <c r="AS136" s="26" t="n">
        <v>5</v>
      </c>
      <c r="AT136" s="26" t="n">
        <v>3</v>
      </c>
      <c r="AU136" s="26" t="n">
        <v>3</v>
      </c>
      <c r="AV136" s="26" t="n">
        <f aca="false">SUM(AL136:AU136)</f>
        <v>40</v>
      </c>
      <c r="AW136" s="32" t="n">
        <f aca="false">IFERROR(AV136/R136*1000000,"")</f>
        <v>7617.59664825748</v>
      </c>
      <c r="AX136" s="33" t="n">
        <f aca="false">IFERROR((R136-AV136)/R136,"")</f>
        <v>0.992382403351743</v>
      </c>
      <c r="AY136" s="34" t="n">
        <f aca="false">IFERROR(AH136*AJ136*AX136,"")</f>
        <v>0.961148403483309</v>
      </c>
      <c r="AZ136" s="35" t="s">
        <v>86</v>
      </c>
    </row>
    <row r="137" customFormat="false" ht="12.75" hidden="false" customHeight="true" outlineLevel="0" collapsed="false">
      <c r="A137" s="24" t="n">
        <v>133</v>
      </c>
      <c r="B137" s="25" t="n">
        <v>46067</v>
      </c>
      <c r="C137" s="25" t="n">
        <v>12</v>
      </c>
      <c r="D137" s="26" t="s">
        <v>71</v>
      </c>
      <c r="E137" s="26" t="s">
        <v>72</v>
      </c>
      <c r="F137" s="26" t="s">
        <v>73</v>
      </c>
      <c r="G137" s="26" t="s">
        <v>8</v>
      </c>
      <c r="H137" s="27" t="n">
        <v>0.354166666666667</v>
      </c>
      <c r="I137" s="27" t="n">
        <v>0.854166666666667</v>
      </c>
      <c r="J137" s="26" t="n">
        <f aca="false">IFERROR((I137-H137)*24*60,"")</f>
        <v>720</v>
      </c>
      <c r="K137" s="26" t="s">
        <v>89</v>
      </c>
      <c r="L137" s="26" t="s">
        <v>107</v>
      </c>
      <c r="M137" s="26" t="s">
        <v>76</v>
      </c>
      <c r="N137" s="26" t="s">
        <v>77</v>
      </c>
      <c r="O137" s="26" t="n">
        <v>8</v>
      </c>
      <c r="P137" s="26" t="n">
        <v>50</v>
      </c>
      <c r="Q137" s="26" t="n">
        <f aca="false">IFERROR(3600/(P137/O137),"")</f>
        <v>576</v>
      </c>
      <c r="R137" s="26" t="n">
        <v>5045</v>
      </c>
      <c r="S137" s="26" t="n">
        <v>43</v>
      </c>
      <c r="T137" s="26" t="n">
        <f aca="false">IFERROR(J137-S137,"")</f>
        <v>677</v>
      </c>
      <c r="U137" s="26"/>
      <c r="V137" s="26"/>
      <c r="W137" s="26"/>
      <c r="X137" s="26" t="n">
        <v>3</v>
      </c>
      <c r="Y137" s="26" t="n">
        <v>36</v>
      </c>
      <c r="Z137" s="26"/>
      <c r="AA137" s="26"/>
      <c r="AB137" s="26"/>
      <c r="AC137" s="26" t="n">
        <v>31</v>
      </c>
      <c r="AD137" s="26"/>
      <c r="AE137" s="26"/>
      <c r="AF137" s="26" t="n">
        <f aca="false">SUM(U137:AE137)</f>
        <v>70</v>
      </c>
      <c r="AG137" s="26" t="n">
        <f aca="false">T137-AF137</f>
        <v>607</v>
      </c>
      <c r="AH137" s="28" t="n">
        <f aca="false">IFERROR(AG137/T137,"")</f>
        <v>0.896602658788774</v>
      </c>
      <c r="AI137" s="29" t="n">
        <f aca="false">IFERROR(R137/AG137*60,"")</f>
        <v>498.682042833608</v>
      </c>
      <c r="AJ137" s="30" t="n">
        <f aca="false">IFERROR(AI137/Q137,"")</f>
        <v>0.865767435475014</v>
      </c>
      <c r="AK137" s="31" t="n">
        <f aca="false">IFERROR(R137/(T137/60*Q137),"")</f>
        <v>0.776249384539636</v>
      </c>
      <c r="AL137" s="26" t="n">
        <v>9</v>
      </c>
      <c r="AM137" s="26" t="n">
        <v>9</v>
      </c>
      <c r="AN137" s="26" t="n">
        <v>9</v>
      </c>
      <c r="AO137" s="26" t="n">
        <v>5</v>
      </c>
      <c r="AP137" s="26" t="n">
        <v>8</v>
      </c>
      <c r="AQ137" s="26" t="n">
        <v>8</v>
      </c>
      <c r="AR137" s="26" t="n">
        <v>5</v>
      </c>
      <c r="AS137" s="26" t="n">
        <v>6</v>
      </c>
      <c r="AT137" s="26" t="n">
        <v>8</v>
      </c>
      <c r="AU137" s="26" t="n">
        <v>15</v>
      </c>
      <c r="AV137" s="26" t="n">
        <f aca="false">SUM(AL137:AU137)</f>
        <v>82</v>
      </c>
      <c r="AW137" s="32" t="n">
        <f aca="false">IFERROR(AV137/R137*1000000,"")</f>
        <v>16253.7165510406</v>
      </c>
      <c r="AX137" s="33" t="n">
        <f aca="false">IFERROR((R137-AV137)/R137,"")</f>
        <v>0.983746283448959</v>
      </c>
      <c r="AY137" s="34" t="n">
        <f aca="false">IFERROR(AH137*AJ137*AX137,"")</f>
        <v>0.763632447070409</v>
      </c>
      <c r="AZ137" s="35" t="s">
        <v>86</v>
      </c>
    </row>
    <row r="138" customFormat="false" ht="12.75" hidden="false" customHeight="true" outlineLevel="0" collapsed="false">
      <c r="A138" s="24" t="n">
        <v>134</v>
      </c>
      <c r="B138" s="25" t="n">
        <v>46067</v>
      </c>
      <c r="C138" s="25" t="n">
        <v>12</v>
      </c>
      <c r="D138" s="26" t="s">
        <v>79</v>
      </c>
      <c r="E138" s="26" t="s">
        <v>80</v>
      </c>
      <c r="F138" s="26" t="s">
        <v>81</v>
      </c>
      <c r="G138" s="26" t="s">
        <v>9</v>
      </c>
      <c r="H138" s="27" t="n">
        <v>0.354166666666667</v>
      </c>
      <c r="I138" s="27" t="n">
        <v>0.854166666666667</v>
      </c>
      <c r="J138" s="26" t="n">
        <f aca="false">IFERROR((I138-H138)*24*60,"")</f>
        <v>720</v>
      </c>
      <c r="K138" s="26" t="s">
        <v>105</v>
      </c>
      <c r="L138" s="26" t="s">
        <v>98</v>
      </c>
      <c r="M138" s="26" t="s">
        <v>84</v>
      </c>
      <c r="N138" s="26" t="s">
        <v>85</v>
      </c>
      <c r="O138" s="26" t="n">
        <v>8</v>
      </c>
      <c r="P138" s="26" t="n">
        <v>26</v>
      </c>
      <c r="Q138" s="26" t="n">
        <f aca="false">IFERROR(3600/(P138/O138),"")</f>
        <v>1107.69230769231</v>
      </c>
      <c r="R138" s="26" t="n">
        <v>9011</v>
      </c>
      <c r="S138" s="26" t="n">
        <v>69</v>
      </c>
      <c r="T138" s="26" t="n">
        <f aca="false">IFERROR(J138-S138,"")</f>
        <v>651</v>
      </c>
      <c r="U138" s="26" t="n">
        <v>6</v>
      </c>
      <c r="V138" s="26"/>
      <c r="W138" s="26"/>
      <c r="X138" s="26"/>
      <c r="Y138" s="26"/>
      <c r="Z138" s="26"/>
      <c r="AA138" s="26"/>
      <c r="AB138" s="26"/>
      <c r="AC138" s="26"/>
      <c r="AD138" s="26"/>
      <c r="AE138" s="26" t="n">
        <v>57</v>
      </c>
      <c r="AF138" s="26" t="n">
        <f aca="false">SUM(U138:AE138)</f>
        <v>63</v>
      </c>
      <c r="AG138" s="26" t="n">
        <f aca="false">T138-AF138</f>
        <v>588</v>
      </c>
      <c r="AH138" s="28" t="n">
        <f aca="false">IFERROR(AG138/T138,"")</f>
        <v>0.903225806451613</v>
      </c>
      <c r="AI138" s="29" t="n">
        <f aca="false">IFERROR(R138/AG138*60,"")</f>
        <v>919.489795918367</v>
      </c>
      <c r="AJ138" s="30" t="n">
        <f aca="false">IFERROR(AI138/Q138,"")</f>
        <v>0.830094954648526</v>
      </c>
      <c r="AK138" s="31" t="n">
        <f aca="false">IFERROR(R138/(T138/60*Q138),"")</f>
        <v>0.74976318484383</v>
      </c>
      <c r="AL138" s="26" t="n">
        <v>6</v>
      </c>
      <c r="AM138" s="26" t="n">
        <v>4</v>
      </c>
      <c r="AN138" s="26" t="n">
        <v>6</v>
      </c>
      <c r="AO138" s="26" t="n">
        <v>2</v>
      </c>
      <c r="AP138" s="26" t="n">
        <v>7</v>
      </c>
      <c r="AQ138" s="26" t="n">
        <v>11</v>
      </c>
      <c r="AR138" s="26" t="n">
        <v>4</v>
      </c>
      <c r="AS138" s="26" t="n">
        <v>5</v>
      </c>
      <c r="AT138" s="26" t="n">
        <v>7</v>
      </c>
      <c r="AU138" s="26" t="n">
        <v>7</v>
      </c>
      <c r="AV138" s="26" t="n">
        <f aca="false">SUM(AL138:AU138)</f>
        <v>59</v>
      </c>
      <c r="AW138" s="32" t="n">
        <f aca="false">IFERROR(AV138/R138*1000000,"")</f>
        <v>6547.55299078904</v>
      </c>
      <c r="AX138" s="33" t="n">
        <f aca="false">IFERROR((R138-AV138)/R138,"")</f>
        <v>0.993452447009211</v>
      </c>
      <c r="AY138" s="34" t="n">
        <f aca="false">IFERROR(AH138*AJ138*AX138,"")</f>
        <v>0.744854070660522</v>
      </c>
      <c r="AZ138" s="35"/>
    </row>
    <row r="139" customFormat="false" ht="12.75" hidden="false" customHeight="true" outlineLevel="0" collapsed="false">
      <c r="A139" s="24" t="n">
        <v>135</v>
      </c>
      <c r="B139" s="25" t="n">
        <v>46067</v>
      </c>
      <c r="C139" s="25" t="n">
        <v>12</v>
      </c>
      <c r="D139" s="26" t="s">
        <v>87</v>
      </c>
      <c r="E139" s="26" t="s">
        <v>88</v>
      </c>
      <c r="F139" s="26" t="s">
        <v>73</v>
      </c>
      <c r="G139" s="26" t="s">
        <v>10</v>
      </c>
      <c r="H139" s="27" t="n">
        <v>0.354166666666667</v>
      </c>
      <c r="I139" s="27" t="n">
        <v>0.854166666666667</v>
      </c>
      <c r="J139" s="26" t="n">
        <f aca="false">IFERROR((I139-H139)*24*60,"")</f>
        <v>720</v>
      </c>
      <c r="K139" s="26" t="s">
        <v>89</v>
      </c>
      <c r="L139" s="26" t="s">
        <v>83</v>
      </c>
      <c r="M139" s="26" t="s">
        <v>91</v>
      </c>
      <c r="N139" s="26" t="s">
        <v>92</v>
      </c>
      <c r="O139" s="26" t="n">
        <v>2</v>
      </c>
      <c r="P139" s="26" t="n">
        <v>47</v>
      </c>
      <c r="Q139" s="26" t="n">
        <f aca="false">IFERROR(3600/(P139/O139),"")</f>
        <v>153.191489361702</v>
      </c>
      <c r="R139" s="26" t="n">
        <v>1358</v>
      </c>
      <c r="S139" s="26" t="n">
        <v>35</v>
      </c>
      <c r="T139" s="26" t="n">
        <f aca="false">IFERROR(J139-S139,"")</f>
        <v>685</v>
      </c>
      <c r="U139" s="26"/>
      <c r="V139" s="26"/>
      <c r="W139" s="26" t="n">
        <v>12</v>
      </c>
      <c r="X139" s="26"/>
      <c r="Y139" s="26"/>
      <c r="Z139" s="26"/>
      <c r="AA139" s="26"/>
      <c r="AB139" s="26"/>
      <c r="AC139" s="26" t="n">
        <v>16</v>
      </c>
      <c r="AD139" s="26"/>
      <c r="AE139" s="26"/>
      <c r="AF139" s="26" t="n">
        <f aca="false">SUM(U139:AE139)</f>
        <v>28</v>
      </c>
      <c r="AG139" s="26" t="n">
        <f aca="false">T139-AF139</f>
        <v>657</v>
      </c>
      <c r="AH139" s="28" t="n">
        <f aca="false">IFERROR(AG139/T139,"")</f>
        <v>0.959124087591241</v>
      </c>
      <c r="AI139" s="29" t="n">
        <f aca="false">IFERROR(R139/AG139*60,"")</f>
        <v>124.018264840183</v>
      </c>
      <c r="AJ139" s="30" t="n">
        <f aca="false">IFERROR(AI139/Q139,"")</f>
        <v>0.809563673262304</v>
      </c>
      <c r="AK139" s="31" t="n">
        <f aca="false">IFERROR(R139/(T139/60*Q139),"")</f>
        <v>0.77647201946472</v>
      </c>
      <c r="AL139" s="26" t="n">
        <v>2</v>
      </c>
      <c r="AM139" s="26" t="n">
        <v>1</v>
      </c>
      <c r="AN139" s="26"/>
      <c r="AO139" s="26" t="n">
        <v>1</v>
      </c>
      <c r="AP139" s="26"/>
      <c r="AQ139" s="26"/>
      <c r="AR139" s="26"/>
      <c r="AS139" s="26" t="n">
        <v>1</v>
      </c>
      <c r="AT139" s="26" t="n">
        <v>1</v>
      </c>
      <c r="AU139" s="26"/>
      <c r="AV139" s="26" t="n">
        <f aca="false">SUM(AL139:AU139)</f>
        <v>6</v>
      </c>
      <c r="AW139" s="32" t="n">
        <f aca="false">IFERROR(AV139/R139*1000000,"")</f>
        <v>4418.26215022091</v>
      </c>
      <c r="AX139" s="33" t="n">
        <f aca="false">IFERROR((R139-AV139)/R139,"")</f>
        <v>0.995581737849779</v>
      </c>
      <c r="AY139" s="34" t="n">
        <f aca="false">IFERROR(AH139*AJ139*AX139,"")</f>
        <v>0.773041362530414</v>
      </c>
      <c r="AZ139" s="35" t="s">
        <v>86</v>
      </c>
    </row>
    <row r="140" customFormat="false" ht="12.75" hidden="false" customHeight="true" outlineLevel="0" collapsed="false">
      <c r="A140" s="24" t="n">
        <v>136</v>
      </c>
      <c r="B140" s="25" t="n">
        <v>46068</v>
      </c>
      <c r="C140" s="25" t="n">
        <v>12</v>
      </c>
      <c r="D140" s="26" t="s">
        <v>71</v>
      </c>
      <c r="E140" s="26" t="s">
        <v>94</v>
      </c>
      <c r="F140" s="26" t="s">
        <v>81</v>
      </c>
      <c r="G140" s="26" t="s">
        <v>11</v>
      </c>
      <c r="H140" s="27" t="n">
        <v>0.354166666666667</v>
      </c>
      <c r="I140" s="27" t="n">
        <v>0.854166666666667</v>
      </c>
      <c r="J140" s="26" t="n">
        <f aca="false">IFERROR((I140-H140)*24*60,"")</f>
        <v>720</v>
      </c>
      <c r="K140" s="26" t="s">
        <v>74</v>
      </c>
      <c r="L140" s="26" t="s">
        <v>98</v>
      </c>
      <c r="M140" s="26" t="s">
        <v>95</v>
      </c>
      <c r="N140" s="26" t="s">
        <v>96</v>
      </c>
      <c r="O140" s="26" t="n">
        <v>4</v>
      </c>
      <c r="P140" s="26" t="n">
        <v>73</v>
      </c>
      <c r="Q140" s="26" t="n">
        <f aca="false">IFERROR(3600/(P140/O140),"")</f>
        <v>197.260273972603</v>
      </c>
      <c r="R140" s="26" t="n">
        <v>1627</v>
      </c>
      <c r="S140" s="26" t="n">
        <v>51</v>
      </c>
      <c r="T140" s="26" t="n">
        <f aca="false">IFERROR(J140-S140,"")</f>
        <v>669</v>
      </c>
      <c r="U140" s="26"/>
      <c r="V140" s="26"/>
      <c r="W140" s="26"/>
      <c r="X140" s="26" t="n">
        <v>11</v>
      </c>
      <c r="Y140" s="26"/>
      <c r="Z140" s="26"/>
      <c r="AA140" s="26"/>
      <c r="AB140" s="26"/>
      <c r="AC140" s="26"/>
      <c r="AD140" s="26"/>
      <c r="AE140" s="26"/>
      <c r="AF140" s="26" t="n">
        <f aca="false">SUM(U140:AE140)</f>
        <v>11</v>
      </c>
      <c r="AG140" s="26" t="n">
        <f aca="false">T140-AF140</f>
        <v>658</v>
      </c>
      <c r="AH140" s="28" t="n">
        <f aca="false">IFERROR(AG140/T140,"")</f>
        <v>0.98355754857997</v>
      </c>
      <c r="AI140" s="29" t="n">
        <f aca="false">IFERROR(R140/AG140*60,"")</f>
        <v>148.358662613982</v>
      </c>
      <c r="AJ140" s="30" t="n">
        <f aca="false">IFERROR(AI140/Q140,"")</f>
        <v>0.752095997973658</v>
      </c>
      <c r="AK140" s="31" t="n">
        <f aca="false">IFERROR(R140/(T140/60*Q140),"")</f>
        <v>0.739729696063777</v>
      </c>
      <c r="AL140" s="26" t="n">
        <v>4</v>
      </c>
      <c r="AM140" s="26" t="n">
        <v>4</v>
      </c>
      <c r="AN140" s="26" t="n">
        <v>1</v>
      </c>
      <c r="AO140" s="26" t="n">
        <v>3</v>
      </c>
      <c r="AP140" s="26" t="n">
        <v>6</v>
      </c>
      <c r="AQ140" s="26" t="n">
        <v>3</v>
      </c>
      <c r="AR140" s="26" t="n">
        <v>1</v>
      </c>
      <c r="AS140" s="26" t="n">
        <v>3</v>
      </c>
      <c r="AT140" s="26" t="n">
        <v>3</v>
      </c>
      <c r="AU140" s="26" t="n">
        <v>2</v>
      </c>
      <c r="AV140" s="26" t="n">
        <f aca="false">SUM(AL140:AU140)</f>
        <v>30</v>
      </c>
      <c r="AW140" s="32" t="n">
        <f aca="false">IFERROR(AV140/R140*1000000,"")</f>
        <v>18438.8444990781</v>
      </c>
      <c r="AX140" s="33" t="n">
        <f aca="false">IFERROR((R140-AV140)/R140,"")</f>
        <v>0.981561155500922</v>
      </c>
      <c r="AY140" s="34" t="n">
        <f aca="false">IFERROR(AH140*AJ140*AX140,"")</f>
        <v>0.726089935226707</v>
      </c>
      <c r="AZ140" s="35" t="s">
        <v>78</v>
      </c>
    </row>
    <row r="141" customFormat="false" ht="12.75" hidden="false" customHeight="true" outlineLevel="0" collapsed="false">
      <c r="A141" s="24" t="n">
        <v>137</v>
      </c>
      <c r="B141" s="25" t="n">
        <v>46068</v>
      </c>
      <c r="C141" s="25" t="n">
        <v>12</v>
      </c>
      <c r="D141" s="26" t="s">
        <v>79</v>
      </c>
      <c r="E141" s="26" t="s">
        <v>97</v>
      </c>
      <c r="F141" s="26" t="s">
        <v>73</v>
      </c>
      <c r="G141" s="26" t="s">
        <v>12</v>
      </c>
      <c r="H141" s="27" t="n">
        <v>0.354166666666667</v>
      </c>
      <c r="I141" s="27" t="n">
        <v>0.854166666666667</v>
      </c>
      <c r="J141" s="26" t="n">
        <f aca="false">IFERROR((I141-H141)*24*60,"")</f>
        <v>720</v>
      </c>
      <c r="K141" s="26" t="s">
        <v>105</v>
      </c>
      <c r="L141" s="26" t="s">
        <v>83</v>
      </c>
      <c r="M141" s="26" t="s">
        <v>99</v>
      </c>
      <c r="N141" s="26" t="s">
        <v>100</v>
      </c>
      <c r="O141" s="26" t="n">
        <v>1</v>
      </c>
      <c r="P141" s="26" t="n">
        <v>37</v>
      </c>
      <c r="Q141" s="26" t="n">
        <f aca="false">IFERROR(3600/(P141/O141),"")</f>
        <v>97.2972972972973</v>
      </c>
      <c r="R141" s="26" t="n">
        <v>896</v>
      </c>
      <c r="S141" s="26" t="n">
        <v>30</v>
      </c>
      <c r="T141" s="26" t="n">
        <f aca="false">IFERROR(J141-S141,"")</f>
        <v>690</v>
      </c>
      <c r="U141" s="26"/>
      <c r="V141" s="26"/>
      <c r="W141" s="26"/>
      <c r="X141" s="26"/>
      <c r="Y141" s="26" t="n">
        <v>30</v>
      </c>
      <c r="Z141" s="26"/>
      <c r="AA141" s="26"/>
      <c r="AB141" s="26"/>
      <c r="AC141" s="26"/>
      <c r="AD141" s="26" t="n">
        <v>45</v>
      </c>
      <c r="AE141" s="26"/>
      <c r="AF141" s="26" t="n">
        <f aca="false">SUM(U141:AE141)</f>
        <v>75</v>
      </c>
      <c r="AG141" s="26" t="n">
        <f aca="false">T141-AF141</f>
        <v>615</v>
      </c>
      <c r="AH141" s="28" t="n">
        <f aca="false">IFERROR(AG141/T141,"")</f>
        <v>0.891304347826087</v>
      </c>
      <c r="AI141" s="29" t="n">
        <f aca="false">IFERROR(R141/AG141*60,"")</f>
        <v>87.4146341463415</v>
      </c>
      <c r="AJ141" s="30" t="n">
        <f aca="false">IFERROR(AI141/Q141,"")</f>
        <v>0.898428184281843</v>
      </c>
      <c r="AK141" s="31" t="n">
        <f aca="false">IFERROR(R141/(T141/60*Q141),"")</f>
        <v>0.800772946859904</v>
      </c>
      <c r="AL141" s="26"/>
      <c r="AM141" s="26" t="n">
        <v>1</v>
      </c>
      <c r="AN141" s="26"/>
      <c r="AO141" s="26"/>
      <c r="AP141" s="26" t="n">
        <v>1</v>
      </c>
      <c r="AQ141" s="26" t="n">
        <v>1</v>
      </c>
      <c r="AR141" s="26"/>
      <c r="AS141" s="26" t="n">
        <v>1</v>
      </c>
      <c r="AT141" s="26" t="n">
        <v>1</v>
      </c>
      <c r="AU141" s="26" t="n">
        <v>1</v>
      </c>
      <c r="AV141" s="26" t="n">
        <f aca="false">SUM(AL141:AU141)</f>
        <v>6</v>
      </c>
      <c r="AW141" s="32" t="n">
        <f aca="false">IFERROR(AV141/R141*1000000,"")</f>
        <v>6696.42857142857</v>
      </c>
      <c r="AX141" s="33" t="n">
        <f aca="false">IFERROR((R141-AV141)/R141,"")</f>
        <v>0.993303571428571</v>
      </c>
      <c r="AY141" s="34" t="n">
        <f aca="false">IFERROR(AH141*AJ141*AX141,"")</f>
        <v>0.795410628019324</v>
      </c>
      <c r="AZ141" s="35" t="s">
        <v>78</v>
      </c>
    </row>
    <row r="142" customFormat="false" ht="12.75" hidden="false" customHeight="true" outlineLevel="0" collapsed="false">
      <c r="A142" s="24" t="n">
        <v>138</v>
      </c>
      <c r="B142" s="25" t="n">
        <v>46068</v>
      </c>
      <c r="C142" s="25" t="n">
        <v>12</v>
      </c>
      <c r="D142" s="26" t="s">
        <v>87</v>
      </c>
      <c r="E142" s="26" t="s">
        <v>101</v>
      </c>
      <c r="F142" s="26" t="s">
        <v>81</v>
      </c>
      <c r="G142" s="26" t="s">
        <v>13</v>
      </c>
      <c r="H142" s="27" t="n">
        <v>0.354166666666667</v>
      </c>
      <c r="I142" s="27" t="n">
        <v>0.854166666666667</v>
      </c>
      <c r="J142" s="26" t="n">
        <f aca="false">IFERROR((I142-H142)*24*60,"")</f>
        <v>720</v>
      </c>
      <c r="K142" s="26" t="s">
        <v>105</v>
      </c>
      <c r="L142" s="26" t="s">
        <v>102</v>
      </c>
      <c r="M142" s="26" t="s">
        <v>103</v>
      </c>
      <c r="N142" s="26" t="s">
        <v>104</v>
      </c>
      <c r="O142" s="26" t="n">
        <v>1</v>
      </c>
      <c r="P142" s="26" t="n">
        <v>48</v>
      </c>
      <c r="Q142" s="26" t="n">
        <f aca="false">IFERROR(3600/(P142/O142),"")</f>
        <v>75</v>
      </c>
      <c r="R142" s="26" t="n">
        <v>593</v>
      </c>
      <c r="S142" s="26" t="n">
        <v>60</v>
      </c>
      <c r="T142" s="26" t="n">
        <f aca="false">IFERROR(J142-S142,"")</f>
        <v>660</v>
      </c>
      <c r="U142" s="26"/>
      <c r="V142" s="26"/>
      <c r="W142" s="26" t="n">
        <v>6</v>
      </c>
      <c r="X142" s="26"/>
      <c r="Y142" s="26"/>
      <c r="Z142" s="26"/>
      <c r="AA142" s="26"/>
      <c r="AB142" s="26"/>
      <c r="AC142" s="26"/>
      <c r="AD142" s="26" t="n">
        <v>5</v>
      </c>
      <c r="AE142" s="26"/>
      <c r="AF142" s="26" t="n">
        <f aca="false">SUM(U142:AE142)</f>
        <v>11</v>
      </c>
      <c r="AG142" s="26" t="n">
        <f aca="false">T142-AF142</f>
        <v>649</v>
      </c>
      <c r="AH142" s="28" t="n">
        <f aca="false">IFERROR(AG142/T142,"")</f>
        <v>0.983333333333333</v>
      </c>
      <c r="AI142" s="29" t="n">
        <f aca="false">IFERROR(R142/AG142*60,"")</f>
        <v>54.8228043143297</v>
      </c>
      <c r="AJ142" s="30" t="n">
        <f aca="false">IFERROR(AI142/Q142,"")</f>
        <v>0.730970724191063</v>
      </c>
      <c r="AK142" s="31" t="n">
        <f aca="false">IFERROR(R142/(T142/60*Q142),"")</f>
        <v>0.718787878787879</v>
      </c>
      <c r="AL142" s="26"/>
      <c r="AM142" s="26" t="n">
        <v>2</v>
      </c>
      <c r="AN142" s="26" t="n">
        <v>1</v>
      </c>
      <c r="AO142" s="26" t="n">
        <v>1</v>
      </c>
      <c r="AP142" s="26" t="n">
        <v>1</v>
      </c>
      <c r="AQ142" s="26" t="n">
        <v>2</v>
      </c>
      <c r="AR142" s="26"/>
      <c r="AS142" s="26" t="n">
        <v>3</v>
      </c>
      <c r="AT142" s="26" t="n">
        <v>1</v>
      </c>
      <c r="AU142" s="26" t="n">
        <v>2</v>
      </c>
      <c r="AV142" s="26" t="n">
        <f aca="false">SUM(AL142:AU142)</f>
        <v>13</v>
      </c>
      <c r="AW142" s="32" t="n">
        <f aca="false">IFERROR(AV142/R142*1000000,"")</f>
        <v>21922.4283305228</v>
      </c>
      <c r="AX142" s="33" t="n">
        <f aca="false">IFERROR((R142-AV142)/R142,"")</f>
        <v>0.978077571669477</v>
      </c>
      <c r="AY142" s="34" t="n">
        <f aca="false">IFERROR(AH142*AJ142*AX142,"")</f>
        <v>0.703030303030303</v>
      </c>
      <c r="AZ142" s="35" t="s">
        <v>93</v>
      </c>
    </row>
    <row r="143" customFormat="false" ht="12.75" hidden="false" customHeight="true" outlineLevel="0" collapsed="false">
      <c r="A143" s="24" t="n">
        <v>139</v>
      </c>
      <c r="B143" s="25" t="n">
        <v>46069</v>
      </c>
      <c r="C143" s="25" t="n">
        <v>12</v>
      </c>
      <c r="D143" s="26" t="s">
        <v>71</v>
      </c>
      <c r="E143" s="26" t="s">
        <v>72</v>
      </c>
      <c r="F143" s="26" t="s">
        <v>73</v>
      </c>
      <c r="G143" s="26" t="s">
        <v>8</v>
      </c>
      <c r="H143" s="27" t="n">
        <v>0.354166666666667</v>
      </c>
      <c r="I143" s="27" t="n">
        <v>0.854166666666667</v>
      </c>
      <c r="J143" s="26" t="n">
        <f aca="false">IFERROR((I143-H143)*24*60,"")</f>
        <v>720</v>
      </c>
      <c r="K143" s="26" t="s">
        <v>89</v>
      </c>
      <c r="L143" s="26" t="s">
        <v>75</v>
      </c>
      <c r="M143" s="26" t="s">
        <v>76</v>
      </c>
      <c r="N143" s="26" t="s">
        <v>77</v>
      </c>
      <c r="O143" s="26" t="n">
        <v>8</v>
      </c>
      <c r="P143" s="26" t="n">
        <v>38</v>
      </c>
      <c r="Q143" s="26" t="n">
        <f aca="false">IFERROR(3600/(P143/O143),"")</f>
        <v>757.894736842105</v>
      </c>
      <c r="R143" s="26" t="n">
        <v>7539</v>
      </c>
      <c r="S143" s="26" t="n">
        <v>73</v>
      </c>
      <c r="T143" s="26" t="n">
        <f aca="false">IFERROR(J143-S143,"")</f>
        <v>647</v>
      </c>
      <c r="U143" s="26"/>
      <c r="V143" s="26"/>
      <c r="W143" s="26"/>
      <c r="X143" s="26"/>
      <c r="Y143" s="26"/>
      <c r="Z143" s="26" t="n">
        <v>19</v>
      </c>
      <c r="AA143" s="26"/>
      <c r="AB143" s="26"/>
      <c r="AC143" s="26"/>
      <c r="AD143" s="26"/>
      <c r="AE143" s="26"/>
      <c r="AF143" s="26" t="n">
        <f aca="false">SUM(U143:AE143)</f>
        <v>19</v>
      </c>
      <c r="AG143" s="26" t="n">
        <f aca="false">T143-AF143</f>
        <v>628</v>
      </c>
      <c r="AH143" s="28" t="n">
        <f aca="false">IFERROR(AG143/T143,"")</f>
        <v>0.970633693972179</v>
      </c>
      <c r="AI143" s="29" t="n">
        <f aca="false">IFERROR(R143/AG143*60,"")</f>
        <v>720.286624203822</v>
      </c>
      <c r="AJ143" s="30" t="n">
        <f aca="false">IFERROR(AI143/Q143,"")</f>
        <v>0.950378184713376</v>
      </c>
      <c r="AK143" s="31" t="n">
        <f aca="false">IFERROR(R143/(T143/60*Q143),"")</f>
        <v>0.922469088098918</v>
      </c>
      <c r="AL143" s="26" t="n">
        <v>3</v>
      </c>
      <c r="AM143" s="26" t="n">
        <v>12</v>
      </c>
      <c r="AN143" s="26" t="n">
        <v>8</v>
      </c>
      <c r="AO143" s="26" t="n">
        <v>5</v>
      </c>
      <c r="AP143" s="26" t="n">
        <v>4</v>
      </c>
      <c r="AQ143" s="26" t="n">
        <v>9</v>
      </c>
      <c r="AR143" s="26" t="n">
        <v>9</v>
      </c>
      <c r="AS143" s="26" t="n">
        <v>12</v>
      </c>
      <c r="AT143" s="26" t="n">
        <v>7</v>
      </c>
      <c r="AU143" s="26" t="n">
        <v>14</v>
      </c>
      <c r="AV143" s="26" t="n">
        <f aca="false">SUM(AL143:AU143)</f>
        <v>83</v>
      </c>
      <c r="AW143" s="32" t="n">
        <f aca="false">IFERROR(AV143/R143*1000000,"")</f>
        <v>11009.4176946545</v>
      </c>
      <c r="AX143" s="33" t="n">
        <f aca="false">IFERROR((R143-AV143)/R143,"")</f>
        <v>0.988990582305346</v>
      </c>
      <c r="AY143" s="34" t="n">
        <f aca="false">IFERROR(AH143*AJ143*AX143,"")</f>
        <v>0.91231324059763</v>
      </c>
      <c r="AZ143" s="35" t="s">
        <v>86</v>
      </c>
    </row>
    <row r="144" customFormat="false" ht="12.75" hidden="false" customHeight="true" outlineLevel="0" collapsed="false">
      <c r="A144" s="24" t="n">
        <v>140</v>
      </c>
      <c r="B144" s="25" t="n">
        <v>46069</v>
      </c>
      <c r="C144" s="25" t="n">
        <v>12</v>
      </c>
      <c r="D144" s="26" t="s">
        <v>79</v>
      </c>
      <c r="E144" s="26" t="s">
        <v>80</v>
      </c>
      <c r="F144" s="26" t="s">
        <v>81</v>
      </c>
      <c r="G144" s="26" t="s">
        <v>9</v>
      </c>
      <c r="H144" s="27" t="n">
        <v>0.354166666666667</v>
      </c>
      <c r="I144" s="27" t="n">
        <v>0.854166666666667</v>
      </c>
      <c r="J144" s="26" t="n">
        <f aca="false">IFERROR((I144-H144)*24*60,"")</f>
        <v>720</v>
      </c>
      <c r="K144" s="26" t="s">
        <v>82</v>
      </c>
      <c r="L144" s="26" t="s">
        <v>90</v>
      </c>
      <c r="M144" s="26" t="s">
        <v>84</v>
      </c>
      <c r="N144" s="26" t="s">
        <v>85</v>
      </c>
      <c r="O144" s="26" t="n">
        <v>4</v>
      </c>
      <c r="P144" s="26" t="n">
        <v>60</v>
      </c>
      <c r="Q144" s="26" t="n">
        <f aca="false">IFERROR(3600/(P144/O144),"")</f>
        <v>240</v>
      </c>
      <c r="R144" s="26" t="n">
        <v>2345</v>
      </c>
      <c r="S144" s="26" t="n">
        <v>73</v>
      </c>
      <c r="T144" s="26" t="n">
        <f aca="false">IFERROR(J144-S144,"")</f>
        <v>647</v>
      </c>
      <c r="U144" s="26"/>
      <c r="V144" s="26" t="n">
        <v>14</v>
      </c>
      <c r="W144" s="26"/>
      <c r="X144" s="26"/>
      <c r="Y144" s="26"/>
      <c r="Z144" s="26"/>
      <c r="AA144" s="26" t="n">
        <v>12</v>
      </c>
      <c r="AB144" s="26"/>
      <c r="AC144" s="26"/>
      <c r="AD144" s="26" t="n">
        <v>24</v>
      </c>
      <c r="AE144" s="26"/>
      <c r="AF144" s="26" t="n">
        <f aca="false">SUM(U144:AE144)</f>
        <v>50</v>
      </c>
      <c r="AG144" s="26" t="n">
        <f aca="false">T144-AF144</f>
        <v>597</v>
      </c>
      <c r="AH144" s="28" t="n">
        <f aca="false">IFERROR(AG144/T144,"")</f>
        <v>0.922720247295209</v>
      </c>
      <c r="AI144" s="29" t="n">
        <f aca="false">IFERROR(R144/AG144*60,"")</f>
        <v>235.678391959799</v>
      </c>
      <c r="AJ144" s="30" t="n">
        <f aca="false">IFERROR(AI144/Q144,"")</f>
        <v>0.981993299832496</v>
      </c>
      <c r="AK144" s="31" t="n">
        <f aca="false">IFERROR(R144/(T144/60*Q144),"")</f>
        <v>0.906105100463679</v>
      </c>
      <c r="AL144" s="26" t="n">
        <v>1</v>
      </c>
      <c r="AM144" s="26"/>
      <c r="AN144" s="26" t="n">
        <v>1</v>
      </c>
      <c r="AO144" s="26"/>
      <c r="AP144" s="26" t="n">
        <v>1</v>
      </c>
      <c r="AQ144" s="26"/>
      <c r="AR144" s="26" t="n">
        <v>1</v>
      </c>
      <c r="AS144" s="26"/>
      <c r="AT144" s="26" t="n">
        <v>1</v>
      </c>
      <c r="AU144" s="26"/>
      <c r="AV144" s="26" t="n">
        <f aca="false">SUM(AL144:AU144)</f>
        <v>5</v>
      </c>
      <c r="AW144" s="32" t="n">
        <f aca="false">IFERROR(AV144/R144*1000000,"")</f>
        <v>2132.19616204691</v>
      </c>
      <c r="AX144" s="33" t="n">
        <f aca="false">IFERROR((R144-AV144)/R144,"")</f>
        <v>0.997867803837953</v>
      </c>
      <c r="AY144" s="34" t="n">
        <f aca="false">IFERROR(AH144*AJ144*AX144,"")</f>
        <v>0.904173106646059</v>
      </c>
      <c r="AZ144" s="35" t="s">
        <v>78</v>
      </c>
    </row>
    <row r="145" customFormat="false" ht="12.75" hidden="false" customHeight="true" outlineLevel="0" collapsed="false">
      <c r="A145" s="24" t="n">
        <v>141</v>
      </c>
      <c r="B145" s="25" t="n">
        <v>46069</v>
      </c>
      <c r="C145" s="25" t="n">
        <v>12</v>
      </c>
      <c r="D145" s="26" t="s">
        <v>87</v>
      </c>
      <c r="E145" s="26" t="s">
        <v>88</v>
      </c>
      <c r="F145" s="26" t="s">
        <v>73</v>
      </c>
      <c r="G145" s="26" t="s">
        <v>10</v>
      </c>
      <c r="H145" s="27" t="n">
        <v>0.354166666666667</v>
      </c>
      <c r="I145" s="27" t="n">
        <v>0.854166666666667</v>
      </c>
      <c r="J145" s="26" t="n">
        <f aca="false">IFERROR((I145-H145)*24*60,"")</f>
        <v>720</v>
      </c>
      <c r="K145" s="26" t="s">
        <v>74</v>
      </c>
      <c r="L145" s="26" t="s">
        <v>75</v>
      </c>
      <c r="M145" s="26" t="s">
        <v>91</v>
      </c>
      <c r="N145" s="26" t="s">
        <v>92</v>
      </c>
      <c r="O145" s="26" t="n">
        <v>1</v>
      </c>
      <c r="P145" s="26" t="n">
        <v>42</v>
      </c>
      <c r="Q145" s="26" t="n">
        <f aca="false">IFERROR(3600/(P145/O145),"")</f>
        <v>85.7142857142857</v>
      </c>
      <c r="R145" s="26" t="n">
        <v>847</v>
      </c>
      <c r="S145" s="26" t="n">
        <v>75</v>
      </c>
      <c r="T145" s="26" t="n">
        <f aca="false">IFERROR(J145-S145,"")</f>
        <v>645</v>
      </c>
      <c r="U145" s="26"/>
      <c r="V145" s="26"/>
      <c r="W145" s="26"/>
      <c r="X145" s="26"/>
      <c r="Y145" s="26"/>
      <c r="Z145" s="26"/>
      <c r="AA145" s="26"/>
      <c r="AB145" s="26"/>
      <c r="AC145" s="26"/>
      <c r="AD145" s="26" t="n">
        <v>16</v>
      </c>
      <c r="AE145" s="26"/>
      <c r="AF145" s="26" t="n">
        <f aca="false">SUM(U145:AE145)</f>
        <v>16</v>
      </c>
      <c r="AG145" s="26" t="n">
        <f aca="false">T145-AF145</f>
        <v>629</v>
      </c>
      <c r="AH145" s="28" t="n">
        <f aca="false">IFERROR(AG145/T145,"")</f>
        <v>0.975193798449612</v>
      </c>
      <c r="AI145" s="29" t="n">
        <f aca="false">IFERROR(R145/AG145*60,"")</f>
        <v>80.7949125596184</v>
      </c>
      <c r="AJ145" s="30" t="n">
        <f aca="false">IFERROR(AI145/Q145,"")</f>
        <v>0.942607313195549</v>
      </c>
      <c r="AK145" s="31" t="n">
        <f aca="false">IFERROR(R145/(T145/60*Q145),"")</f>
        <v>0.91922480620155</v>
      </c>
      <c r="AL145" s="26"/>
      <c r="AM145" s="26"/>
      <c r="AN145" s="26" t="n">
        <v>1</v>
      </c>
      <c r="AO145" s="26" t="n">
        <v>1</v>
      </c>
      <c r="AP145" s="26"/>
      <c r="AQ145" s="26" t="n">
        <v>1</v>
      </c>
      <c r="AR145" s="26" t="n">
        <v>4</v>
      </c>
      <c r="AS145" s="26" t="n">
        <v>1</v>
      </c>
      <c r="AT145" s="26" t="n">
        <v>1</v>
      </c>
      <c r="AU145" s="26"/>
      <c r="AV145" s="26" t="n">
        <f aca="false">SUM(AL145:AU145)</f>
        <v>9</v>
      </c>
      <c r="AW145" s="32" t="n">
        <f aca="false">IFERROR(AV145/R145*1000000,"")</f>
        <v>10625.7378984652</v>
      </c>
      <c r="AX145" s="33" t="n">
        <f aca="false">IFERROR((R145-AV145)/R145,"")</f>
        <v>0.989374262101535</v>
      </c>
      <c r="AY145" s="34" t="n">
        <f aca="false">IFERROR(AH145*AJ145*AX145,"")</f>
        <v>0.909457364341085</v>
      </c>
      <c r="AZ145" s="35"/>
    </row>
    <row r="146" customFormat="false" ht="12.75" hidden="false" customHeight="true" outlineLevel="0" collapsed="false">
      <c r="A146" s="24" t="n">
        <v>142</v>
      </c>
      <c r="B146" s="25" t="n">
        <v>46070</v>
      </c>
      <c r="C146" s="25" t="n">
        <v>12</v>
      </c>
      <c r="D146" s="26" t="s">
        <v>71</v>
      </c>
      <c r="E146" s="26" t="s">
        <v>94</v>
      </c>
      <c r="F146" s="26" t="s">
        <v>81</v>
      </c>
      <c r="G146" s="26" t="s">
        <v>11</v>
      </c>
      <c r="H146" s="27" t="n">
        <v>0.354166666666667</v>
      </c>
      <c r="I146" s="27" t="n">
        <v>0.854166666666667</v>
      </c>
      <c r="J146" s="26" t="n">
        <f aca="false">IFERROR((I146-H146)*24*60,"")</f>
        <v>720</v>
      </c>
      <c r="K146" s="26" t="s">
        <v>74</v>
      </c>
      <c r="L146" s="26" t="s">
        <v>108</v>
      </c>
      <c r="M146" s="26" t="s">
        <v>95</v>
      </c>
      <c r="N146" s="26" t="s">
        <v>96</v>
      </c>
      <c r="O146" s="26" t="n">
        <v>2</v>
      </c>
      <c r="P146" s="26" t="n">
        <v>42</v>
      </c>
      <c r="Q146" s="26" t="n">
        <f aca="false">IFERROR(3600/(P146/O146),"")</f>
        <v>171.428571428571</v>
      </c>
      <c r="R146" s="26" t="n">
        <v>1810</v>
      </c>
      <c r="S146" s="26" t="n">
        <v>53</v>
      </c>
      <c r="T146" s="26" t="n">
        <f aca="false">IFERROR(J146-S146,"")</f>
        <v>667</v>
      </c>
      <c r="U146" s="26"/>
      <c r="V146" s="26" t="n">
        <v>3</v>
      </c>
      <c r="W146" s="26" t="n">
        <v>7</v>
      </c>
      <c r="X146" s="26"/>
      <c r="Y146" s="26"/>
      <c r="Z146" s="26"/>
      <c r="AA146" s="26"/>
      <c r="AB146" s="26"/>
      <c r="AC146" s="26"/>
      <c r="AD146" s="26"/>
      <c r="AE146" s="26" t="n">
        <v>53</v>
      </c>
      <c r="AF146" s="26" t="n">
        <f aca="false">SUM(U146:AE146)</f>
        <v>63</v>
      </c>
      <c r="AG146" s="26" t="n">
        <f aca="false">T146-AF146</f>
        <v>604</v>
      </c>
      <c r="AH146" s="28" t="n">
        <f aca="false">IFERROR(AG146/T146,"")</f>
        <v>0.905547226386807</v>
      </c>
      <c r="AI146" s="29" t="n">
        <f aca="false">IFERROR(R146/AG146*60,"")</f>
        <v>179.801324503311</v>
      </c>
      <c r="AJ146" s="30" t="n">
        <f aca="false">IFERROR(AI146/Q146,"")</f>
        <v>1.04884105960265</v>
      </c>
      <c r="AK146" s="31" t="n">
        <f aca="false">IFERROR(R146/(T146/60*Q146),"")</f>
        <v>0.949775112443778</v>
      </c>
      <c r="AL146" s="26"/>
      <c r="AM146" s="26" t="n">
        <v>1</v>
      </c>
      <c r="AN146" s="26" t="n">
        <v>1</v>
      </c>
      <c r="AO146" s="26"/>
      <c r="AP146" s="26"/>
      <c r="AQ146" s="26"/>
      <c r="AR146" s="26" t="n">
        <v>1</v>
      </c>
      <c r="AS146" s="26" t="n">
        <v>1</v>
      </c>
      <c r="AT146" s="26"/>
      <c r="AU146" s="26"/>
      <c r="AV146" s="26" t="n">
        <f aca="false">SUM(AL146:AU146)</f>
        <v>4</v>
      </c>
      <c r="AW146" s="32" t="n">
        <f aca="false">IFERROR(AV146/R146*1000000,"")</f>
        <v>2209.94475138122</v>
      </c>
      <c r="AX146" s="33" t="n">
        <f aca="false">IFERROR((R146-AV146)/R146,"")</f>
        <v>0.997790055248619</v>
      </c>
      <c r="AY146" s="34" t="n">
        <f aca="false">IFERROR(AH146*AJ146*AX146,"")</f>
        <v>0.947676161919041</v>
      </c>
      <c r="AZ146" s="35"/>
    </row>
    <row r="147" customFormat="false" ht="12.75" hidden="false" customHeight="true" outlineLevel="0" collapsed="false">
      <c r="A147" s="24" t="n">
        <v>143</v>
      </c>
      <c r="B147" s="25" t="n">
        <v>46070</v>
      </c>
      <c r="C147" s="25" t="n">
        <v>12</v>
      </c>
      <c r="D147" s="26" t="s">
        <v>79</v>
      </c>
      <c r="E147" s="26" t="s">
        <v>97</v>
      </c>
      <c r="F147" s="26" t="s">
        <v>73</v>
      </c>
      <c r="G147" s="26" t="s">
        <v>12</v>
      </c>
      <c r="H147" s="27" t="n">
        <v>0.354166666666667</v>
      </c>
      <c r="I147" s="27" t="n">
        <v>0.854166666666667</v>
      </c>
      <c r="J147" s="26" t="n">
        <f aca="false">IFERROR((I147-H147)*24*60,"")</f>
        <v>720</v>
      </c>
      <c r="K147" s="26" t="s">
        <v>89</v>
      </c>
      <c r="L147" s="26" t="s">
        <v>106</v>
      </c>
      <c r="M147" s="26" t="s">
        <v>99</v>
      </c>
      <c r="N147" s="26" t="s">
        <v>100</v>
      </c>
      <c r="O147" s="26" t="n">
        <v>2</v>
      </c>
      <c r="P147" s="26" t="n">
        <v>53</v>
      </c>
      <c r="Q147" s="26" t="n">
        <f aca="false">IFERROR(3600/(P147/O147),"")</f>
        <v>135.849056603774</v>
      </c>
      <c r="R147" s="26" t="n">
        <v>1170</v>
      </c>
      <c r="S147" s="26" t="n">
        <v>74</v>
      </c>
      <c r="T147" s="26" t="n">
        <f aca="false">IFERROR(J147-S147,"")</f>
        <v>646</v>
      </c>
      <c r="U147" s="26"/>
      <c r="V147" s="26"/>
      <c r="W147" s="26"/>
      <c r="X147" s="26" t="n">
        <v>26</v>
      </c>
      <c r="Y147" s="26"/>
      <c r="Z147" s="26" t="n">
        <v>9</v>
      </c>
      <c r="AA147" s="26"/>
      <c r="AB147" s="26" t="n">
        <v>29</v>
      </c>
      <c r="AC147" s="26"/>
      <c r="AD147" s="26"/>
      <c r="AE147" s="26"/>
      <c r="AF147" s="26" t="n">
        <f aca="false">SUM(U147:AE147)</f>
        <v>64</v>
      </c>
      <c r="AG147" s="26" t="n">
        <f aca="false">T147-AF147</f>
        <v>582</v>
      </c>
      <c r="AH147" s="28" t="n">
        <f aca="false">IFERROR(AG147/T147,"")</f>
        <v>0.900928792569659</v>
      </c>
      <c r="AI147" s="29" t="n">
        <f aca="false">IFERROR(R147/AG147*60,"")</f>
        <v>120.618556701031</v>
      </c>
      <c r="AJ147" s="30" t="n">
        <f aca="false">IFERROR(AI147/Q147,"")</f>
        <v>0.887886597938144</v>
      </c>
      <c r="AK147" s="31" t="n">
        <f aca="false">IFERROR(R147/(T147/60*Q147),"")</f>
        <v>0.799922600619195</v>
      </c>
      <c r="AL147" s="26" t="n">
        <v>1</v>
      </c>
      <c r="AM147" s="26"/>
      <c r="AN147" s="26"/>
      <c r="AO147" s="26" t="n">
        <v>1</v>
      </c>
      <c r="AP147" s="26" t="n">
        <v>1</v>
      </c>
      <c r="AQ147" s="26"/>
      <c r="AR147" s="26"/>
      <c r="AS147" s="26" t="n">
        <v>1</v>
      </c>
      <c r="AT147" s="26" t="n">
        <v>1</v>
      </c>
      <c r="AU147" s="26" t="n">
        <v>2</v>
      </c>
      <c r="AV147" s="26" t="n">
        <f aca="false">SUM(AL147:AU147)</f>
        <v>7</v>
      </c>
      <c r="AW147" s="32" t="n">
        <f aca="false">IFERROR(AV147/R147*1000000,"")</f>
        <v>5982.90598290598</v>
      </c>
      <c r="AX147" s="33" t="n">
        <f aca="false">IFERROR((R147-AV147)/R147,"")</f>
        <v>0.994017094017094</v>
      </c>
      <c r="AY147" s="34" t="n">
        <f aca="false">IFERROR(AH147*AJ147*AX147,"")</f>
        <v>0.795136738906089</v>
      </c>
      <c r="AZ147" s="35" t="s">
        <v>78</v>
      </c>
    </row>
    <row r="148" customFormat="false" ht="12.75" hidden="false" customHeight="true" outlineLevel="0" collapsed="false">
      <c r="A148" s="24" t="n">
        <v>144</v>
      </c>
      <c r="B148" s="25" t="n">
        <v>46070</v>
      </c>
      <c r="C148" s="25" t="n">
        <v>12</v>
      </c>
      <c r="D148" s="26" t="s">
        <v>87</v>
      </c>
      <c r="E148" s="26" t="s">
        <v>101</v>
      </c>
      <c r="F148" s="26" t="s">
        <v>81</v>
      </c>
      <c r="G148" s="26" t="s">
        <v>13</v>
      </c>
      <c r="H148" s="27" t="n">
        <v>0.354166666666667</v>
      </c>
      <c r="I148" s="27" t="n">
        <v>0.854166666666667</v>
      </c>
      <c r="J148" s="26" t="n">
        <f aca="false">IFERROR((I148-H148)*24*60,"")</f>
        <v>720</v>
      </c>
      <c r="K148" s="26" t="s">
        <v>74</v>
      </c>
      <c r="L148" s="26" t="s">
        <v>83</v>
      </c>
      <c r="M148" s="26" t="s">
        <v>103</v>
      </c>
      <c r="N148" s="26" t="s">
        <v>104</v>
      </c>
      <c r="O148" s="26" t="n">
        <v>4</v>
      </c>
      <c r="P148" s="26" t="n">
        <v>31</v>
      </c>
      <c r="Q148" s="26" t="n">
        <f aca="false">IFERROR(3600/(P148/O148),"")</f>
        <v>464.516129032258</v>
      </c>
      <c r="R148" s="26" t="n">
        <v>4353</v>
      </c>
      <c r="S148" s="26" t="n">
        <v>32</v>
      </c>
      <c r="T148" s="26" t="n">
        <f aca="false">IFERROR(J148-S148,"")</f>
        <v>688</v>
      </c>
      <c r="U148" s="26"/>
      <c r="V148" s="26"/>
      <c r="W148" s="26" t="n">
        <v>8</v>
      </c>
      <c r="X148" s="26"/>
      <c r="Y148" s="26" t="n">
        <v>37</v>
      </c>
      <c r="Z148" s="26"/>
      <c r="AA148" s="26"/>
      <c r="AB148" s="26"/>
      <c r="AC148" s="26" t="n">
        <v>26</v>
      </c>
      <c r="AD148" s="26"/>
      <c r="AE148" s="26"/>
      <c r="AF148" s="26" t="n">
        <f aca="false">SUM(U148:AE148)</f>
        <v>71</v>
      </c>
      <c r="AG148" s="26" t="n">
        <f aca="false">T148-AF148</f>
        <v>617</v>
      </c>
      <c r="AH148" s="28" t="n">
        <f aca="false">IFERROR(AG148/T148,"")</f>
        <v>0.896802325581395</v>
      </c>
      <c r="AI148" s="29" t="n">
        <f aca="false">IFERROR(R148/AG148*60,"")</f>
        <v>423.306320907618</v>
      </c>
      <c r="AJ148" s="30" t="n">
        <f aca="false">IFERROR(AI148/Q148,"")</f>
        <v>0.911284440842788</v>
      </c>
      <c r="AK148" s="31" t="n">
        <f aca="false">IFERROR(R148/(T148/60*Q148),"")</f>
        <v>0.817242005813954</v>
      </c>
      <c r="AL148" s="26" t="n">
        <v>7</v>
      </c>
      <c r="AM148" s="26" t="n">
        <v>6</v>
      </c>
      <c r="AN148" s="26" t="n">
        <v>4</v>
      </c>
      <c r="AO148" s="26" t="n">
        <v>1</v>
      </c>
      <c r="AP148" s="26" t="n">
        <v>12</v>
      </c>
      <c r="AQ148" s="26" t="n">
        <v>3</v>
      </c>
      <c r="AR148" s="26" t="n">
        <v>1</v>
      </c>
      <c r="AS148" s="26" t="n">
        <v>6</v>
      </c>
      <c r="AT148" s="26" t="n">
        <v>5</v>
      </c>
      <c r="AU148" s="26" t="n">
        <v>10</v>
      </c>
      <c r="AV148" s="26" t="n">
        <f aca="false">SUM(AL148:AU148)</f>
        <v>55</v>
      </c>
      <c r="AW148" s="32" t="n">
        <f aca="false">IFERROR(AV148/R148*1000000,"")</f>
        <v>12634.9643923731</v>
      </c>
      <c r="AX148" s="33" t="n">
        <f aca="false">IFERROR((R148-AV148)/R148,"")</f>
        <v>0.987365035607627</v>
      </c>
      <c r="AY148" s="34" t="n">
        <f aca="false">IFERROR(AH148*AJ148*AX148,"")</f>
        <v>0.806916182170543</v>
      </c>
      <c r="AZ148" s="35"/>
    </row>
    <row r="149" customFormat="false" ht="12.75" hidden="false" customHeight="true" outlineLevel="0" collapsed="false">
      <c r="A149" s="24" t="n">
        <v>145</v>
      </c>
      <c r="B149" s="25" t="n">
        <v>46071</v>
      </c>
      <c r="C149" s="25" t="n">
        <v>12</v>
      </c>
      <c r="D149" s="26" t="s">
        <v>71</v>
      </c>
      <c r="E149" s="26" t="s">
        <v>72</v>
      </c>
      <c r="F149" s="26" t="s">
        <v>73</v>
      </c>
      <c r="G149" s="26" t="s">
        <v>8</v>
      </c>
      <c r="H149" s="27" t="n">
        <v>0.354166666666667</v>
      </c>
      <c r="I149" s="27" t="n">
        <v>0.854166666666667</v>
      </c>
      <c r="J149" s="26" t="n">
        <f aca="false">IFERROR((I149-H149)*24*60,"")</f>
        <v>720</v>
      </c>
      <c r="K149" s="26" t="s">
        <v>82</v>
      </c>
      <c r="L149" s="26" t="s">
        <v>108</v>
      </c>
      <c r="M149" s="26" t="s">
        <v>76</v>
      </c>
      <c r="N149" s="26" t="s">
        <v>77</v>
      </c>
      <c r="O149" s="26" t="n">
        <v>4</v>
      </c>
      <c r="P149" s="26" t="n">
        <v>74</v>
      </c>
      <c r="Q149" s="26" t="n">
        <f aca="false">IFERROR(3600/(P149/O149),"")</f>
        <v>194.594594594595</v>
      </c>
      <c r="R149" s="26" t="n">
        <v>1959</v>
      </c>
      <c r="S149" s="26" t="n">
        <v>53</v>
      </c>
      <c r="T149" s="26" t="n">
        <f aca="false">IFERROR(J149-S149,"")</f>
        <v>667</v>
      </c>
      <c r="U149" s="26"/>
      <c r="V149" s="26"/>
      <c r="W149" s="26"/>
      <c r="X149" s="26"/>
      <c r="Y149" s="26"/>
      <c r="Z149" s="26" t="n">
        <v>3</v>
      </c>
      <c r="AA149" s="26"/>
      <c r="AB149" s="26"/>
      <c r="AC149" s="26" t="n">
        <v>5</v>
      </c>
      <c r="AD149" s="26"/>
      <c r="AE149" s="26"/>
      <c r="AF149" s="26" t="n">
        <f aca="false">SUM(U149:AE149)</f>
        <v>8</v>
      </c>
      <c r="AG149" s="26" t="n">
        <f aca="false">T149-AF149</f>
        <v>659</v>
      </c>
      <c r="AH149" s="28" t="n">
        <f aca="false">IFERROR(AG149/T149,"")</f>
        <v>0.988005997001499</v>
      </c>
      <c r="AI149" s="29" t="n">
        <f aca="false">IFERROR(R149/AG149*60,"")</f>
        <v>178.361153262519</v>
      </c>
      <c r="AJ149" s="30" t="n">
        <f aca="false">IFERROR(AI149/Q149,"")</f>
        <v>0.916578148710167</v>
      </c>
      <c r="AK149" s="31" t="n">
        <f aca="false">IFERROR(R149/(T149/60*Q149),"")</f>
        <v>0.905584707646177</v>
      </c>
      <c r="AL149" s="26" t="n">
        <v>4</v>
      </c>
      <c r="AM149" s="26" t="n">
        <v>3</v>
      </c>
      <c r="AN149" s="26" t="n">
        <v>5</v>
      </c>
      <c r="AO149" s="26" t="n">
        <v>3</v>
      </c>
      <c r="AP149" s="26" t="n">
        <v>7</v>
      </c>
      <c r="AQ149" s="26" t="n">
        <v>4</v>
      </c>
      <c r="AR149" s="26" t="n">
        <v>8</v>
      </c>
      <c r="AS149" s="26" t="n">
        <v>7</v>
      </c>
      <c r="AT149" s="26" t="n">
        <v>4</v>
      </c>
      <c r="AU149" s="26" t="n">
        <v>3</v>
      </c>
      <c r="AV149" s="26" t="n">
        <f aca="false">SUM(AL149:AU149)</f>
        <v>48</v>
      </c>
      <c r="AW149" s="32" t="n">
        <f aca="false">IFERROR(AV149/R149*1000000,"")</f>
        <v>24502.2970903522</v>
      </c>
      <c r="AX149" s="33" t="n">
        <f aca="false">IFERROR((R149-AV149)/R149,"")</f>
        <v>0.975497702909648</v>
      </c>
      <c r="AY149" s="34" t="n">
        <f aca="false">IFERROR(AH149*AJ149*AX149,"")</f>
        <v>0.883395802098951</v>
      </c>
      <c r="AZ149" s="35"/>
    </row>
    <row r="150" customFormat="false" ht="12.75" hidden="false" customHeight="true" outlineLevel="0" collapsed="false">
      <c r="A150" s="24" t="n">
        <v>146</v>
      </c>
      <c r="B150" s="25" t="n">
        <v>46071</v>
      </c>
      <c r="C150" s="25" t="n">
        <v>12</v>
      </c>
      <c r="D150" s="26" t="s">
        <v>79</v>
      </c>
      <c r="E150" s="26" t="s">
        <v>80</v>
      </c>
      <c r="F150" s="26" t="s">
        <v>81</v>
      </c>
      <c r="G150" s="26" t="s">
        <v>9</v>
      </c>
      <c r="H150" s="27" t="n">
        <v>0.354166666666667</v>
      </c>
      <c r="I150" s="27" t="n">
        <v>0.854166666666667</v>
      </c>
      <c r="J150" s="26" t="n">
        <f aca="false">IFERROR((I150-H150)*24*60,"")</f>
        <v>720</v>
      </c>
      <c r="K150" s="26" t="s">
        <v>89</v>
      </c>
      <c r="L150" s="26" t="s">
        <v>107</v>
      </c>
      <c r="M150" s="26" t="s">
        <v>84</v>
      </c>
      <c r="N150" s="26" t="s">
        <v>85</v>
      </c>
      <c r="O150" s="26" t="n">
        <v>2</v>
      </c>
      <c r="P150" s="26" t="n">
        <v>57</v>
      </c>
      <c r="Q150" s="26" t="n">
        <f aca="false">IFERROR(3600/(P150/O150),"")</f>
        <v>126.315789473684</v>
      </c>
      <c r="R150" s="26" t="n">
        <v>1062</v>
      </c>
      <c r="S150" s="26" t="n">
        <v>73</v>
      </c>
      <c r="T150" s="26" t="n">
        <f aca="false">IFERROR(J150-S150,"")</f>
        <v>647</v>
      </c>
      <c r="U150" s="26" t="n">
        <v>11</v>
      </c>
      <c r="V150" s="26"/>
      <c r="W150" s="26"/>
      <c r="X150" s="26"/>
      <c r="Y150" s="26"/>
      <c r="Z150" s="26" t="n">
        <v>8</v>
      </c>
      <c r="AA150" s="26"/>
      <c r="AB150" s="26"/>
      <c r="AC150" s="26"/>
      <c r="AD150" s="26"/>
      <c r="AE150" s="26" t="n">
        <v>21</v>
      </c>
      <c r="AF150" s="26" t="n">
        <f aca="false">SUM(U150:AE150)</f>
        <v>40</v>
      </c>
      <c r="AG150" s="26" t="n">
        <f aca="false">T150-AF150</f>
        <v>607</v>
      </c>
      <c r="AH150" s="28" t="n">
        <f aca="false">IFERROR(AG150/T150,"")</f>
        <v>0.938176197836167</v>
      </c>
      <c r="AI150" s="29" t="n">
        <f aca="false">IFERROR(R150/AG150*60,"")</f>
        <v>104.97528830313</v>
      </c>
      <c r="AJ150" s="30" t="n">
        <f aca="false">IFERROR(AI150/Q150,"")</f>
        <v>0.831054365733114</v>
      </c>
      <c r="AK150" s="31" t="n">
        <f aca="false">IFERROR(R150/(T150/60*Q150),"")</f>
        <v>0.77967542503864</v>
      </c>
      <c r="AL150" s="26" t="n">
        <v>1</v>
      </c>
      <c r="AM150" s="26" t="n">
        <v>1</v>
      </c>
      <c r="AN150" s="26"/>
      <c r="AO150" s="26"/>
      <c r="AP150" s="26"/>
      <c r="AQ150" s="26"/>
      <c r="AR150" s="26"/>
      <c r="AS150" s="26"/>
      <c r="AT150" s="26"/>
      <c r="AU150" s="26"/>
      <c r="AV150" s="26" t="n">
        <f aca="false">SUM(AL150:AU150)</f>
        <v>2</v>
      </c>
      <c r="AW150" s="32" t="n">
        <f aca="false">IFERROR(AV150/R150*1000000,"")</f>
        <v>1883.23917137476</v>
      </c>
      <c r="AX150" s="33" t="n">
        <f aca="false">IFERROR((R150-AV150)/R150,"")</f>
        <v>0.998116760828625</v>
      </c>
      <c r="AY150" s="34" t="n">
        <f aca="false">IFERROR(AH150*AJ150*AX150,"")</f>
        <v>0.778207109737249</v>
      </c>
      <c r="AZ150" s="35" t="s">
        <v>78</v>
      </c>
    </row>
    <row r="151" customFormat="false" ht="12.75" hidden="false" customHeight="true" outlineLevel="0" collapsed="false">
      <c r="A151" s="24" t="n">
        <v>147</v>
      </c>
      <c r="B151" s="25" t="n">
        <v>46071</v>
      </c>
      <c r="C151" s="25" t="n">
        <v>12</v>
      </c>
      <c r="D151" s="26" t="s">
        <v>87</v>
      </c>
      <c r="E151" s="26" t="s">
        <v>88</v>
      </c>
      <c r="F151" s="26" t="s">
        <v>73</v>
      </c>
      <c r="G151" s="26" t="s">
        <v>10</v>
      </c>
      <c r="H151" s="27" t="n">
        <v>0.354166666666667</v>
      </c>
      <c r="I151" s="27" t="n">
        <v>0.854166666666667</v>
      </c>
      <c r="J151" s="26" t="n">
        <f aca="false">IFERROR((I151-H151)*24*60,"")</f>
        <v>720</v>
      </c>
      <c r="K151" s="26" t="s">
        <v>82</v>
      </c>
      <c r="L151" s="26" t="s">
        <v>102</v>
      </c>
      <c r="M151" s="26" t="s">
        <v>91</v>
      </c>
      <c r="N151" s="26" t="s">
        <v>92</v>
      </c>
      <c r="O151" s="26" t="n">
        <v>4</v>
      </c>
      <c r="P151" s="26" t="n">
        <v>38</v>
      </c>
      <c r="Q151" s="26" t="n">
        <f aca="false">IFERROR(3600/(P151/O151),"")</f>
        <v>378.947368421053</v>
      </c>
      <c r="R151" s="26" t="n">
        <v>3514</v>
      </c>
      <c r="S151" s="26" t="n">
        <v>73</v>
      </c>
      <c r="T151" s="26" t="n">
        <f aca="false">IFERROR(J151-S151,"")</f>
        <v>647</v>
      </c>
      <c r="U151" s="26" t="n">
        <v>9</v>
      </c>
      <c r="V151" s="26"/>
      <c r="W151" s="26"/>
      <c r="X151" s="26"/>
      <c r="Y151" s="26"/>
      <c r="Z151" s="26"/>
      <c r="AA151" s="26"/>
      <c r="AB151" s="26"/>
      <c r="AC151" s="26"/>
      <c r="AD151" s="26" t="n">
        <v>3</v>
      </c>
      <c r="AE151" s="26"/>
      <c r="AF151" s="26" t="n">
        <f aca="false">SUM(U151:AE151)</f>
        <v>12</v>
      </c>
      <c r="AG151" s="26" t="n">
        <f aca="false">T151-AF151</f>
        <v>635</v>
      </c>
      <c r="AH151" s="28" t="n">
        <f aca="false">IFERROR(AG151/T151,"")</f>
        <v>0.98145285935085</v>
      </c>
      <c r="AI151" s="29" t="n">
        <f aca="false">IFERROR(R151/AG151*60,"")</f>
        <v>332.031496062992</v>
      </c>
      <c r="AJ151" s="30" t="n">
        <f aca="false">IFERROR(AI151/Q151,"")</f>
        <v>0.876194225721785</v>
      </c>
      <c r="AK151" s="31" t="n">
        <f aca="false">IFERROR(R151/(T151/60*Q151),"")</f>
        <v>0.85994332818135</v>
      </c>
      <c r="AL151" s="26"/>
      <c r="AM151" s="26" t="n">
        <v>4</v>
      </c>
      <c r="AN151" s="26" t="n">
        <v>3</v>
      </c>
      <c r="AO151" s="26" t="n">
        <v>1</v>
      </c>
      <c r="AP151" s="26" t="n">
        <v>1</v>
      </c>
      <c r="AQ151" s="26"/>
      <c r="AR151" s="26" t="n">
        <v>1</v>
      </c>
      <c r="AS151" s="26"/>
      <c r="AT151" s="26"/>
      <c r="AU151" s="26" t="n">
        <v>4</v>
      </c>
      <c r="AV151" s="26" t="n">
        <f aca="false">SUM(AL151:AU151)</f>
        <v>14</v>
      </c>
      <c r="AW151" s="32" t="n">
        <f aca="false">IFERROR(AV151/R151*1000000,"")</f>
        <v>3984.06374501992</v>
      </c>
      <c r="AX151" s="33" t="n">
        <f aca="false">IFERROR((R151-AV151)/R151,"")</f>
        <v>0.99601593625498</v>
      </c>
      <c r="AY151" s="34" t="n">
        <f aca="false">IFERROR(AH151*AJ151*AX151,"")</f>
        <v>0.856517259144771</v>
      </c>
      <c r="AZ151" s="35" t="s">
        <v>78</v>
      </c>
    </row>
    <row r="152" customFormat="false" ht="12.75" hidden="false" customHeight="true" outlineLevel="0" collapsed="false">
      <c r="A152" s="24" t="n">
        <v>148</v>
      </c>
      <c r="B152" s="25" t="n">
        <v>46072</v>
      </c>
      <c r="C152" s="25" t="n">
        <v>12</v>
      </c>
      <c r="D152" s="26" t="s">
        <v>71</v>
      </c>
      <c r="E152" s="26" t="s">
        <v>94</v>
      </c>
      <c r="F152" s="26" t="s">
        <v>81</v>
      </c>
      <c r="G152" s="26" t="s">
        <v>11</v>
      </c>
      <c r="H152" s="27" t="n">
        <v>0.354166666666667</v>
      </c>
      <c r="I152" s="27" t="n">
        <v>0.854166666666667</v>
      </c>
      <c r="J152" s="26" t="n">
        <f aca="false">IFERROR((I152-H152)*24*60,"")</f>
        <v>720</v>
      </c>
      <c r="K152" s="26" t="s">
        <v>89</v>
      </c>
      <c r="L152" s="26" t="s">
        <v>83</v>
      </c>
      <c r="M152" s="26" t="s">
        <v>95</v>
      </c>
      <c r="N152" s="26" t="s">
        <v>96</v>
      </c>
      <c r="O152" s="26" t="n">
        <v>4</v>
      </c>
      <c r="P152" s="26" t="n">
        <v>73</v>
      </c>
      <c r="Q152" s="26" t="n">
        <f aca="false">IFERROR(3600/(P152/O152),"")</f>
        <v>197.260273972603</v>
      </c>
      <c r="R152" s="26" t="n">
        <v>1647</v>
      </c>
      <c r="S152" s="26" t="n">
        <v>70</v>
      </c>
      <c r="T152" s="26" t="n">
        <f aca="false">IFERROR(J152-S152,"")</f>
        <v>650</v>
      </c>
      <c r="U152" s="26"/>
      <c r="V152" s="26" t="n">
        <v>8</v>
      </c>
      <c r="W152" s="26"/>
      <c r="X152" s="26"/>
      <c r="Y152" s="26" t="n">
        <v>60</v>
      </c>
      <c r="Z152" s="26"/>
      <c r="AA152" s="26"/>
      <c r="AB152" s="26"/>
      <c r="AC152" s="26"/>
      <c r="AD152" s="26"/>
      <c r="AE152" s="26"/>
      <c r="AF152" s="26" t="n">
        <f aca="false">SUM(U152:AE152)</f>
        <v>68</v>
      </c>
      <c r="AG152" s="26" t="n">
        <f aca="false">T152-AF152</f>
        <v>582</v>
      </c>
      <c r="AH152" s="28" t="n">
        <f aca="false">IFERROR(AG152/T152,"")</f>
        <v>0.895384615384615</v>
      </c>
      <c r="AI152" s="29" t="n">
        <f aca="false">IFERROR(R152/AG152*60,"")</f>
        <v>169.79381443299</v>
      </c>
      <c r="AJ152" s="30" t="n">
        <f aca="false">IFERROR(AI152/Q152,"")</f>
        <v>0.860760309278351</v>
      </c>
      <c r="AK152" s="31" t="n">
        <f aca="false">IFERROR(R152/(T152/60*Q152),"")</f>
        <v>0.770711538461538</v>
      </c>
      <c r="AL152" s="26" t="n">
        <v>3</v>
      </c>
      <c r="AM152" s="26" t="n">
        <v>6</v>
      </c>
      <c r="AN152" s="26" t="n">
        <v>3</v>
      </c>
      <c r="AO152" s="26" t="n">
        <v>2</v>
      </c>
      <c r="AP152" s="26" t="n">
        <v>4</v>
      </c>
      <c r="AQ152" s="26" t="n">
        <v>1</v>
      </c>
      <c r="AR152" s="26" t="n">
        <v>4</v>
      </c>
      <c r="AS152" s="26" t="n">
        <v>5</v>
      </c>
      <c r="AT152" s="26" t="n">
        <v>1</v>
      </c>
      <c r="AU152" s="26" t="n">
        <v>3</v>
      </c>
      <c r="AV152" s="26" t="n">
        <f aca="false">SUM(AL152:AU152)</f>
        <v>32</v>
      </c>
      <c r="AW152" s="32" t="n">
        <f aca="false">IFERROR(AV152/R152*1000000,"")</f>
        <v>19429.2653309047</v>
      </c>
      <c r="AX152" s="33" t="n">
        <f aca="false">IFERROR((R152-AV152)/R152,"")</f>
        <v>0.980570734669095</v>
      </c>
      <c r="AY152" s="34" t="n">
        <f aca="false">IFERROR(AH152*AJ152*AX152,"")</f>
        <v>0.75573717948718</v>
      </c>
      <c r="AZ152" s="35" t="s">
        <v>78</v>
      </c>
    </row>
    <row r="153" customFormat="false" ht="12.75" hidden="false" customHeight="true" outlineLevel="0" collapsed="false">
      <c r="A153" s="24" t="n">
        <v>149</v>
      </c>
      <c r="B153" s="25" t="n">
        <v>46072</v>
      </c>
      <c r="C153" s="25" t="n">
        <v>12</v>
      </c>
      <c r="D153" s="26" t="s">
        <v>79</v>
      </c>
      <c r="E153" s="26" t="s">
        <v>97</v>
      </c>
      <c r="F153" s="26" t="s">
        <v>73</v>
      </c>
      <c r="G153" s="26" t="s">
        <v>12</v>
      </c>
      <c r="H153" s="27" t="n">
        <v>0.354166666666667</v>
      </c>
      <c r="I153" s="27" t="n">
        <v>0.854166666666667</v>
      </c>
      <c r="J153" s="26" t="n">
        <f aca="false">IFERROR((I153-H153)*24*60,"")</f>
        <v>720</v>
      </c>
      <c r="K153" s="26" t="s">
        <v>89</v>
      </c>
      <c r="L153" s="26" t="s">
        <v>107</v>
      </c>
      <c r="M153" s="26" t="s">
        <v>99</v>
      </c>
      <c r="N153" s="26" t="s">
        <v>100</v>
      </c>
      <c r="O153" s="26" t="n">
        <v>4</v>
      </c>
      <c r="P153" s="26" t="n">
        <v>33</v>
      </c>
      <c r="Q153" s="26" t="n">
        <f aca="false">IFERROR(3600/(P153/O153),"")</f>
        <v>436.363636363636</v>
      </c>
      <c r="R153" s="26" t="n">
        <v>4350</v>
      </c>
      <c r="S153" s="26" t="n">
        <v>32</v>
      </c>
      <c r="T153" s="26" t="n">
        <f aca="false">IFERROR(J153-S153,"")</f>
        <v>688</v>
      </c>
      <c r="U153" s="26" t="n">
        <v>21</v>
      </c>
      <c r="V153" s="26"/>
      <c r="W153" s="26"/>
      <c r="X153" s="26"/>
      <c r="Y153" s="26"/>
      <c r="Z153" s="26"/>
      <c r="AA153" s="26"/>
      <c r="AB153" s="26" t="n">
        <v>19</v>
      </c>
      <c r="AC153" s="26"/>
      <c r="AD153" s="26"/>
      <c r="AE153" s="26"/>
      <c r="AF153" s="26" t="n">
        <f aca="false">SUM(U153:AE153)</f>
        <v>40</v>
      </c>
      <c r="AG153" s="26" t="n">
        <f aca="false">T153-AF153</f>
        <v>648</v>
      </c>
      <c r="AH153" s="28" t="n">
        <f aca="false">IFERROR(AG153/T153,"")</f>
        <v>0.941860465116279</v>
      </c>
      <c r="AI153" s="29" t="n">
        <f aca="false">IFERROR(R153/AG153*60,"")</f>
        <v>402.777777777778</v>
      </c>
      <c r="AJ153" s="30" t="n">
        <f aca="false">IFERROR(AI153/Q153,"")</f>
        <v>0.923032407407407</v>
      </c>
      <c r="AK153" s="31" t="n">
        <f aca="false">IFERROR(R153/(T153/60*Q153),"")</f>
        <v>0.86936773255814</v>
      </c>
      <c r="AL153" s="26" t="n">
        <v>9</v>
      </c>
      <c r="AM153" s="26" t="n">
        <v>7</v>
      </c>
      <c r="AN153" s="26" t="n">
        <v>2</v>
      </c>
      <c r="AO153" s="26" t="n">
        <v>6</v>
      </c>
      <c r="AP153" s="26" t="n">
        <v>4</v>
      </c>
      <c r="AQ153" s="26" t="n">
        <v>7</v>
      </c>
      <c r="AR153" s="26" t="n">
        <v>6</v>
      </c>
      <c r="AS153" s="26" t="n">
        <v>7</v>
      </c>
      <c r="AT153" s="26" t="n">
        <v>6</v>
      </c>
      <c r="AU153" s="26" t="n">
        <v>2</v>
      </c>
      <c r="AV153" s="26" t="n">
        <f aca="false">SUM(AL153:AU153)</f>
        <v>56</v>
      </c>
      <c r="AW153" s="32" t="n">
        <f aca="false">IFERROR(AV153/R153*1000000,"")</f>
        <v>12873.5632183908</v>
      </c>
      <c r="AX153" s="33" t="n">
        <f aca="false">IFERROR((R153-AV153)/R153,"")</f>
        <v>0.987126436781609</v>
      </c>
      <c r="AY153" s="34" t="n">
        <f aca="false">IFERROR(AH153*AJ153*AX153,"")</f>
        <v>0.858175872093023</v>
      </c>
      <c r="AZ153" s="35" t="s">
        <v>86</v>
      </c>
    </row>
    <row r="154" customFormat="false" ht="12.75" hidden="false" customHeight="true" outlineLevel="0" collapsed="false">
      <c r="A154" s="24" t="n">
        <v>150</v>
      </c>
      <c r="B154" s="25" t="n">
        <v>46072</v>
      </c>
      <c r="C154" s="25" t="n">
        <v>12</v>
      </c>
      <c r="D154" s="26" t="s">
        <v>87</v>
      </c>
      <c r="E154" s="26" t="s">
        <v>101</v>
      </c>
      <c r="F154" s="26" t="s">
        <v>81</v>
      </c>
      <c r="G154" s="26" t="s">
        <v>13</v>
      </c>
      <c r="H154" s="27" t="n">
        <v>0.354166666666667</v>
      </c>
      <c r="I154" s="27" t="n">
        <v>0.854166666666667</v>
      </c>
      <c r="J154" s="26" t="n">
        <f aca="false">IFERROR((I154-H154)*24*60,"")</f>
        <v>720</v>
      </c>
      <c r="K154" s="26" t="s">
        <v>105</v>
      </c>
      <c r="L154" s="26" t="s">
        <v>83</v>
      </c>
      <c r="M154" s="26" t="s">
        <v>103</v>
      </c>
      <c r="N154" s="26" t="s">
        <v>104</v>
      </c>
      <c r="O154" s="26" t="n">
        <v>8</v>
      </c>
      <c r="P154" s="26" t="n">
        <v>67</v>
      </c>
      <c r="Q154" s="26" t="n">
        <f aca="false">IFERROR(3600/(P154/O154),"")</f>
        <v>429.850746268657</v>
      </c>
      <c r="R154" s="26" t="n">
        <v>4134</v>
      </c>
      <c r="S154" s="26" t="n">
        <v>71</v>
      </c>
      <c r="T154" s="26" t="n">
        <f aca="false">IFERROR(J154-S154,"")</f>
        <v>649</v>
      </c>
      <c r="U154" s="26" t="n">
        <v>54</v>
      </c>
      <c r="V154" s="26" t="n">
        <v>10</v>
      </c>
      <c r="W154" s="26"/>
      <c r="X154" s="26"/>
      <c r="Y154" s="26"/>
      <c r="Z154" s="26"/>
      <c r="AA154" s="26"/>
      <c r="AB154" s="26"/>
      <c r="AC154" s="26"/>
      <c r="AD154" s="26" t="n">
        <v>12</v>
      </c>
      <c r="AE154" s="26"/>
      <c r="AF154" s="26" t="n">
        <f aca="false">SUM(U154:AE154)</f>
        <v>76</v>
      </c>
      <c r="AG154" s="26" t="n">
        <f aca="false">T154-AF154</f>
        <v>573</v>
      </c>
      <c r="AH154" s="28" t="n">
        <f aca="false">IFERROR(AG154/T154,"")</f>
        <v>0.882896764252697</v>
      </c>
      <c r="AI154" s="29" t="n">
        <f aca="false">IFERROR(R154/AG154*60,"")</f>
        <v>432.879581151832</v>
      </c>
      <c r="AJ154" s="30" t="n">
        <f aca="false">IFERROR(AI154/Q154,"")</f>
        <v>1.0070462478185</v>
      </c>
      <c r="AK154" s="31" t="n">
        <f aca="false">IFERROR(R154/(T154/60*Q154),"")</f>
        <v>0.889117873651772</v>
      </c>
      <c r="AL154" s="26" t="n">
        <v>9</v>
      </c>
      <c r="AM154" s="26" t="n">
        <v>11</v>
      </c>
      <c r="AN154" s="26" t="n">
        <v>14</v>
      </c>
      <c r="AO154" s="26" t="n">
        <v>7</v>
      </c>
      <c r="AP154" s="26" t="n">
        <v>4</v>
      </c>
      <c r="AQ154" s="26" t="n">
        <v>5</v>
      </c>
      <c r="AR154" s="26" t="n">
        <v>6</v>
      </c>
      <c r="AS154" s="26" t="n">
        <v>8</v>
      </c>
      <c r="AT154" s="26" t="n">
        <v>3</v>
      </c>
      <c r="AU154" s="26" t="n">
        <v>11</v>
      </c>
      <c r="AV154" s="26" t="n">
        <f aca="false">SUM(AL154:AU154)</f>
        <v>78</v>
      </c>
      <c r="AW154" s="32" t="n">
        <f aca="false">IFERROR(AV154/R154*1000000,"")</f>
        <v>18867.9245283019</v>
      </c>
      <c r="AX154" s="33" t="n">
        <f aca="false">IFERROR((R154-AV154)/R154,"")</f>
        <v>0.981132075471698</v>
      </c>
      <c r="AY154" s="34" t="n">
        <f aca="false">IFERROR(AH154*AJ154*AX154,"")</f>
        <v>0.872342064714946</v>
      </c>
      <c r="AZ154" s="35"/>
    </row>
    <row r="155" customFormat="false" ht="12.75" hidden="false" customHeight="true" outlineLevel="0" collapsed="false">
      <c r="A155" s="24" t="n">
        <v>151</v>
      </c>
      <c r="B155" s="25" t="n">
        <v>46073</v>
      </c>
      <c r="C155" s="25" t="n">
        <v>12</v>
      </c>
      <c r="D155" s="26" t="s">
        <v>71</v>
      </c>
      <c r="E155" s="26" t="s">
        <v>72</v>
      </c>
      <c r="F155" s="26" t="s">
        <v>73</v>
      </c>
      <c r="G155" s="26" t="s">
        <v>8</v>
      </c>
      <c r="H155" s="27" t="n">
        <v>0.354166666666667</v>
      </c>
      <c r="I155" s="27" t="n">
        <v>0.854166666666667</v>
      </c>
      <c r="J155" s="26" t="n">
        <f aca="false">IFERROR((I155-H155)*24*60,"")</f>
        <v>720</v>
      </c>
      <c r="K155" s="26" t="s">
        <v>82</v>
      </c>
      <c r="L155" s="26" t="s">
        <v>75</v>
      </c>
      <c r="M155" s="26" t="s">
        <v>76</v>
      </c>
      <c r="N155" s="26" t="s">
        <v>77</v>
      </c>
      <c r="O155" s="26" t="n">
        <v>4</v>
      </c>
      <c r="P155" s="26" t="n">
        <v>46</v>
      </c>
      <c r="Q155" s="26" t="n">
        <f aca="false">IFERROR(3600/(P155/O155),"")</f>
        <v>313.04347826087</v>
      </c>
      <c r="R155" s="26" t="n">
        <v>2820</v>
      </c>
      <c r="S155" s="26" t="n">
        <v>69</v>
      </c>
      <c r="T155" s="26" t="n">
        <f aca="false">IFERROR(J155-S155,"")</f>
        <v>651</v>
      </c>
      <c r="U155" s="26"/>
      <c r="V155" s="26" t="n">
        <v>12</v>
      </c>
      <c r="W155" s="26"/>
      <c r="X155" s="26" t="n">
        <v>6</v>
      </c>
      <c r="Y155" s="26"/>
      <c r="Z155" s="26"/>
      <c r="AA155" s="26"/>
      <c r="AB155" s="26"/>
      <c r="AC155" s="26" t="n">
        <v>3</v>
      </c>
      <c r="AD155" s="26"/>
      <c r="AE155" s="26"/>
      <c r="AF155" s="26" t="n">
        <f aca="false">SUM(U155:AE155)</f>
        <v>21</v>
      </c>
      <c r="AG155" s="26" t="n">
        <f aca="false">T155-AF155</f>
        <v>630</v>
      </c>
      <c r="AH155" s="28" t="n">
        <f aca="false">IFERROR(AG155/T155,"")</f>
        <v>0.967741935483871</v>
      </c>
      <c r="AI155" s="29" t="n">
        <f aca="false">IFERROR(R155/AG155*60,"")</f>
        <v>268.571428571429</v>
      </c>
      <c r="AJ155" s="30" t="n">
        <f aca="false">IFERROR(AI155/Q155,"")</f>
        <v>0.857936507936508</v>
      </c>
      <c r="AK155" s="31" t="n">
        <f aca="false">IFERROR(R155/(T155/60*Q155),"")</f>
        <v>0.83026113671275</v>
      </c>
      <c r="AL155" s="26" t="n">
        <v>6</v>
      </c>
      <c r="AM155" s="26" t="n">
        <v>5</v>
      </c>
      <c r="AN155" s="26" t="n">
        <v>5</v>
      </c>
      <c r="AO155" s="26" t="n">
        <v>7</v>
      </c>
      <c r="AP155" s="26" t="n">
        <v>3</v>
      </c>
      <c r="AQ155" s="26" t="n">
        <v>4</v>
      </c>
      <c r="AR155" s="26" t="n">
        <v>2</v>
      </c>
      <c r="AS155" s="26" t="n">
        <v>6</v>
      </c>
      <c r="AT155" s="26" t="n">
        <v>4</v>
      </c>
      <c r="AU155" s="26" t="n">
        <v>3</v>
      </c>
      <c r="AV155" s="26" t="n">
        <f aca="false">SUM(AL155:AU155)</f>
        <v>45</v>
      </c>
      <c r="AW155" s="32" t="n">
        <f aca="false">IFERROR(AV155/R155*1000000,"")</f>
        <v>15957.4468085106</v>
      </c>
      <c r="AX155" s="33" t="n">
        <f aca="false">IFERROR((R155-AV155)/R155,"")</f>
        <v>0.984042553191489</v>
      </c>
      <c r="AY155" s="34" t="n">
        <f aca="false">IFERROR(AH155*AJ155*AX155,"")</f>
        <v>0.817012288786482</v>
      </c>
      <c r="AZ155" s="35" t="s">
        <v>78</v>
      </c>
    </row>
    <row r="156" customFormat="false" ht="12.75" hidden="false" customHeight="true" outlineLevel="0" collapsed="false">
      <c r="A156" s="24" t="n">
        <v>152</v>
      </c>
      <c r="B156" s="25" t="n">
        <v>46073</v>
      </c>
      <c r="C156" s="25" t="n">
        <v>12</v>
      </c>
      <c r="D156" s="26" t="s">
        <v>79</v>
      </c>
      <c r="E156" s="26" t="s">
        <v>80</v>
      </c>
      <c r="F156" s="26" t="s">
        <v>81</v>
      </c>
      <c r="G156" s="26" t="s">
        <v>9</v>
      </c>
      <c r="H156" s="27" t="n">
        <v>0.354166666666667</v>
      </c>
      <c r="I156" s="27" t="n">
        <v>0.854166666666667</v>
      </c>
      <c r="J156" s="26" t="n">
        <f aca="false">IFERROR((I156-H156)*24*60,"")</f>
        <v>720</v>
      </c>
      <c r="K156" s="26" t="s">
        <v>74</v>
      </c>
      <c r="L156" s="26" t="s">
        <v>107</v>
      </c>
      <c r="M156" s="26" t="s">
        <v>84</v>
      </c>
      <c r="N156" s="26" t="s">
        <v>85</v>
      </c>
      <c r="O156" s="26" t="n">
        <v>2</v>
      </c>
      <c r="P156" s="26" t="n">
        <v>48</v>
      </c>
      <c r="Q156" s="26" t="n">
        <f aca="false">IFERROR(3600/(P156/O156),"")</f>
        <v>150</v>
      </c>
      <c r="R156" s="26" t="n">
        <v>1554</v>
      </c>
      <c r="S156" s="26" t="n">
        <v>45</v>
      </c>
      <c r="T156" s="26" t="n">
        <f aca="false">IFERROR(J156-S156,"")</f>
        <v>675</v>
      </c>
      <c r="U156" s="26"/>
      <c r="V156" s="26"/>
      <c r="W156" s="26"/>
      <c r="X156" s="26"/>
      <c r="Y156" s="26"/>
      <c r="Z156" s="26"/>
      <c r="AA156" s="26"/>
      <c r="AB156" s="26"/>
      <c r="AC156" s="26"/>
      <c r="AD156" s="26" t="n">
        <v>18</v>
      </c>
      <c r="AE156" s="26"/>
      <c r="AF156" s="26" t="n">
        <f aca="false">SUM(U156:AE156)</f>
        <v>18</v>
      </c>
      <c r="AG156" s="26" t="n">
        <f aca="false">T156-AF156</f>
        <v>657</v>
      </c>
      <c r="AH156" s="28" t="n">
        <f aca="false">IFERROR(AG156/T156,"")</f>
        <v>0.973333333333333</v>
      </c>
      <c r="AI156" s="29" t="n">
        <f aca="false">IFERROR(R156/AG156*60,"")</f>
        <v>141.917808219178</v>
      </c>
      <c r="AJ156" s="30" t="n">
        <f aca="false">IFERROR(AI156/Q156,"")</f>
        <v>0.946118721461187</v>
      </c>
      <c r="AK156" s="31" t="n">
        <f aca="false">IFERROR(R156/(T156/60*Q156),"")</f>
        <v>0.920888888888889</v>
      </c>
      <c r="AL156" s="26" t="n">
        <v>2</v>
      </c>
      <c r="AM156" s="26"/>
      <c r="AN156" s="26" t="n">
        <v>4</v>
      </c>
      <c r="AO156" s="26" t="n">
        <v>3</v>
      </c>
      <c r="AP156" s="26" t="n">
        <v>2</v>
      </c>
      <c r="AQ156" s="26" t="n">
        <v>3</v>
      </c>
      <c r="AR156" s="26" t="n">
        <v>2</v>
      </c>
      <c r="AS156" s="26" t="n">
        <v>2</v>
      </c>
      <c r="AT156" s="26"/>
      <c r="AU156" s="26" t="n">
        <v>2</v>
      </c>
      <c r="AV156" s="26" t="n">
        <f aca="false">SUM(AL156:AU156)</f>
        <v>20</v>
      </c>
      <c r="AW156" s="32" t="n">
        <f aca="false">IFERROR(AV156/R156*1000000,"")</f>
        <v>12870.0128700129</v>
      </c>
      <c r="AX156" s="33" t="n">
        <f aca="false">IFERROR((R156-AV156)/R156,"")</f>
        <v>0.987129987129987</v>
      </c>
      <c r="AY156" s="34" t="n">
        <f aca="false">IFERROR(AH156*AJ156*AX156,"")</f>
        <v>0.909037037037037</v>
      </c>
      <c r="AZ156" s="35"/>
    </row>
    <row r="157" customFormat="false" ht="12.75" hidden="false" customHeight="true" outlineLevel="0" collapsed="false">
      <c r="A157" s="24" t="n">
        <v>153</v>
      </c>
      <c r="B157" s="25" t="n">
        <v>46073</v>
      </c>
      <c r="C157" s="25" t="n">
        <v>12</v>
      </c>
      <c r="D157" s="26" t="s">
        <v>87</v>
      </c>
      <c r="E157" s="26" t="s">
        <v>88</v>
      </c>
      <c r="F157" s="26" t="s">
        <v>73</v>
      </c>
      <c r="G157" s="26" t="s">
        <v>10</v>
      </c>
      <c r="H157" s="27" t="n">
        <v>0.354166666666667</v>
      </c>
      <c r="I157" s="27" t="n">
        <v>0.854166666666667</v>
      </c>
      <c r="J157" s="26" t="n">
        <f aca="false">IFERROR((I157-H157)*24*60,"")</f>
        <v>720</v>
      </c>
      <c r="K157" s="26" t="s">
        <v>105</v>
      </c>
      <c r="L157" s="26" t="s">
        <v>108</v>
      </c>
      <c r="M157" s="26" t="s">
        <v>91</v>
      </c>
      <c r="N157" s="26" t="s">
        <v>92</v>
      </c>
      <c r="O157" s="26" t="n">
        <v>2</v>
      </c>
      <c r="P157" s="26" t="n">
        <v>72</v>
      </c>
      <c r="Q157" s="26" t="n">
        <f aca="false">IFERROR(3600/(P157/O157),"")</f>
        <v>100</v>
      </c>
      <c r="R157" s="26" t="n">
        <v>830</v>
      </c>
      <c r="S157" s="26" t="n">
        <v>59</v>
      </c>
      <c r="T157" s="26" t="n">
        <f aca="false">IFERROR(J157-S157,"")</f>
        <v>661</v>
      </c>
      <c r="U157" s="26"/>
      <c r="V157" s="26"/>
      <c r="W157" s="26" t="n">
        <v>22</v>
      </c>
      <c r="X157" s="26"/>
      <c r="Y157" s="26"/>
      <c r="Z157" s="26"/>
      <c r="AA157" s="26"/>
      <c r="AB157" s="26"/>
      <c r="AC157" s="26"/>
      <c r="AD157" s="26" t="n">
        <v>8</v>
      </c>
      <c r="AE157" s="26"/>
      <c r="AF157" s="26" t="n">
        <f aca="false">SUM(U157:AE157)</f>
        <v>30</v>
      </c>
      <c r="AG157" s="26" t="n">
        <f aca="false">T157-AF157</f>
        <v>631</v>
      </c>
      <c r="AH157" s="28" t="n">
        <f aca="false">IFERROR(AG157/T157,"")</f>
        <v>0.954614220877458</v>
      </c>
      <c r="AI157" s="29" t="n">
        <f aca="false">IFERROR(R157/AG157*60,"")</f>
        <v>78.9223454833598</v>
      </c>
      <c r="AJ157" s="30" t="n">
        <f aca="false">IFERROR(AI157/Q157,"")</f>
        <v>0.789223454833598</v>
      </c>
      <c r="AK157" s="31" t="n">
        <f aca="false">IFERROR(R157/(T157/60*Q157),"")</f>
        <v>0.753403933434191</v>
      </c>
      <c r="AL157" s="26" t="n">
        <v>1</v>
      </c>
      <c r="AM157" s="26" t="n">
        <v>1</v>
      </c>
      <c r="AN157" s="26" t="n">
        <v>1</v>
      </c>
      <c r="AO157" s="26" t="n">
        <v>5</v>
      </c>
      <c r="AP157" s="26" t="n">
        <v>1</v>
      </c>
      <c r="AQ157" s="26" t="n">
        <v>1</v>
      </c>
      <c r="AR157" s="26" t="n">
        <v>3</v>
      </c>
      <c r="AS157" s="26" t="n">
        <v>3</v>
      </c>
      <c r="AT157" s="26" t="n">
        <v>1</v>
      </c>
      <c r="AU157" s="26" t="n">
        <v>3</v>
      </c>
      <c r="AV157" s="26" t="n">
        <f aca="false">SUM(AL157:AU157)</f>
        <v>20</v>
      </c>
      <c r="AW157" s="32" t="n">
        <f aca="false">IFERROR(AV157/R157*1000000,"")</f>
        <v>24096.3855421687</v>
      </c>
      <c r="AX157" s="33" t="n">
        <f aca="false">IFERROR((R157-AV157)/R157,"")</f>
        <v>0.975903614457831</v>
      </c>
      <c r="AY157" s="34" t="n">
        <f aca="false">IFERROR(AH157*AJ157*AX157,"")</f>
        <v>0.735249621785174</v>
      </c>
      <c r="AZ157" s="35" t="s">
        <v>78</v>
      </c>
    </row>
    <row r="158" customFormat="false" ht="12.75" hidden="false" customHeight="true" outlineLevel="0" collapsed="false">
      <c r="A158" s="24" t="n">
        <v>154</v>
      </c>
      <c r="B158" s="25" t="n">
        <v>46074</v>
      </c>
      <c r="C158" s="25" t="n">
        <v>12</v>
      </c>
      <c r="D158" s="26" t="s">
        <v>71</v>
      </c>
      <c r="E158" s="26" t="s">
        <v>94</v>
      </c>
      <c r="F158" s="26" t="s">
        <v>81</v>
      </c>
      <c r="G158" s="26" t="s">
        <v>11</v>
      </c>
      <c r="H158" s="27" t="n">
        <v>0.354166666666667</v>
      </c>
      <c r="I158" s="27" t="n">
        <v>0.854166666666667</v>
      </c>
      <c r="J158" s="26" t="n">
        <f aca="false">IFERROR((I158-H158)*24*60,"")</f>
        <v>720</v>
      </c>
      <c r="K158" s="26" t="s">
        <v>74</v>
      </c>
      <c r="L158" s="26" t="s">
        <v>83</v>
      </c>
      <c r="M158" s="26" t="s">
        <v>95</v>
      </c>
      <c r="N158" s="26" t="s">
        <v>96</v>
      </c>
      <c r="O158" s="26" t="n">
        <v>1</v>
      </c>
      <c r="P158" s="26" t="n">
        <v>51</v>
      </c>
      <c r="Q158" s="26" t="n">
        <f aca="false">IFERROR(3600/(P158/O158),"")</f>
        <v>70.5882352941177</v>
      </c>
      <c r="R158" s="26" t="n">
        <v>650</v>
      </c>
      <c r="S158" s="26" t="n">
        <v>32</v>
      </c>
      <c r="T158" s="26" t="n">
        <f aca="false">IFERROR(J158-S158,"")</f>
        <v>688</v>
      </c>
      <c r="U158" s="26"/>
      <c r="V158" s="26"/>
      <c r="W158" s="26"/>
      <c r="X158" s="26" t="n">
        <v>18</v>
      </c>
      <c r="Y158" s="26"/>
      <c r="Z158" s="26"/>
      <c r="AA158" s="26"/>
      <c r="AB158" s="26" t="n">
        <v>9</v>
      </c>
      <c r="AC158" s="26"/>
      <c r="AD158" s="26"/>
      <c r="AE158" s="26"/>
      <c r="AF158" s="26" t="n">
        <f aca="false">SUM(U158:AE158)</f>
        <v>27</v>
      </c>
      <c r="AG158" s="26" t="n">
        <f aca="false">T158-AF158</f>
        <v>661</v>
      </c>
      <c r="AH158" s="28" t="n">
        <f aca="false">IFERROR(AG158/T158,"")</f>
        <v>0.960755813953488</v>
      </c>
      <c r="AI158" s="29" t="n">
        <f aca="false">IFERROR(R158/AG158*60,"")</f>
        <v>59.0015128593041</v>
      </c>
      <c r="AJ158" s="30" t="n">
        <f aca="false">IFERROR(AI158/Q158,"")</f>
        <v>0.835854765506808</v>
      </c>
      <c r="AK158" s="31" t="n">
        <f aca="false">IFERROR(R158/(T158/60*Q158),"")</f>
        <v>0.803052325581395</v>
      </c>
      <c r="AL158" s="26" t="n">
        <v>1</v>
      </c>
      <c r="AM158" s="26"/>
      <c r="AN158" s="26"/>
      <c r="AO158" s="26"/>
      <c r="AP158" s="26"/>
      <c r="AQ158" s="26"/>
      <c r="AR158" s="26" t="n">
        <v>1</v>
      </c>
      <c r="AS158" s="26"/>
      <c r="AT158" s="26"/>
      <c r="AU158" s="26"/>
      <c r="AV158" s="26" t="n">
        <f aca="false">SUM(AL158:AU158)</f>
        <v>2</v>
      </c>
      <c r="AW158" s="32" t="n">
        <f aca="false">IFERROR(AV158/R158*1000000,"")</f>
        <v>3076.92307692308</v>
      </c>
      <c r="AX158" s="33" t="n">
        <f aca="false">IFERROR((R158-AV158)/R158,"")</f>
        <v>0.996923076923077</v>
      </c>
      <c r="AY158" s="34" t="n">
        <f aca="false">IFERROR(AH158*AJ158*AX158,"")</f>
        <v>0.800581395348837</v>
      </c>
      <c r="AZ158" s="35" t="s">
        <v>93</v>
      </c>
    </row>
    <row r="159" customFormat="false" ht="12.75" hidden="false" customHeight="true" outlineLevel="0" collapsed="false">
      <c r="A159" s="24" t="n">
        <v>155</v>
      </c>
      <c r="B159" s="25" t="n">
        <v>46074</v>
      </c>
      <c r="C159" s="25" t="n">
        <v>12</v>
      </c>
      <c r="D159" s="26" t="s">
        <v>79</v>
      </c>
      <c r="E159" s="26" t="s">
        <v>97</v>
      </c>
      <c r="F159" s="26" t="s">
        <v>73</v>
      </c>
      <c r="G159" s="26" t="s">
        <v>12</v>
      </c>
      <c r="H159" s="27" t="n">
        <v>0.354166666666667</v>
      </c>
      <c r="I159" s="27" t="n">
        <v>0.854166666666667</v>
      </c>
      <c r="J159" s="26" t="n">
        <f aca="false">IFERROR((I159-H159)*24*60,"")</f>
        <v>720</v>
      </c>
      <c r="K159" s="26" t="s">
        <v>82</v>
      </c>
      <c r="L159" s="26" t="s">
        <v>90</v>
      </c>
      <c r="M159" s="26" t="s">
        <v>99</v>
      </c>
      <c r="N159" s="26" t="s">
        <v>100</v>
      </c>
      <c r="O159" s="26" t="n">
        <v>1</v>
      </c>
      <c r="P159" s="26" t="n">
        <v>25</v>
      </c>
      <c r="Q159" s="26" t="n">
        <f aca="false">IFERROR(3600/(P159/O159),"")</f>
        <v>144</v>
      </c>
      <c r="R159" s="26" t="n">
        <v>1332</v>
      </c>
      <c r="S159" s="26" t="n">
        <v>48</v>
      </c>
      <c r="T159" s="26" t="n">
        <f aca="false">IFERROR(J159-S159,"")</f>
        <v>672</v>
      </c>
      <c r="U159" s="26"/>
      <c r="V159" s="26"/>
      <c r="W159" s="26"/>
      <c r="X159" s="26"/>
      <c r="Y159" s="26"/>
      <c r="Z159" s="26"/>
      <c r="AA159" s="26"/>
      <c r="AB159" s="26" t="n">
        <v>8</v>
      </c>
      <c r="AC159" s="26"/>
      <c r="AD159" s="26" t="n">
        <v>16</v>
      </c>
      <c r="AE159" s="26"/>
      <c r="AF159" s="26" t="n">
        <f aca="false">SUM(U159:AE159)</f>
        <v>24</v>
      </c>
      <c r="AG159" s="26" t="n">
        <f aca="false">T159-AF159</f>
        <v>648</v>
      </c>
      <c r="AH159" s="28" t="n">
        <f aca="false">IFERROR(AG159/T159,"")</f>
        <v>0.964285714285714</v>
      </c>
      <c r="AI159" s="29" t="n">
        <f aca="false">IFERROR(R159/AG159*60,"")</f>
        <v>123.333333333333</v>
      </c>
      <c r="AJ159" s="30" t="n">
        <f aca="false">IFERROR(AI159/Q159,"")</f>
        <v>0.856481481481481</v>
      </c>
      <c r="AK159" s="31" t="n">
        <f aca="false">IFERROR(R159/(T159/60*Q159),"")</f>
        <v>0.825892857142857</v>
      </c>
      <c r="AL159" s="26" t="n">
        <v>4</v>
      </c>
      <c r="AM159" s="26" t="n">
        <v>2</v>
      </c>
      <c r="AN159" s="26" t="n">
        <v>2</v>
      </c>
      <c r="AO159" s="26" t="n">
        <v>1</v>
      </c>
      <c r="AP159" s="26" t="n">
        <v>2</v>
      </c>
      <c r="AQ159" s="26" t="n">
        <v>3</v>
      </c>
      <c r="AR159" s="26" t="n">
        <v>3</v>
      </c>
      <c r="AS159" s="26" t="n">
        <v>3</v>
      </c>
      <c r="AT159" s="26" t="n">
        <v>2</v>
      </c>
      <c r="AU159" s="26" t="n">
        <v>3</v>
      </c>
      <c r="AV159" s="26" t="n">
        <f aca="false">SUM(AL159:AU159)</f>
        <v>25</v>
      </c>
      <c r="AW159" s="32" t="n">
        <f aca="false">IFERROR(AV159/R159*1000000,"")</f>
        <v>18768.7687687688</v>
      </c>
      <c r="AX159" s="33" t="n">
        <f aca="false">IFERROR((R159-AV159)/R159,"")</f>
        <v>0.981231231231231</v>
      </c>
      <c r="AY159" s="34" t="n">
        <f aca="false">IFERROR(AH159*AJ159*AX159,"")</f>
        <v>0.810391865079365</v>
      </c>
      <c r="AZ159" s="35" t="s">
        <v>78</v>
      </c>
    </row>
    <row r="160" customFormat="false" ht="12.75" hidden="false" customHeight="true" outlineLevel="0" collapsed="false">
      <c r="A160" s="24" t="n">
        <v>156</v>
      </c>
      <c r="B160" s="25" t="n">
        <v>46074</v>
      </c>
      <c r="C160" s="25" t="n">
        <v>12</v>
      </c>
      <c r="D160" s="26" t="s">
        <v>87</v>
      </c>
      <c r="E160" s="26" t="s">
        <v>101</v>
      </c>
      <c r="F160" s="26" t="s">
        <v>81</v>
      </c>
      <c r="G160" s="26" t="s">
        <v>13</v>
      </c>
      <c r="H160" s="27" t="n">
        <v>0.354166666666667</v>
      </c>
      <c r="I160" s="27" t="n">
        <v>0.854166666666667</v>
      </c>
      <c r="J160" s="26" t="n">
        <f aca="false">IFERROR((I160-H160)*24*60,"")</f>
        <v>720</v>
      </c>
      <c r="K160" s="26" t="s">
        <v>105</v>
      </c>
      <c r="L160" s="26" t="s">
        <v>98</v>
      </c>
      <c r="M160" s="26" t="s">
        <v>103</v>
      </c>
      <c r="N160" s="26" t="s">
        <v>104</v>
      </c>
      <c r="O160" s="26" t="n">
        <v>8</v>
      </c>
      <c r="P160" s="26" t="n">
        <v>63</v>
      </c>
      <c r="Q160" s="26" t="n">
        <f aca="false">IFERROR(3600/(P160/O160),"")</f>
        <v>457.142857142857</v>
      </c>
      <c r="R160" s="26" t="n">
        <v>3408</v>
      </c>
      <c r="S160" s="26" t="n">
        <v>54</v>
      </c>
      <c r="T160" s="26" t="n">
        <f aca="false">IFERROR(J160-S160,"")</f>
        <v>666</v>
      </c>
      <c r="U160" s="26"/>
      <c r="V160" s="26" t="n">
        <v>20</v>
      </c>
      <c r="W160" s="26"/>
      <c r="X160" s="26"/>
      <c r="Y160" s="26"/>
      <c r="Z160" s="26"/>
      <c r="AA160" s="26"/>
      <c r="AB160" s="26"/>
      <c r="AC160" s="26"/>
      <c r="AD160" s="26"/>
      <c r="AE160" s="26" t="n">
        <v>8</v>
      </c>
      <c r="AF160" s="26" t="n">
        <f aca="false">SUM(U160:AE160)</f>
        <v>28</v>
      </c>
      <c r="AG160" s="26" t="n">
        <f aca="false">T160-AF160</f>
        <v>638</v>
      </c>
      <c r="AH160" s="28" t="n">
        <f aca="false">IFERROR(AG160/T160,"")</f>
        <v>0.957957957957958</v>
      </c>
      <c r="AI160" s="29" t="n">
        <f aca="false">IFERROR(R160/AG160*60,"")</f>
        <v>320.501567398119</v>
      </c>
      <c r="AJ160" s="30" t="n">
        <f aca="false">IFERROR(AI160/Q160,"")</f>
        <v>0.701097178683386</v>
      </c>
      <c r="AK160" s="31" t="n">
        <f aca="false">IFERROR(R160/(T160/60*Q160),"")</f>
        <v>0.671621621621622</v>
      </c>
      <c r="AL160" s="26" t="n">
        <v>1</v>
      </c>
      <c r="AM160" s="26" t="n">
        <v>9</v>
      </c>
      <c r="AN160" s="26" t="n">
        <v>5</v>
      </c>
      <c r="AO160" s="26" t="n">
        <v>6</v>
      </c>
      <c r="AP160" s="26" t="n">
        <v>5</v>
      </c>
      <c r="AQ160" s="26" t="n">
        <v>6</v>
      </c>
      <c r="AR160" s="26" t="n">
        <v>2</v>
      </c>
      <c r="AS160" s="26" t="n">
        <v>7</v>
      </c>
      <c r="AT160" s="26" t="n">
        <v>7</v>
      </c>
      <c r="AU160" s="26" t="n">
        <v>2</v>
      </c>
      <c r="AV160" s="26" t="n">
        <f aca="false">SUM(AL160:AU160)</f>
        <v>50</v>
      </c>
      <c r="AW160" s="32" t="n">
        <f aca="false">IFERROR(AV160/R160*1000000,"")</f>
        <v>14671.3615023474</v>
      </c>
      <c r="AX160" s="33" t="n">
        <f aca="false">IFERROR((R160-AV160)/R160,"")</f>
        <v>0.985328638497653</v>
      </c>
      <c r="AY160" s="34" t="n">
        <f aca="false">IFERROR(AH160*AJ160*AX160,"")</f>
        <v>0.661768018018018</v>
      </c>
      <c r="AZ160" s="35"/>
    </row>
    <row r="161" customFormat="false" ht="12.75" hidden="false" customHeight="true" outlineLevel="0" collapsed="false">
      <c r="A161" s="24" t="n">
        <v>157</v>
      </c>
      <c r="B161" s="25" t="n">
        <v>46075</v>
      </c>
      <c r="C161" s="25" t="n">
        <v>12</v>
      </c>
      <c r="D161" s="26" t="s">
        <v>71</v>
      </c>
      <c r="E161" s="26" t="s">
        <v>72</v>
      </c>
      <c r="F161" s="26" t="s">
        <v>73</v>
      </c>
      <c r="G161" s="26" t="s">
        <v>8</v>
      </c>
      <c r="H161" s="27" t="n">
        <v>0.354166666666667</v>
      </c>
      <c r="I161" s="27" t="n">
        <v>0.854166666666667</v>
      </c>
      <c r="J161" s="26" t="n">
        <f aca="false">IFERROR((I161-H161)*24*60,"")</f>
        <v>720</v>
      </c>
      <c r="K161" s="26" t="s">
        <v>82</v>
      </c>
      <c r="L161" s="26" t="s">
        <v>108</v>
      </c>
      <c r="M161" s="26" t="s">
        <v>76</v>
      </c>
      <c r="N161" s="26" t="s">
        <v>77</v>
      </c>
      <c r="O161" s="26" t="n">
        <v>2</v>
      </c>
      <c r="P161" s="26" t="n">
        <v>54</v>
      </c>
      <c r="Q161" s="26" t="n">
        <f aca="false">IFERROR(3600/(P161/O161),"")</f>
        <v>133.333333333333</v>
      </c>
      <c r="R161" s="26" t="n">
        <v>1053</v>
      </c>
      <c r="S161" s="26" t="n">
        <v>73</v>
      </c>
      <c r="T161" s="26" t="n">
        <f aca="false">IFERROR(J161-S161,"")</f>
        <v>647</v>
      </c>
      <c r="U161" s="26"/>
      <c r="V161" s="26" t="n">
        <v>15</v>
      </c>
      <c r="W161" s="26"/>
      <c r="X161" s="26"/>
      <c r="Y161" s="26" t="n">
        <v>4</v>
      </c>
      <c r="Z161" s="26"/>
      <c r="AA161" s="26"/>
      <c r="AB161" s="26"/>
      <c r="AC161" s="26"/>
      <c r="AD161" s="26"/>
      <c r="AE161" s="26"/>
      <c r="AF161" s="26" t="n">
        <f aca="false">SUM(U161:AE161)</f>
        <v>19</v>
      </c>
      <c r="AG161" s="26" t="n">
        <f aca="false">T161-AF161</f>
        <v>628</v>
      </c>
      <c r="AH161" s="28" t="n">
        <f aca="false">IFERROR(AG161/T161,"")</f>
        <v>0.970633693972179</v>
      </c>
      <c r="AI161" s="29" t="n">
        <f aca="false">IFERROR(R161/AG161*60,"")</f>
        <v>100.605095541401</v>
      </c>
      <c r="AJ161" s="30" t="n">
        <f aca="false">IFERROR(AI161/Q161,"")</f>
        <v>0.75453821656051</v>
      </c>
      <c r="AK161" s="31" t="n">
        <f aca="false">IFERROR(R161/(T161/60*Q161),"")</f>
        <v>0.732380216383308</v>
      </c>
      <c r="AL161" s="26"/>
      <c r="AM161" s="26"/>
      <c r="AN161" s="26"/>
      <c r="AO161" s="26" t="n">
        <v>1</v>
      </c>
      <c r="AP161" s="26"/>
      <c r="AQ161" s="26"/>
      <c r="AR161" s="26"/>
      <c r="AS161" s="26"/>
      <c r="AT161" s="26" t="n">
        <v>1</v>
      </c>
      <c r="AU161" s="26"/>
      <c r="AV161" s="26" t="n">
        <f aca="false">SUM(AL161:AU161)</f>
        <v>2</v>
      </c>
      <c r="AW161" s="32" t="n">
        <f aca="false">IFERROR(AV161/R161*1000000,"")</f>
        <v>1899.33523266857</v>
      </c>
      <c r="AX161" s="33" t="n">
        <f aca="false">IFERROR((R161-AV161)/R161,"")</f>
        <v>0.998100664767331</v>
      </c>
      <c r="AY161" s="34" t="n">
        <f aca="false">IFERROR(AH161*AJ161*AX161,"")</f>
        <v>0.730989180834621</v>
      </c>
      <c r="AZ161" s="35" t="s">
        <v>93</v>
      </c>
    </row>
    <row r="162" customFormat="false" ht="12.75" hidden="false" customHeight="true" outlineLevel="0" collapsed="false">
      <c r="A162" s="24" t="n">
        <v>158</v>
      </c>
      <c r="B162" s="25" t="n">
        <v>46075</v>
      </c>
      <c r="C162" s="25" t="n">
        <v>12</v>
      </c>
      <c r="D162" s="26" t="s">
        <v>79</v>
      </c>
      <c r="E162" s="26" t="s">
        <v>80</v>
      </c>
      <c r="F162" s="26" t="s">
        <v>81</v>
      </c>
      <c r="G162" s="26" t="s">
        <v>9</v>
      </c>
      <c r="H162" s="27" t="n">
        <v>0.354166666666667</v>
      </c>
      <c r="I162" s="27" t="n">
        <v>0.854166666666667</v>
      </c>
      <c r="J162" s="26" t="n">
        <f aca="false">IFERROR((I162-H162)*24*60,"")</f>
        <v>720</v>
      </c>
      <c r="K162" s="26" t="s">
        <v>105</v>
      </c>
      <c r="L162" s="26" t="s">
        <v>90</v>
      </c>
      <c r="M162" s="26" t="s">
        <v>84</v>
      </c>
      <c r="N162" s="26" t="s">
        <v>85</v>
      </c>
      <c r="O162" s="26" t="n">
        <v>8</v>
      </c>
      <c r="P162" s="26" t="n">
        <v>61</v>
      </c>
      <c r="Q162" s="26" t="n">
        <f aca="false">IFERROR(3600/(P162/O162),"")</f>
        <v>472.131147540984</v>
      </c>
      <c r="R162" s="26" t="n">
        <v>4421</v>
      </c>
      <c r="S162" s="26" t="n">
        <v>71</v>
      </c>
      <c r="T162" s="26" t="n">
        <f aca="false">IFERROR(J162-S162,"")</f>
        <v>649</v>
      </c>
      <c r="U162" s="26"/>
      <c r="V162" s="26"/>
      <c r="W162" s="26"/>
      <c r="X162" s="26"/>
      <c r="Y162" s="26" t="n">
        <v>10</v>
      </c>
      <c r="Z162" s="26"/>
      <c r="AA162" s="26"/>
      <c r="AB162" s="26" t="n">
        <v>20</v>
      </c>
      <c r="AC162" s="26"/>
      <c r="AD162" s="26" t="n">
        <v>21</v>
      </c>
      <c r="AE162" s="26"/>
      <c r="AF162" s="26" t="n">
        <f aca="false">SUM(U162:AE162)</f>
        <v>51</v>
      </c>
      <c r="AG162" s="26" t="n">
        <f aca="false">T162-AF162</f>
        <v>598</v>
      </c>
      <c r="AH162" s="28" t="n">
        <f aca="false">IFERROR(AG162/T162,"")</f>
        <v>0.921417565485362</v>
      </c>
      <c r="AI162" s="29" t="n">
        <f aca="false">IFERROR(R162/AG162*60,"")</f>
        <v>443.578595317726</v>
      </c>
      <c r="AJ162" s="30" t="n">
        <f aca="false">IFERROR(AI162/Q162,"")</f>
        <v>0.939524108138239</v>
      </c>
      <c r="AK162" s="31" t="n">
        <f aca="false">IFERROR(R162/(T162/60*Q162),"")</f>
        <v>0.865694016435542</v>
      </c>
      <c r="AL162" s="26" t="n">
        <v>1</v>
      </c>
      <c r="AM162" s="26"/>
      <c r="AN162" s="26" t="n">
        <v>8</v>
      </c>
      <c r="AO162" s="26" t="n">
        <v>2</v>
      </c>
      <c r="AP162" s="26" t="n">
        <v>5</v>
      </c>
      <c r="AQ162" s="26" t="n">
        <v>2</v>
      </c>
      <c r="AR162" s="26"/>
      <c r="AS162" s="26" t="n">
        <v>2</v>
      </c>
      <c r="AT162" s="26" t="n">
        <v>1</v>
      </c>
      <c r="AU162" s="26" t="n">
        <v>1</v>
      </c>
      <c r="AV162" s="26" t="n">
        <f aca="false">SUM(AL162:AU162)</f>
        <v>22</v>
      </c>
      <c r="AW162" s="32" t="n">
        <f aca="false">IFERROR(AV162/R162*1000000,"")</f>
        <v>4976.24971725854</v>
      </c>
      <c r="AX162" s="33" t="n">
        <f aca="false">IFERROR((R162-AV162)/R162,"")</f>
        <v>0.995023750282742</v>
      </c>
      <c r="AY162" s="34" t="n">
        <f aca="false">IFERROR(AH162*AJ162*AX162,"")</f>
        <v>0.861386106831022</v>
      </c>
      <c r="AZ162" s="35" t="s">
        <v>93</v>
      </c>
    </row>
    <row r="163" customFormat="false" ht="12.75" hidden="false" customHeight="true" outlineLevel="0" collapsed="false">
      <c r="A163" s="24" t="n">
        <v>159</v>
      </c>
      <c r="B163" s="25" t="n">
        <v>46075</v>
      </c>
      <c r="C163" s="25" t="n">
        <v>12</v>
      </c>
      <c r="D163" s="26" t="s">
        <v>87</v>
      </c>
      <c r="E163" s="26" t="s">
        <v>88</v>
      </c>
      <c r="F163" s="26" t="s">
        <v>73</v>
      </c>
      <c r="G163" s="26" t="s">
        <v>10</v>
      </c>
      <c r="H163" s="27" t="n">
        <v>0.354166666666667</v>
      </c>
      <c r="I163" s="27" t="n">
        <v>0.854166666666667</v>
      </c>
      <c r="J163" s="26" t="n">
        <f aca="false">IFERROR((I163-H163)*24*60,"")</f>
        <v>720</v>
      </c>
      <c r="K163" s="26" t="s">
        <v>74</v>
      </c>
      <c r="L163" s="26" t="s">
        <v>75</v>
      </c>
      <c r="M163" s="26" t="s">
        <v>91</v>
      </c>
      <c r="N163" s="26" t="s">
        <v>92</v>
      </c>
      <c r="O163" s="26" t="n">
        <v>8</v>
      </c>
      <c r="P163" s="26" t="n">
        <v>40</v>
      </c>
      <c r="Q163" s="26" t="n">
        <f aca="false">IFERROR(3600/(P163/O163),"")</f>
        <v>720</v>
      </c>
      <c r="R163" s="26" t="n">
        <v>6345</v>
      </c>
      <c r="S163" s="26" t="n">
        <v>66</v>
      </c>
      <c r="T163" s="26" t="n">
        <f aca="false">IFERROR(J163-S163,"")</f>
        <v>654</v>
      </c>
      <c r="U163" s="26" t="n">
        <v>11</v>
      </c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 t="n">
        <f aca="false">SUM(U163:AE163)</f>
        <v>11</v>
      </c>
      <c r="AG163" s="26" t="n">
        <f aca="false">T163-AF163</f>
        <v>643</v>
      </c>
      <c r="AH163" s="28" t="n">
        <f aca="false">IFERROR(AG163/T163,"")</f>
        <v>0.983180428134557</v>
      </c>
      <c r="AI163" s="29" t="n">
        <f aca="false">IFERROR(R163/AG163*60,"")</f>
        <v>592.068429237947</v>
      </c>
      <c r="AJ163" s="30" t="n">
        <f aca="false">IFERROR(AI163/Q163,"")</f>
        <v>0.822317262830482</v>
      </c>
      <c r="AK163" s="31" t="n">
        <f aca="false">IFERROR(R163/(T163/60*Q163),"")</f>
        <v>0.80848623853211</v>
      </c>
      <c r="AL163" s="26" t="n">
        <v>9</v>
      </c>
      <c r="AM163" s="26" t="n">
        <v>10</v>
      </c>
      <c r="AN163" s="26" t="n">
        <v>11</v>
      </c>
      <c r="AO163" s="26" t="n">
        <v>7</v>
      </c>
      <c r="AP163" s="26" t="n">
        <v>10</v>
      </c>
      <c r="AQ163" s="26" t="n">
        <v>14</v>
      </c>
      <c r="AR163" s="26" t="n">
        <v>12</v>
      </c>
      <c r="AS163" s="26" t="n">
        <v>14</v>
      </c>
      <c r="AT163" s="26" t="n">
        <v>12</v>
      </c>
      <c r="AU163" s="26" t="n">
        <v>10</v>
      </c>
      <c r="AV163" s="26" t="n">
        <f aca="false">SUM(AL163:AU163)</f>
        <v>109</v>
      </c>
      <c r="AW163" s="32" t="n">
        <f aca="false">IFERROR(AV163/R163*1000000,"")</f>
        <v>17178.8810086682</v>
      </c>
      <c r="AX163" s="33" t="n">
        <f aca="false">IFERROR((R163-AV163)/R163,"")</f>
        <v>0.982821118991332</v>
      </c>
      <c r="AY163" s="34" t="n">
        <f aca="false">IFERROR(AH163*AJ163*AX163,"")</f>
        <v>0.794597349643221</v>
      </c>
      <c r="AZ163" s="35" t="s">
        <v>86</v>
      </c>
    </row>
    <row r="164" customFormat="false" ht="12.75" hidden="false" customHeight="true" outlineLevel="0" collapsed="false">
      <c r="A164" s="24" t="n">
        <v>160</v>
      </c>
      <c r="B164" s="25" t="n">
        <v>46076</v>
      </c>
      <c r="C164" s="25" t="n">
        <v>12</v>
      </c>
      <c r="D164" s="26" t="s">
        <v>71</v>
      </c>
      <c r="E164" s="26" t="s">
        <v>94</v>
      </c>
      <c r="F164" s="26" t="s">
        <v>81</v>
      </c>
      <c r="G164" s="26" t="s">
        <v>11</v>
      </c>
      <c r="H164" s="27" t="n">
        <v>0.354166666666667</v>
      </c>
      <c r="I164" s="27" t="n">
        <v>0.854166666666667</v>
      </c>
      <c r="J164" s="26" t="n">
        <f aca="false">IFERROR((I164-H164)*24*60,"")</f>
        <v>720</v>
      </c>
      <c r="K164" s="26" t="s">
        <v>89</v>
      </c>
      <c r="L164" s="26" t="s">
        <v>106</v>
      </c>
      <c r="M164" s="26" t="s">
        <v>95</v>
      </c>
      <c r="N164" s="26" t="s">
        <v>96</v>
      </c>
      <c r="O164" s="26" t="n">
        <v>8</v>
      </c>
      <c r="P164" s="26" t="n">
        <v>26</v>
      </c>
      <c r="Q164" s="26" t="n">
        <f aca="false">IFERROR(3600/(P164/O164),"")</f>
        <v>1107.69230769231</v>
      </c>
      <c r="R164" s="26" t="n">
        <v>11330</v>
      </c>
      <c r="S164" s="26" t="n">
        <v>54</v>
      </c>
      <c r="T164" s="26" t="n">
        <f aca="false">IFERROR(J164-S164,"")</f>
        <v>666</v>
      </c>
      <c r="U164" s="26"/>
      <c r="V164" s="26"/>
      <c r="W164" s="26"/>
      <c r="X164" s="26"/>
      <c r="Y164" s="26" t="n">
        <v>21</v>
      </c>
      <c r="Z164" s="26"/>
      <c r="AA164" s="26"/>
      <c r="AB164" s="26"/>
      <c r="AC164" s="26" t="n">
        <v>10</v>
      </c>
      <c r="AD164" s="26"/>
      <c r="AE164" s="26"/>
      <c r="AF164" s="26" t="n">
        <f aca="false">SUM(U164:AE164)</f>
        <v>31</v>
      </c>
      <c r="AG164" s="26" t="n">
        <f aca="false">T164-AF164</f>
        <v>635</v>
      </c>
      <c r="AH164" s="28" t="n">
        <f aca="false">IFERROR(AG164/T164,"")</f>
        <v>0.953453453453453</v>
      </c>
      <c r="AI164" s="29" t="n">
        <f aca="false">IFERROR(R164/AG164*60,"")</f>
        <v>1070.55118110236</v>
      </c>
      <c r="AJ164" s="30" t="n">
        <f aca="false">IFERROR(AI164/Q164,"")</f>
        <v>0.966469816272966</v>
      </c>
      <c r="AK164" s="31" t="n">
        <f aca="false">IFERROR(R164/(T164/60*Q164),"")</f>
        <v>0.921483983983984</v>
      </c>
      <c r="AL164" s="26" t="n">
        <v>20</v>
      </c>
      <c r="AM164" s="26" t="n">
        <v>31</v>
      </c>
      <c r="AN164" s="26" t="n">
        <v>26</v>
      </c>
      <c r="AO164" s="26" t="n">
        <v>20</v>
      </c>
      <c r="AP164" s="26" t="n">
        <v>23</v>
      </c>
      <c r="AQ164" s="26" t="n">
        <v>23</v>
      </c>
      <c r="AR164" s="26" t="n">
        <v>13</v>
      </c>
      <c r="AS164" s="26" t="n">
        <v>19</v>
      </c>
      <c r="AT164" s="26" t="n">
        <v>22</v>
      </c>
      <c r="AU164" s="26" t="n">
        <v>18</v>
      </c>
      <c r="AV164" s="26" t="n">
        <f aca="false">SUM(AL164:AU164)</f>
        <v>215</v>
      </c>
      <c r="AW164" s="32" t="n">
        <f aca="false">IFERROR(AV164/R164*1000000,"")</f>
        <v>18976.1694616064</v>
      </c>
      <c r="AX164" s="33" t="n">
        <f aca="false">IFERROR((R164-AV164)/R164,"")</f>
        <v>0.981023830538394</v>
      </c>
      <c r="AY164" s="34" t="n">
        <f aca="false">IFERROR(AH164*AJ164*AX164,"")</f>
        <v>0.903997747747748</v>
      </c>
      <c r="AZ164" s="35" t="s">
        <v>86</v>
      </c>
    </row>
    <row r="165" customFormat="false" ht="12.75" hidden="false" customHeight="true" outlineLevel="0" collapsed="false">
      <c r="A165" s="24" t="n">
        <v>161</v>
      </c>
      <c r="B165" s="25" t="n">
        <v>46076</v>
      </c>
      <c r="C165" s="25" t="n">
        <v>12</v>
      </c>
      <c r="D165" s="26" t="s">
        <v>79</v>
      </c>
      <c r="E165" s="26" t="s">
        <v>97</v>
      </c>
      <c r="F165" s="26" t="s">
        <v>73</v>
      </c>
      <c r="G165" s="26" t="s">
        <v>12</v>
      </c>
      <c r="H165" s="27" t="n">
        <v>0.354166666666667</v>
      </c>
      <c r="I165" s="27" t="n">
        <v>0.854166666666667</v>
      </c>
      <c r="J165" s="26" t="n">
        <f aca="false">IFERROR((I165-H165)*24*60,"")</f>
        <v>720</v>
      </c>
      <c r="K165" s="26" t="s">
        <v>89</v>
      </c>
      <c r="L165" s="26" t="s">
        <v>102</v>
      </c>
      <c r="M165" s="26" t="s">
        <v>99</v>
      </c>
      <c r="N165" s="26" t="s">
        <v>100</v>
      </c>
      <c r="O165" s="26" t="n">
        <v>1</v>
      </c>
      <c r="P165" s="26" t="n">
        <v>49</v>
      </c>
      <c r="Q165" s="26" t="n">
        <f aca="false">IFERROR(3600/(P165/O165),"")</f>
        <v>73.4693877551021</v>
      </c>
      <c r="R165" s="26" t="n">
        <v>654</v>
      </c>
      <c r="S165" s="26" t="n">
        <v>30</v>
      </c>
      <c r="T165" s="26" t="n">
        <f aca="false">IFERROR(J165-S165,"")</f>
        <v>690</v>
      </c>
      <c r="U165" s="26"/>
      <c r="V165" s="26" t="n">
        <v>8</v>
      </c>
      <c r="W165" s="26"/>
      <c r="X165" s="26"/>
      <c r="Y165" s="26"/>
      <c r="Z165" s="26"/>
      <c r="AA165" s="26" t="n">
        <v>64</v>
      </c>
      <c r="AB165" s="26"/>
      <c r="AC165" s="26"/>
      <c r="AD165" s="26"/>
      <c r="AE165" s="26"/>
      <c r="AF165" s="26" t="n">
        <f aca="false">SUM(U165:AE165)</f>
        <v>72</v>
      </c>
      <c r="AG165" s="26" t="n">
        <f aca="false">T165-AF165</f>
        <v>618</v>
      </c>
      <c r="AH165" s="28" t="n">
        <f aca="false">IFERROR(AG165/T165,"")</f>
        <v>0.895652173913044</v>
      </c>
      <c r="AI165" s="29" t="n">
        <f aca="false">IFERROR(R165/AG165*60,"")</f>
        <v>63.495145631068</v>
      </c>
      <c r="AJ165" s="30" t="n">
        <f aca="false">IFERROR(AI165/Q165,"")</f>
        <v>0.864239482200647</v>
      </c>
      <c r="AK165" s="31" t="n">
        <f aca="false">IFERROR(R165/(T165/60*Q165),"")</f>
        <v>0.774057971014493</v>
      </c>
      <c r="AL165" s="26"/>
      <c r="AM165" s="26" t="n">
        <v>3</v>
      </c>
      <c r="AN165" s="26" t="n">
        <v>1</v>
      </c>
      <c r="AO165" s="26" t="n">
        <v>3</v>
      </c>
      <c r="AP165" s="26"/>
      <c r="AQ165" s="26" t="n">
        <v>2</v>
      </c>
      <c r="AR165" s="26" t="n">
        <v>1</v>
      </c>
      <c r="AS165" s="26"/>
      <c r="AT165" s="26"/>
      <c r="AU165" s="26" t="n">
        <v>1</v>
      </c>
      <c r="AV165" s="26" t="n">
        <f aca="false">SUM(AL165:AU165)</f>
        <v>11</v>
      </c>
      <c r="AW165" s="32" t="n">
        <f aca="false">IFERROR(AV165/R165*1000000,"")</f>
        <v>16819.5718654434</v>
      </c>
      <c r="AX165" s="33" t="n">
        <f aca="false">IFERROR((R165-AV165)/R165,"")</f>
        <v>0.983180428134557</v>
      </c>
      <c r="AY165" s="34" t="n">
        <f aca="false">IFERROR(AH165*AJ165*AX165,"")</f>
        <v>0.761038647342995</v>
      </c>
      <c r="AZ165" s="35" t="s">
        <v>93</v>
      </c>
    </row>
    <row r="166" customFormat="false" ht="12.75" hidden="false" customHeight="true" outlineLevel="0" collapsed="false">
      <c r="A166" s="24" t="n">
        <v>162</v>
      </c>
      <c r="B166" s="25" t="n">
        <v>46076</v>
      </c>
      <c r="C166" s="25" t="n">
        <v>12</v>
      </c>
      <c r="D166" s="26" t="s">
        <v>87</v>
      </c>
      <c r="E166" s="26" t="s">
        <v>101</v>
      </c>
      <c r="F166" s="26" t="s">
        <v>81</v>
      </c>
      <c r="G166" s="26" t="s">
        <v>13</v>
      </c>
      <c r="H166" s="27" t="n">
        <v>0.354166666666667</v>
      </c>
      <c r="I166" s="27" t="n">
        <v>0.854166666666667</v>
      </c>
      <c r="J166" s="26" t="n">
        <f aca="false">IFERROR((I166-H166)*24*60,"")</f>
        <v>720</v>
      </c>
      <c r="K166" s="26" t="s">
        <v>105</v>
      </c>
      <c r="L166" s="26" t="s">
        <v>106</v>
      </c>
      <c r="M166" s="26" t="s">
        <v>103</v>
      </c>
      <c r="N166" s="26" t="s">
        <v>104</v>
      </c>
      <c r="O166" s="26" t="n">
        <v>8</v>
      </c>
      <c r="P166" s="26" t="n">
        <v>46</v>
      </c>
      <c r="Q166" s="26" t="n">
        <f aca="false">IFERROR(3600/(P166/O166),"")</f>
        <v>626.086956521739</v>
      </c>
      <c r="R166" s="26" t="n">
        <v>5500</v>
      </c>
      <c r="S166" s="26" t="n">
        <v>75</v>
      </c>
      <c r="T166" s="26" t="n">
        <f aca="false">IFERROR(J166-S166,"")</f>
        <v>645</v>
      </c>
      <c r="U166" s="26"/>
      <c r="V166" s="26"/>
      <c r="W166" s="26" t="n">
        <v>18</v>
      </c>
      <c r="X166" s="26"/>
      <c r="Y166" s="26" t="n">
        <v>11</v>
      </c>
      <c r="Z166" s="26"/>
      <c r="AA166" s="26"/>
      <c r="AB166" s="26" t="n">
        <v>15</v>
      </c>
      <c r="AC166" s="26"/>
      <c r="AD166" s="26"/>
      <c r="AE166" s="26"/>
      <c r="AF166" s="26" t="n">
        <f aca="false">SUM(U166:AE166)</f>
        <v>44</v>
      </c>
      <c r="AG166" s="26" t="n">
        <f aca="false">T166-AF166</f>
        <v>601</v>
      </c>
      <c r="AH166" s="28" t="n">
        <f aca="false">IFERROR(AG166/T166,"")</f>
        <v>0.931782945736434</v>
      </c>
      <c r="AI166" s="29" t="n">
        <f aca="false">IFERROR(R166/AG166*60,"")</f>
        <v>549.084858569052</v>
      </c>
      <c r="AJ166" s="30" t="n">
        <f aca="false">IFERROR(AI166/Q166,"")</f>
        <v>0.877010537992235</v>
      </c>
      <c r="AK166" s="31" t="n">
        <f aca="false">IFERROR(R166/(T166/60*Q166),"")</f>
        <v>0.8171834625323</v>
      </c>
      <c r="AL166" s="26" t="n">
        <v>13</v>
      </c>
      <c r="AM166" s="26" t="n">
        <v>12</v>
      </c>
      <c r="AN166" s="26" t="n">
        <v>9</v>
      </c>
      <c r="AO166" s="26" t="n">
        <v>5</v>
      </c>
      <c r="AP166" s="26" t="n">
        <v>10</v>
      </c>
      <c r="AQ166" s="26" t="n">
        <v>12</v>
      </c>
      <c r="AR166" s="26" t="n">
        <v>11</v>
      </c>
      <c r="AS166" s="26" t="n">
        <v>16</v>
      </c>
      <c r="AT166" s="26" t="n">
        <v>10</v>
      </c>
      <c r="AU166" s="26" t="n">
        <v>10</v>
      </c>
      <c r="AV166" s="26" t="n">
        <f aca="false">SUM(AL166:AU166)</f>
        <v>108</v>
      </c>
      <c r="AW166" s="32" t="n">
        <f aca="false">IFERROR(AV166/R166*1000000,"")</f>
        <v>19636.3636363636</v>
      </c>
      <c r="AX166" s="33" t="n">
        <f aca="false">IFERROR((R166-AV166)/R166,"")</f>
        <v>0.980363636363636</v>
      </c>
      <c r="AY166" s="34" t="n">
        <f aca="false">IFERROR(AH166*AJ166*AX166,"")</f>
        <v>0.801136950904393</v>
      </c>
      <c r="AZ166" s="35" t="s">
        <v>78</v>
      </c>
    </row>
    <row r="167" customFormat="false" ht="12.75" hidden="false" customHeight="true" outlineLevel="0" collapsed="false">
      <c r="A167" s="24" t="n">
        <v>163</v>
      </c>
      <c r="B167" s="25" t="n">
        <v>46077</v>
      </c>
      <c r="C167" s="25" t="n">
        <v>12</v>
      </c>
      <c r="D167" s="26" t="s">
        <v>71</v>
      </c>
      <c r="E167" s="26" t="s">
        <v>72</v>
      </c>
      <c r="F167" s="26" t="s">
        <v>73</v>
      </c>
      <c r="G167" s="26" t="s">
        <v>8</v>
      </c>
      <c r="H167" s="27" t="n">
        <v>0.354166666666667</v>
      </c>
      <c r="I167" s="27" t="n">
        <v>0.854166666666667</v>
      </c>
      <c r="J167" s="26" t="n">
        <f aca="false">IFERROR((I167-H167)*24*60,"")</f>
        <v>720</v>
      </c>
      <c r="K167" s="26" t="s">
        <v>74</v>
      </c>
      <c r="L167" s="26" t="s">
        <v>98</v>
      </c>
      <c r="M167" s="26" t="s">
        <v>76</v>
      </c>
      <c r="N167" s="26" t="s">
        <v>77</v>
      </c>
      <c r="O167" s="26" t="n">
        <v>8</v>
      </c>
      <c r="P167" s="26" t="n">
        <v>41</v>
      </c>
      <c r="Q167" s="26" t="n">
        <f aca="false">IFERROR(3600/(P167/O167),"")</f>
        <v>702.439024390244</v>
      </c>
      <c r="R167" s="26" t="n">
        <v>5079</v>
      </c>
      <c r="S167" s="26" t="n">
        <v>59</v>
      </c>
      <c r="T167" s="26" t="n">
        <f aca="false">IFERROR(J167-S167,"")</f>
        <v>661</v>
      </c>
      <c r="U167" s="26" t="n">
        <v>21</v>
      </c>
      <c r="V167" s="26"/>
      <c r="W167" s="26"/>
      <c r="X167" s="26"/>
      <c r="Y167" s="26"/>
      <c r="Z167" s="26"/>
      <c r="AA167" s="26" t="n">
        <v>13</v>
      </c>
      <c r="AB167" s="26"/>
      <c r="AC167" s="26"/>
      <c r="AD167" s="26"/>
      <c r="AE167" s="26"/>
      <c r="AF167" s="26" t="n">
        <f aca="false">SUM(U167:AE167)</f>
        <v>34</v>
      </c>
      <c r="AG167" s="26" t="n">
        <f aca="false">T167-AF167</f>
        <v>627</v>
      </c>
      <c r="AH167" s="28" t="n">
        <f aca="false">IFERROR(AG167/T167,"")</f>
        <v>0.94856278366112</v>
      </c>
      <c r="AI167" s="29" t="n">
        <f aca="false">IFERROR(R167/AG167*60,"")</f>
        <v>486.028708133971</v>
      </c>
      <c r="AJ167" s="30" t="n">
        <f aca="false">IFERROR(AI167/Q167,"")</f>
        <v>0.691915869218501</v>
      </c>
      <c r="AK167" s="31" t="n">
        <f aca="false">IFERROR(R167/(T167/60*Q167),"")</f>
        <v>0.656325642965204</v>
      </c>
      <c r="AL167" s="26" t="n">
        <v>3</v>
      </c>
      <c r="AM167" s="26" t="n">
        <v>7</v>
      </c>
      <c r="AN167" s="26" t="n">
        <v>4</v>
      </c>
      <c r="AO167" s="26" t="n">
        <v>9</v>
      </c>
      <c r="AP167" s="26" t="n">
        <v>9</v>
      </c>
      <c r="AQ167" s="26" t="n">
        <v>8</v>
      </c>
      <c r="AR167" s="26" t="n">
        <v>7</v>
      </c>
      <c r="AS167" s="26" t="n">
        <v>8</v>
      </c>
      <c r="AT167" s="26" t="n">
        <v>10</v>
      </c>
      <c r="AU167" s="26" t="n">
        <v>11</v>
      </c>
      <c r="AV167" s="26" t="n">
        <f aca="false">SUM(AL167:AU167)</f>
        <v>76</v>
      </c>
      <c r="AW167" s="32" t="n">
        <f aca="false">IFERROR(AV167/R167*1000000,"")</f>
        <v>14963.5755069896</v>
      </c>
      <c r="AX167" s="33" t="n">
        <f aca="false">IFERROR((R167-AV167)/R167,"")</f>
        <v>0.98503642449301</v>
      </c>
      <c r="AY167" s="34" t="n">
        <f aca="false">IFERROR(AH167*AJ167*AX167,"")</f>
        <v>0.646504664649521</v>
      </c>
      <c r="AZ167" s="35"/>
    </row>
    <row r="168" customFormat="false" ht="12.75" hidden="false" customHeight="true" outlineLevel="0" collapsed="false">
      <c r="A168" s="24" t="n">
        <v>164</v>
      </c>
      <c r="B168" s="25" t="n">
        <v>46077</v>
      </c>
      <c r="C168" s="25" t="n">
        <v>12</v>
      </c>
      <c r="D168" s="26" t="s">
        <v>79</v>
      </c>
      <c r="E168" s="26" t="s">
        <v>80</v>
      </c>
      <c r="F168" s="26" t="s">
        <v>81</v>
      </c>
      <c r="G168" s="26" t="s">
        <v>9</v>
      </c>
      <c r="H168" s="27" t="n">
        <v>0.354166666666667</v>
      </c>
      <c r="I168" s="27" t="n">
        <v>0.854166666666667</v>
      </c>
      <c r="J168" s="26" t="n">
        <f aca="false">IFERROR((I168-H168)*24*60,"")</f>
        <v>720</v>
      </c>
      <c r="K168" s="26" t="s">
        <v>82</v>
      </c>
      <c r="L168" s="26" t="s">
        <v>102</v>
      </c>
      <c r="M168" s="26" t="s">
        <v>84</v>
      </c>
      <c r="N168" s="26" t="s">
        <v>85</v>
      </c>
      <c r="O168" s="26" t="n">
        <v>1</v>
      </c>
      <c r="P168" s="26" t="n">
        <v>64</v>
      </c>
      <c r="Q168" s="26" t="n">
        <f aca="false">IFERROR(3600/(P168/O168),"")</f>
        <v>56.25</v>
      </c>
      <c r="R168" s="26" t="n">
        <v>453</v>
      </c>
      <c r="S168" s="26" t="n">
        <v>56</v>
      </c>
      <c r="T168" s="26" t="n">
        <f aca="false">IFERROR(J168-S168,"")</f>
        <v>664</v>
      </c>
      <c r="U168" s="26"/>
      <c r="V168" s="26"/>
      <c r="W168" s="26"/>
      <c r="X168" s="26"/>
      <c r="Y168" s="26" t="n">
        <v>19</v>
      </c>
      <c r="Z168" s="26"/>
      <c r="AA168" s="26"/>
      <c r="AB168" s="26"/>
      <c r="AC168" s="26"/>
      <c r="AD168" s="26"/>
      <c r="AE168" s="26"/>
      <c r="AF168" s="26" t="n">
        <f aca="false">SUM(U168:AE168)</f>
        <v>19</v>
      </c>
      <c r="AG168" s="26" t="n">
        <f aca="false">T168-AF168</f>
        <v>645</v>
      </c>
      <c r="AH168" s="28" t="n">
        <f aca="false">IFERROR(AG168/T168,"")</f>
        <v>0.971385542168675</v>
      </c>
      <c r="AI168" s="29" t="n">
        <f aca="false">IFERROR(R168/AG168*60,"")</f>
        <v>42.1395348837209</v>
      </c>
      <c r="AJ168" s="30" t="n">
        <f aca="false">IFERROR(AI168/Q168,"")</f>
        <v>0.749147286821705</v>
      </c>
      <c r="AK168" s="31" t="n">
        <f aca="false">IFERROR(R168/(T168/60*Q168),"")</f>
        <v>0.727710843373494</v>
      </c>
      <c r="AL168" s="26" t="n">
        <v>1</v>
      </c>
      <c r="AM168" s="26" t="n">
        <v>1</v>
      </c>
      <c r="AN168" s="26" t="n">
        <v>1</v>
      </c>
      <c r="AO168" s="26" t="n">
        <v>4</v>
      </c>
      <c r="AP168" s="26"/>
      <c r="AQ168" s="26"/>
      <c r="AR168" s="26" t="n">
        <v>1</v>
      </c>
      <c r="AS168" s="26"/>
      <c r="AT168" s="26"/>
      <c r="AU168" s="26"/>
      <c r="AV168" s="26" t="n">
        <f aca="false">SUM(AL168:AU168)</f>
        <v>8</v>
      </c>
      <c r="AW168" s="32" t="n">
        <f aca="false">IFERROR(AV168/R168*1000000,"")</f>
        <v>17660.0441501104</v>
      </c>
      <c r="AX168" s="33" t="n">
        <f aca="false">IFERROR((R168-AV168)/R168,"")</f>
        <v>0.98233995584989</v>
      </c>
      <c r="AY168" s="34" t="n">
        <f aca="false">IFERROR(AH168*AJ168*AX168,"")</f>
        <v>0.714859437751004</v>
      </c>
      <c r="AZ168" s="35"/>
    </row>
    <row r="169" customFormat="false" ht="12.75" hidden="false" customHeight="true" outlineLevel="0" collapsed="false">
      <c r="A169" s="24" t="n">
        <v>165</v>
      </c>
      <c r="B169" s="25" t="n">
        <v>46077</v>
      </c>
      <c r="C169" s="25" t="n">
        <v>12</v>
      </c>
      <c r="D169" s="26" t="s">
        <v>87</v>
      </c>
      <c r="E169" s="26" t="s">
        <v>88</v>
      </c>
      <c r="F169" s="26" t="s">
        <v>73</v>
      </c>
      <c r="G169" s="26" t="s">
        <v>10</v>
      </c>
      <c r="H169" s="27" t="n">
        <v>0.354166666666667</v>
      </c>
      <c r="I169" s="27" t="n">
        <v>0.854166666666667</v>
      </c>
      <c r="J169" s="26" t="n">
        <f aca="false">IFERROR((I169-H169)*24*60,"")</f>
        <v>720</v>
      </c>
      <c r="K169" s="26" t="s">
        <v>105</v>
      </c>
      <c r="L169" s="26" t="s">
        <v>98</v>
      </c>
      <c r="M169" s="26" t="s">
        <v>91</v>
      </c>
      <c r="N169" s="26" t="s">
        <v>92</v>
      </c>
      <c r="O169" s="26" t="n">
        <v>8</v>
      </c>
      <c r="P169" s="26" t="n">
        <v>65</v>
      </c>
      <c r="Q169" s="26" t="n">
        <f aca="false">IFERROR(3600/(P169/O169),"")</f>
        <v>443.076923076923</v>
      </c>
      <c r="R169" s="26" t="n">
        <v>4439</v>
      </c>
      <c r="S169" s="26" t="n">
        <v>65</v>
      </c>
      <c r="T169" s="26" t="n">
        <f aca="false">IFERROR(J169-S169,"")</f>
        <v>655</v>
      </c>
      <c r="U169" s="26"/>
      <c r="V169" s="26"/>
      <c r="W169" s="26"/>
      <c r="X169" s="26"/>
      <c r="Y169" s="26" t="n">
        <v>8</v>
      </c>
      <c r="Z169" s="26"/>
      <c r="AA169" s="26"/>
      <c r="AB169" s="26"/>
      <c r="AC169" s="26"/>
      <c r="AD169" s="26"/>
      <c r="AE169" s="26"/>
      <c r="AF169" s="26" t="n">
        <f aca="false">SUM(U169:AE169)</f>
        <v>8</v>
      </c>
      <c r="AG169" s="26" t="n">
        <f aca="false">T169-AF169</f>
        <v>647</v>
      </c>
      <c r="AH169" s="28" t="n">
        <f aca="false">IFERROR(AG169/T169,"")</f>
        <v>0.987786259541985</v>
      </c>
      <c r="AI169" s="29" t="n">
        <f aca="false">IFERROR(R169/AG169*60,"")</f>
        <v>411.653786707883</v>
      </c>
      <c r="AJ169" s="30" t="n">
        <f aca="false">IFERROR(AI169/Q169,"")</f>
        <v>0.929079726944874</v>
      </c>
      <c r="AK169" s="31" t="n">
        <f aca="false">IFERROR(R169/(T169/60*Q169),"")</f>
        <v>0.917732188295165</v>
      </c>
      <c r="AL169" s="26" t="n">
        <v>3</v>
      </c>
      <c r="AM169" s="26" t="n">
        <v>4</v>
      </c>
      <c r="AN169" s="26" t="n">
        <v>2</v>
      </c>
      <c r="AO169" s="26" t="n">
        <v>1</v>
      </c>
      <c r="AP169" s="26" t="n">
        <v>3</v>
      </c>
      <c r="AQ169" s="26" t="n">
        <v>2</v>
      </c>
      <c r="AR169" s="26" t="n">
        <v>2</v>
      </c>
      <c r="AS169" s="26" t="n">
        <v>1</v>
      </c>
      <c r="AT169" s="26" t="n">
        <v>2</v>
      </c>
      <c r="AU169" s="26" t="n">
        <v>2</v>
      </c>
      <c r="AV169" s="26" t="n">
        <f aca="false">SUM(AL169:AU169)</f>
        <v>22</v>
      </c>
      <c r="AW169" s="32" t="n">
        <f aca="false">IFERROR(AV169/R169*1000000,"")</f>
        <v>4956.07118720433</v>
      </c>
      <c r="AX169" s="33" t="n">
        <f aca="false">IFERROR((R169-AV169)/R169,"")</f>
        <v>0.995043928812796</v>
      </c>
      <c r="AY169" s="34" t="n">
        <f aca="false">IFERROR(AH169*AJ169*AX169,"")</f>
        <v>0.913183842239186</v>
      </c>
      <c r="AZ169" s="35"/>
    </row>
    <row r="170" customFormat="false" ht="12.75" hidden="false" customHeight="true" outlineLevel="0" collapsed="false">
      <c r="A170" s="24" t="n">
        <v>166</v>
      </c>
      <c r="B170" s="25" t="n">
        <v>46078</v>
      </c>
      <c r="C170" s="25" t="n">
        <v>12</v>
      </c>
      <c r="D170" s="26" t="s">
        <v>71</v>
      </c>
      <c r="E170" s="26" t="s">
        <v>94</v>
      </c>
      <c r="F170" s="26" t="s">
        <v>81</v>
      </c>
      <c r="G170" s="26" t="s">
        <v>11</v>
      </c>
      <c r="H170" s="27" t="n">
        <v>0.354166666666667</v>
      </c>
      <c r="I170" s="27" t="n">
        <v>0.854166666666667</v>
      </c>
      <c r="J170" s="26" t="n">
        <f aca="false">IFERROR((I170-H170)*24*60,"")</f>
        <v>720</v>
      </c>
      <c r="K170" s="26" t="s">
        <v>82</v>
      </c>
      <c r="L170" s="26" t="s">
        <v>102</v>
      </c>
      <c r="M170" s="26" t="s">
        <v>95</v>
      </c>
      <c r="N170" s="26" t="s">
        <v>96</v>
      </c>
      <c r="O170" s="26" t="n">
        <v>1</v>
      </c>
      <c r="P170" s="26" t="n">
        <v>73</v>
      </c>
      <c r="Q170" s="26" t="n">
        <f aca="false">IFERROR(3600/(P170/O170),"")</f>
        <v>49.3150684931507</v>
      </c>
      <c r="R170" s="26" t="n">
        <v>522</v>
      </c>
      <c r="S170" s="26" t="n">
        <v>35</v>
      </c>
      <c r="T170" s="26" t="n">
        <f aca="false">IFERROR(J170-S170,"")</f>
        <v>685</v>
      </c>
      <c r="U170" s="26"/>
      <c r="V170" s="26"/>
      <c r="W170" s="26"/>
      <c r="X170" s="26" t="n">
        <v>24</v>
      </c>
      <c r="Y170" s="26"/>
      <c r="Z170" s="26"/>
      <c r="AA170" s="26"/>
      <c r="AB170" s="26"/>
      <c r="AC170" s="26"/>
      <c r="AD170" s="26"/>
      <c r="AE170" s="26"/>
      <c r="AF170" s="26" t="n">
        <f aca="false">SUM(U170:AE170)</f>
        <v>24</v>
      </c>
      <c r="AG170" s="26" t="n">
        <f aca="false">T170-AF170</f>
        <v>661</v>
      </c>
      <c r="AH170" s="28" t="n">
        <f aca="false">IFERROR(AG170/T170,"")</f>
        <v>0.964963503649635</v>
      </c>
      <c r="AI170" s="29" t="n">
        <f aca="false">IFERROR(R170/AG170*60,"")</f>
        <v>47.3827534039334</v>
      </c>
      <c r="AJ170" s="30" t="n">
        <f aca="false">IFERROR(AI170/Q170,"")</f>
        <v>0.960816944024206</v>
      </c>
      <c r="AK170" s="31" t="n">
        <f aca="false">IFERROR(R170/(T170/60*Q170),"")</f>
        <v>0.927153284671533</v>
      </c>
      <c r="AL170" s="26"/>
      <c r="AM170" s="26"/>
      <c r="AN170" s="26" t="n">
        <v>1</v>
      </c>
      <c r="AO170" s="26" t="n">
        <v>1</v>
      </c>
      <c r="AP170" s="26"/>
      <c r="AQ170" s="26"/>
      <c r="AR170" s="26"/>
      <c r="AS170" s="26"/>
      <c r="AT170" s="26"/>
      <c r="AU170" s="26"/>
      <c r="AV170" s="26" t="n">
        <f aca="false">SUM(AL170:AU170)</f>
        <v>2</v>
      </c>
      <c r="AW170" s="32" t="n">
        <f aca="false">IFERROR(AV170/R170*1000000,"")</f>
        <v>3831.41762452107</v>
      </c>
      <c r="AX170" s="33" t="n">
        <f aca="false">IFERROR((R170-AV170)/R170,"")</f>
        <v>0.996168582375479</v>
      </c>
      <c r="AY170" s="34" t="n">
        <f aca="false">IFERROR(AH170*AJ170*AX170,"")</f>
        <v>0.92360097323601</v>
      </c>
      <c r="AZ170" s="35"/>
    </row>
    <row r="171" customFormat="false" ht="12.75" hidden="false" customHeight="true" outlineLevel="0" collapsed="false">
      <c r="A171" s="24" t="n">
        <v>167</v>
      </c>
      <c r="B171" s="25" t="n">
        <v>46078</v>
      </c>
      <c r="C171" s="25" t="n">
        <v>12</v>
      </c>
      <c r="D171" s="26" t="s">
        <v>79</v>
      </c>
      <c r="E171" s="26" t="s">
        <v>97</v>
      </c>
      <c r="F171" s="26" t="s">
        <v>73</v>
      </c>
      <c r="G171" s="26" t="s">
        <v>12</v>
      </c>
      <c r="H171" s="27" t="n">
        <v>0.354166666666667</v>
      </c>
      <c r="I171" s="27" t="n">
        <v>0.854166666666667</v>
      </c>
      <c r="J171" s="26" t="n">
        <f aca="false">IFERROR((I171-H171)*24*60,"")</f>
        <v>720</v>
      </c>
      <c r="K171" s="26" t="s">
        <v>105</v>
      </c>
      <c r="L171" s="26" t="s">
        <v>90</v>
      </c>
      <c r="M171" s="26" t="s">
        <v>99</v>
      </c>
      <c r="N171" s="26" t="s">
        <v>100</v>
      </c>
      <c r="O171" s="26" t="n">
        <v>8</v>
      </c>
      <c r="P171" s="26" t="n">
        <v>58</v>
      </c>
      <c r="Q171" s="26" t="n">
        <f aca="false">IFERROR(3600/(P171/O171),"")</f>
        <v>496.551724137931</v>
      </c>
      <c r="R171" s="26" t="n">
        <v>4587</v>
      </c>
      <c r="S171" s="26" t="n">
        <v>46</v>
      </c>
      <c r="T171" s="26" t="n">
        <f aca="false">IFERROR(J171-S171,"")</f>
        <v>674</v>
      </c>
      <c r="U171" s="26"/>
      <c r="V171" s="26"/>
      <c r="W171" s="26"/>
      <c r="X171" s="26"/>
      <c r="Y171" s="26"/>
      <c r="Z171" s="26"/>
      <c r="AA171" s="26"/>
      <c r="AB171" s="26"/>
      <c r="AC171" s="26" t="n">
        <v>5</v>
      </c>
      <c r="AD171" s="26"/>
      <c r="AE171" s="26"/>
      <c r="AF171" s="26" t="n">
        <f aca="false">SUM(U171:AE171)</f>
        <v>5</v>
      </c>
      <c r="AG171" s="26" t="n">
        <f aca="false">T171-AF171</f>
        <v>669</v>
      </c>
      <c r="AH171" s="28" t="n">
        <f aca="false">IFERROR(AG171/T171,"")</f>
        <v>0.992581602373887</v>
      </c>
      <c r="AI171" s="29" t="n">
        <f aca="false">IFERROR(R171/AG171*60,"")</f>
        <v>411.390134529148</v>
      </c>
      <c r="AJ171" s="30" t="n">
        <f aca="false">IFERROR(AI171/Q171,"")</f>
        <v>0.828494020926756</v>
      </c>
      <c r="AK171" s="31" t="n">
        <f aca="false">IFERROR(R171/(T171/60*Q171),"")</f>
        <v>0.822347922848665</v>
      </c>
      <c r="AL171" s="26" t="n">
        <v>5</v>
      </c>
      <c r="AM171" s="26" t="n">
        <v>5</v>
      </c>
      <c r="AN171" s="26" t="n">
        <v>3</v>
      </c>
      <c r="AO171" s="26" t="n">
        <v>5</v>
      </c>
      <c r="AP171" s="26" t="n">
        <v>9</v>
      </c>
      <c r="AQ171" s="26" t="n">
        <v>7</v>
      </c>
      <c r="AR171" s="26" t="n">
        <v>7</v>
      </c>
      <c r="AS171" s="26" t="n">
        <v>6</v>
      </c>
      <c r="AT171" s="26" t="n">
        <v>4</v>
      </c>
      <c r="AU171" s="26" t="n">
        <v>2</v>
      </c>
      <c r="AV171" s="26" t="n">
        <f aca="false">SUM(AL171:AU171)</f>
        <v>53</v>
      </c>
      <c r="AW171" s="32" t="n">
        <f aca="false">IFERROR(AV171/R171*1000000,"")</f>
        <v>11554.3928493569</v>
      </c>
      <c r="AX171" s="33" t="n">
        <f aca="false">IFERROR((R171-AV171)/R171,"")</f>
        <v>0.988445607150643</v>
      </c>
      <c r="AY171" s="34" t="n">
        <f aca="false">IFERROR(AH171*AJ171*AX171,"")</f>
        <v>0.812846191889219</v>
      </c>
      <c r="AZ171" s="35" t="s">
        <v>86</v>
      </c>
    </row>
    <row r="172" customFormat="false" ht="12.75" hidden="false" customHeight="true" outlineLevel="0" collapsed="false">
      <c r="A172" s="24" t="n">
        <v>168</v>
      </c>
      <c r="B172" s="25" t="n">
        <v>46078</v>
      </c>
      <c r="C172" s="25" t="n">
        <v>12</v>
      </c>
      <c r="D172" s="26" t="s">
        <v>87</v>
      </c>
      <c r="E172" s="26" t="s">
        <v>101</v>
      </c>
      <c r="F172" s="26" t="s">
        <v>81</v>
      </c>
      <c r="G172" s="26" t="s">
        <v>13</v>
      </c>
      <c r="H172" s="27" t="n">
        <v>0.354166666666667</v>
      </c>
      <c r="I172" s="27" t="n">
        <v>0.854166666666667</v>
      </c>
      <c r="J172" s="26" t="n">
        <f aca="false">IFERROR((I172-H172)*24*60,"")</f>
        <v>720</v>
      </c>
      <c r="K172" s="26" t="s">
        <v>105</v>
      </c>
      <c r="L172" s="26" t="s">
        <v>108</v>
      </c>
      <c r="M172" s="26" t="s">
        <v>103</v>
      </c>
      <c r="N172" s="26" t="s">
        <v>104</v>
      </c>
      <c r="O172" s="26" t="n">
        <v>2</v>
      </c>
      <c r="P172" s="26" t="n">
        <v>24</v>
      </c>
      <c r="Q172" s="26" t="n">
        <f aca="false">IFERROR(3600/(P172/O172),"")</f>
        <v>300</v>
      </c>
      <c r="R172" s="26" t="n">
        <v>2488</v>
      </c>
      <c r="S172" s="26" t="n">
        <v>70</v>
      </c>
      <c r="T172" s="26" t="n">
        <f aca="false">IFERROR(J172-S172,"")</f>
        <v>650</v>
      </c>
      <c r="U172" s="26"/>
      <c r="V172" s="26" t="n">
        <v>54</v>
      </c>
      <c r="W172" s="26"/>
      <c r="X172" s="26"/>
      <c r="Y172" s="26"/>
      <c r="Z172" s="26" t="n">
        <v>12</v>
      </c>
      <c r="AA172" s="26"/>
      <c r="AB172" s="26"/>
      <c r="AC172" s="26"/>
      <c r="AD172" s="26"/>
      <c r="AE172" s="26"/>
      <c r="AF172" s="26" t="n">
        <f aca="false">SUM(U172:AE172)</f>
        <v>66</v>
      </c>
      <c r="AG172" s="26" t="n">
        <f aca="false">T172-AF172</f>
        <v>584</v>
      </c>
      <c r="AH172" s="28" t="n">
        <f aca="false">IFERROR(AG172/T172,"")</f>
        <v>0.898461538461538</v>
      </c>
      <c r="AI172" s="29" t="n">
        <f aca="false">IFERROR(R172/AG172*60,"")</f>
        <v>255.616438356164</v>
      </c>
      <c r="AJ172" s="30" t="n">
        <f aca="false">IFERROR(AI172/Q172,"")</f>
        <v>0.852054794520548</v>
      </c>
      <c r="AK172" s="31" t="n">
        <f aca="false">IFERROR(R172/(T172/60*Q172),"")</f>
        <v>0.765538461538462</v>
      </c>
      <c r="AL172" s="26"/>
      <c r="AM172" s="26"/>
      <c r="AN172" s="26" t="n">
        <v>3</v>
      </c>
      <c r="AO172" s="26" t="n">
        <v>1</v>
      </c>
      <c r="AP172" s="26" t="n">
        <v>2</v>
      </c>
      <c r="AQ172" s="26" t="n">
        <v>2</v>
      </c>
      <c r="AR172" s="26" t="n">
        <v>1</v>
      </c>
      <c r="AS172" s="26" t="n">
        <v>2</v>
      </c>
      <c r="AT172" s="26" t="n">
        <v>1</v>
      </c>
      <c r="AU172" s="26" t="n">
        <v>2</v>
      </c>
      <c r="AV172" s="26" t="n">
        <f aca="false">SUM(AL172:AU172)</f>
        <v>14</v>
      </c>
      <c r="AW172" s="32" t="n">
        <f aca="false">IFERROR(AV172/R172*1000000,"")</f>
        <v>5627.00964630225</v>
      </c>
      <c r="AX172" s="33" t="n">
        <f aca="false">IFERROR((R172-AV172)/R172,"")</f>
        <v>0.994372990353698</v>
      </c>
      <c r="AY172" s="34" t="n">
        <f aca="false">IFERROR(AH172*AJ172*AX172,"")</f>
        <v>0.761230769230769</v>
      </c>
      <c r="AZ172" s="35" t="s">
        <v>93</v>
      </c>
    </row>
    <row r="173" customFormat="false" ht="12.75" hidden="false" customHeight="true" outlineLevel="0" collapsed="false">
      <c r="A173" s="24" t="n">
        <v>169</v>
      </c>
      <c r="B173" s="25" t="n">
        <v>46079</v>
      </c>
      <c r="C173" s="25" t="n">
        <v>12</v>
      </c>
      <c r="D173" s="26" t="s">
        <v>71</v>
      </c>
      <c r="E173" s="26" t="s">
        <v>72</v>
      </c>
      <c r="F173" s="26" t="s">
        <v>73</v>
      </c>
      <c r="G173" s="26" t="s">
        <v>8</v>
      </c>
      <c r="H173" s="27" t="n">
        <v>0.354166666666667</v>
      </c>
      <c r="I173" s="27" t="n">
        <v>0.854166666666667</v>
      </c>
      <c r="J173" s="26" t="n">
        <f aca="false">IFERROR((I173-H173)*24*60,"")</f>
        <v>720</v>
      </c>
      <c r="K173" s="26" t="s">
        <v>105</v>
      </c>
      <c r="L173" s="26" t="s">
        <v>107</v>
      </c>
      <c r="M173" s="26" t="s">
        <v>76</v>
      </c>
      <c r="N173" s="26" t="s">
        <v>77</v>
      </c>
      <c r="O173" s="26" t="n">
        <v>8</v>
      </c>
      <c r="P173" s="26" t="n">
        <v>60</v>
      </c>
      <c r="Q173" s="26" t="n">
        <f aca="false">IFERROR(3600/(P173/O173),"")</f>
        <v>480</v>
      </c>
      <c r="R173" s="26" t="n">
        <v>3932</v>
      </c>
      <c r="S173" s="26" t="n">
        <v>41</v>
      </c>
      <c r="T173" s="26" t="n">
        <f aca="false">IFERROR(J173-S173,"")</f>
        <v>679</v>
      </c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 t="n">
        <v>20</v>
      </c>
      <c r="AF173" s="26" t="n">
        <f aca="false">SUM(U173:AE173)</f>
        <v>20</v>
      </c>
      <c r="AG173" s="26" t="n">
        <f aca="false">T173-AF173</f>
        <v>659</v>
      </c>
      <c r="AH173" s="28" t="n">
        <f aca="false">IFERROR(AG173/T173,"")</f>
        <v>0.970544918998527</v>
      </c>
      <c r="AI173" s="29" t="n">
        <f aca="false">IFERROR(R173/AG173*60,"")</f>
        <v>357.996965098634</v>
      </c>
      <c r="AJ173" s="30" t="n">
        <f aca="false">IFERROR(AI173/Q173,"")</f>
        <v>0.745827010622155</v>
      </c>
      <c r="AK173" s="31" t="n">
        <f aca="false">IFERROR(R173/(T173/60*Q173),"")</f>
        <v>0.723858615611193</v>
      </c>
      <c r="AL173" s="26" t="n">
        <v>4</v>
      </c>
      <c r="AM173" s="26" t="n">
        <v>5</v>
      </c>
      <c r="AN173" s="26" t="n">
        <v>7</v>
      </c>
      <c r="AO173" s="26" t="n">
        <v>11</v>
      </c>
      <c r="AP173" s="26" t="n">
        <v>8</v>
      </c>
      <c r="AQ173" s="26" t="n">
        <v>3</v>
      </c>
      <c r="AR173" s="26" t="n">
        <v>10</v>
      </c>
      <c r="AS173" s="26" t="n">
        <v>7</v>
      </c>
      <c r="AT173" s="26" t="n">
        <v>1</v>
      </c>
      <c r="AU173" s="26" t="n">
        <v>7</v>
      </c>
      <c r="AV173" s="26" t="n">
        <f aca="false">SUM(AL173:AU173)</f>
        <v>63</v>
      </c>
      <c r="AW173" s="32" t="n">
        <f aca="false">IFERROR(AV173/R173*1000000,"")</f>
        <v>16022.3804679552</v>
      </c>
      <c r="AX173" s="33" t="n">
        <f aca="false">IFERROR((R173-AV173)/R173,"")</f>
        <v>0.983977619532045</v>
      </c>
      <c r="AY173" s="34" t="n">
        <f aca="false">IFERROR(AH173*AJ173*AX173,"")</f>
        <v>0.712260677466863</v>
      </c>
      <c r="AZ173" s="35" t="s">
        <v>78</v>
      </c>
    </row>
    <row r="174" customFormat="false" ht="12.75" hidden="false" customHeight="true" outlineLevel="0" collapsed="false">
      <c r="A174" s="24" t="n">
        <v>170</v>
      </c>
      <c r="B174" s="25" t="n">
        <v>46079</v>
      </c>
      <c r="C174" s="25" t="n">
        <v>12</v>
      </c>
      <c r="D174" s="26" t="s">
        <v>79</v>
      </c>
      <c r="E174" s="26" t="s">
        <v>80</v>
      </c>
      <c r="F174" s="26" t="s">
        <v>81</v>
      </c>
      <c r="G174" s="26" t="s">
        <v>9</v>
      </c>
      <c r="H174" s="27" t="n">
        <v>0.354166666666667</v>
      </c>
      <c r="I174" s="27" t="n">
        <v>0.854166666666667</v>
      </c>
      <c r="J174" s="26" t="n">
        <f aca="false">IFERROR((I174-H174)*24*60,"")</f>
        <v>720</v>
      </c>
      <c r="K174" s="26" t="s">
        <v>74</v>
      </c>
      <c r="L174" s="26" t="s">
        <v>102</v>
      </c>
      <c r="M174" s="26" t="s">
        <v>84</v>
      </c>
      <c r="N174" s="26" t="s">
        <v>85</v>
      </c>
      <c r="O174" s="26" t="n">
        <v>2</v>
      </c>
      <c r="P174" s="26" t="n">
        <v>54</v>
      </c>
      <c r="Q174" s="26" t="n">
        <f aca="false">IFERROR(3600/(P174/O174),"")</f>
        <v>133.333333333333</v>
      </c>
      <c r="R174" s="26" t="n">
        <v>1438</v>
      </c>
      <c r="S174" s="26" t="n">
        <v>33</v>
      </c>
      <c r="T174" s="26" t="n">
        <f aca="false">IFERROR(J174-S174,"")</f>
        <v>687</v>
      </c>
      <c r="U174" s="26" t="n">
        <v>28</v>
      </c>
      <c r="V174" s="26"/>
      <c r="W174" s="26"/>
      <c r="X174" s="26"/>
      <c r="Y174" s="26"/>
      <c r="Z174" s="26"/>
      <c r="AA174" s="26"/>
      <c r="AB174" s="26"/>
      <c r="AC174" s="26"/>
      <c r="AD174" s="26" t="n">
        <v>24</v>
      </c>
      <c r="AE174" s="26"/>
      <c r="AF174" s="26" t="n">
        <f aca="false">SUM(U174:AE174)</f>
        <v>52</v>
      </c>
      <c r="AG174" s="26" t="n">
        <f aca="false">T174-AF174</f>
        <v>635</v>
      </c>
      <c r="AH174" s="28" t="n">
        <f aca="false">IFERROR(AG174/T174,"")</f>
        <v>0.924308588064047</v>
      </c>
      <c r="AI174" s="29" t="n">
        <f aca="false">IFERROR(R174/AG174*60,"")</f>
        <v>135.874015748032</v>
      </c>
      <c r="AJ174" s="30" t="n">
        <f aca="false">IFERROR(AI174/Q174,"")</f>
        <v>1.01905511811024</v>
      </c>
      <c r="AK174" s="31" t="n">
        <f aca="false">IFERROR(R174/(T174/60*Q174),"")</f>
        <v>0.941921397379913</v>
      </c>
      <c r="AL174" s="26" t="n">
        <v>1</v>
      </c>
      <c r="AM174" s="26"/>
      <c r="AN174" s="26" t="n">
        <v>2</v>
      </c>
      <c r="AO174" s="26"/>
      <c r="AP174" s="26" t="n">
        <v>2</v>
      </c>
      <c r="AQ174" s="26" t="n">
        <v>1</v>
      </c>
      <c r="AR174" s="26" t="n">
        <v>2</v>
      </c>
      <c r="AS174" s="26"/>
      <c r="AT174" s="26" t="n">
        <v>1</v>
      </c>
      <c r="AU174" s="26" t="n">
        <v>2</v>
      </c>
      <c r="AV174" s="26" t="n">
        <f aca="false">SUM(AL174:AU174)</f>
        <v>11</v>
      </c>
      <c r="AW174" s="32" t="n">
        <f aca="false">IFERROR(AV174/R174*1000000,"")</f>
        <v>7649.51321279555</v>
      </c>
      <c r="AX174" s="33" t="n">
        <f aca="false">IFERROR((R174-AV174)/R174,"")</f>
        <v>0.992350486787205</v>
      </c>
      <c r="AY174" s="34" t="n">
        <f aca="false">IFERROR(AH174*AJ174*AX174,"")</f>
        <v>0.93471615720524</v>
      </c>
      <c r="AZ174" s="35" t="s">
        <v>93</v>
      </c>
    </row>
    <row r="175" customFormat="false" ht="12.75" hidden="false" customHeight="true" outlineLevel="0" collapsed="false">
      <c r="A175" s="24" t="n">
        <v>171</v>
      </c>
      <c r="B175" s="25" t="n">
        <v>46079</v>
      </c>
      <c r="C175" s="25" t="n">
        <v>12</v>
      </c>
      <c r="D175" s="26" t="s">
        <v>87</v>
      </c>
      <c r="E175" s="26" t="s">
        <v>88</v>
      </c>
      <c r="F175" s="26" t="s">
        <v>73</v>
      </c>
      <c r="G175" s="26" t="s">
        <v>10</v>
      </c>
      <c r="H175" s="27" t="n">
        <v>0.354166666666667</v>
      </c>
      <c r="I175" s="27" t="n">
        <v>0.854166666666667</v>
      </c>
      <c r="J175" s="26" t="n">
        <f aca="false">IFERROR((I175-H175)*24*60,"")</f>
        <v>720</v>
      </c>
      <c r="K175" s="26" t="s">
        <v>82</v>
      </c>
      <c r="L175" s="26" t="s">
        <v>106</v>
      </c>
      <c r="M175" s="26" t="s">
        <v>91</v>
      </c>
      <c r="N175" s="26" t="s">
        <v>92</v>
      </c>
      <c r="O175" s="26" t="n">
        <v>1</v>
      </c>
      <c r="P175" s="26" t="n">
        <v>44</v>
      </c>
      <c r="Q175" s="26" t="n">
        <f aca="false">IFERROR(3600/(P175/O175),"")</f>
        <v>81.8181818181818</v>
      </c>
      <c r="R175" s="26" t="n">
        <v>826</v>
      </c>
      <c r="S175" s="26" t="n">
        <v>59</v>
      </c>
      <c r="T175" s="26" t="n">
        <f aca="false">IFERROR(J175-S175,"")</f>
        <v>661</v>
      </c>
      <c r="U175" s="26"/>
      <c r="V175" s="26"/>
      <c r="W175" s="26"/>
      <c r="X175" s="26"/>
      <c r="Y175" s="26" t="n">
        <v>5</v>
      </c>
      <c r="Z175" s="26" t="n">
        <v>4</v>
      </c>
      <c r="AA175" s="26"/>
      <c r="AB175" s="26"/>
      <c r="AC175" s="26"/>
      <c r="AD175" s="26"/>
      <c r="AE175" s="26"/>
      <c r="AF175" s="26" t="n">
        <f aca="false">SUM(U175:AE175)</f>
        <v>9</v>
      </c>
      <c r="AG175" s="26" t="n">
        <f aca="false">T175-AF175</f>
        <v>652</v>
      </c>
      <c r="AH175" s="28" t="n">
        <f aca="false">IFERROR(AG175/T175,"")</f>
        <v>0.986384266263238</v>
      </c>
      <c r="AI175" s="29" t="n">
        <f aca="false">IFERROR(R175/AG175*60,"")</f>
        <v>76.0122699386503</v>
      </c>
      <c r="AJ175" s="30" t="n">
        <f aca="false">IFERROR(AI175/Q175,"")</f>
        <v>0.929038854805726</v>
      </c>
      <c r="AK175" s="31" t="n">
        <f aca="false">IFERROR(R175/(T175/60*Q175),"")</f>
        <v>0.916389309127584</v>
      </c>
      <c r="AL175" s="26"/>
      <c r="AM175" s="26"/>
      <c r="AN175" s="26" t="n">
        <v>1</v>
      </c>
      <c r="AO175" s="26"/>
      <c r="AP175" s="26"/>
      <c r="AQ175" s="26"/>
      <c r="AR175" s="26"/>
      <c r="AS175" s="26" t="n">
        <v>1</v>
      </c>
      <c r="AT175" s="26"/>
      <c r="AU175" s="26"/>
      <c r="AV175" s="26" t="n">
        <f aca="false">SUM(AL175:AU175)</f>
        <v>2</v>
      </c>
      <c r="AW175" s="32" t="n">
        <f aca="false">IFERROR(AV175/R175*1000000,"")</f>
        <v>2421.30750605327</v>
      </c>
      <c r="AX175" s="33" t="n">
        <f aca="false">IFERROR((R175-AV175)/R175,"")</f>
        <v>0.997578692493947</v>
      </c>
      <c r="AY175" s="34" t="n">
        <f aca="false">IFERROR(AH175*AJ175*AX175,"")</f>
        <v>0.914170448814927</v>
      </c>
      <c r="AZ175" s="35"/>
    </row>
    <row r="176" customFormat="false" ht="12.75" hidden="false" customHeight="true" outlineLevel="0" collapsed="false">
      <c r="A176" s="24" t="n">
        <v>172</v>
      </c>
      <c r="B176" s="25" t="n">
        <v>46080</v>
      </c>
      <c r="C176" s="25" t="n">
        <v>12</v>
      </c>
      <c r="D176" s="26" t="s">
        <v>71</v>
      </c>
      <c r="E176" s="26" t="s">
        <v>94</v>
      </c>
      <c r="F176" s="26" t="s">
        <v>81</v>
      </c>
      <c r="G176" s="26" t="s">
        <v>11</v>
      </c>
      <c r="H176" s="27" t="n">
        <v>0.354166666666667</v>
      </c>
      <c r="I176" s="27" t="n">
        <v>0.854166666666667</v>
      </c>
      <c r="J176" s="26" t="n">
        <f aca="false">IFERROR((I176-H176)*24*60,"")</f>
        <v>720</v>
      </c>
      <c r="K176" s="26" t="s">
        <v>74</v>
      </c>
      <c r="L176" s="26" t="s">
        <v>108</v>
      </c>
      <c r="M176" s="26" t="s">
        <v>95</v>
      </c>
      <c r="N176" s="26" t="s">
        <v>96</v>
      </c>
      <c r="O176" s="26" t="n">
        <v>4</v>
      </c>
      <c r="P176" s="26" t="n">
        <v>57</v>
      </c>
      <c r="Q176" s="26" t="n">
        <f aca="false">IFERROR(3600/(P176/O176),"")</f>
        <v>252.631578947368</v>
      </c>
      <c r="R176" s="26" t="n">
        <v>2180</v>
      </c>
      <c r="S176" s="26" t="n">
        <v>48</v>
      </c>
      <c r="T176" s="26" t="n">
        <f aca="false">IFERROR(J176-S176,"")</f>
        <v>672</v>
      </c>
      <c r="U176" s="26"/>
      <c r="V176" s="26"/>
      <c r="W176" s="26"/>
      <c r="X176" s="26"/>
      <c r="Y176" s="26"/>
      <c r="Z176" s="26"/>
      <c r="AA176" s="26"/>
      <c r="AB176" s="26" t="n">
        <v>13</v>
      </c>
      <c r="AC176" s="26"/>
      <c r="AD176" s="26"/>
      <c r="AE176" s="26"/>
      <c r="AF176" s="26" t="n">
        <f aca="false">SUM(U176:AE176)</f>
        <v>13</v>
      </c>
      <c r="AG176" s="26" t="n">
        <f aca="false">T176-AF176</f>
        <v>659</v>
      </c>
      <c r="AH176" s="28" t="n">
        <f aca="false">IFERROR(AG176/T176,"")</f>
        <v>0.980654761904762</v>
      </c>
      <c r="AI176" s="29" t="n">
        <f aca="false">IFERROR(R176/AG176*60,"")</f>
        <v>198.482549317147</v>
      </c>
      <c r="AJ176" s="30" t="n">
        <f aca="false">IFERROR(AI176/Q176,"")</f>
        <v>0.785660091047041</v>
      </c>
      <c r="AK176" s="31" t="n">
        <f aca="false">IFERROR(R176/(T176/60*Q176),"")</f>
        <v>0.77046130952381</v>
      </c>
      <c r="AL176" s="26" t="n">
        <v>5</v>
      </c>
      <c r="AM176" s="26" t="n">
        <v>4</v>
      </c>
      <c r="AN176" s="26" t="n">
        <v>7</v>
      </c>
      <c r="AO176" s="26" t="n">
        <v>4</v>
      </c>
      <c r="AP176" s="26" t="n">
        <v>3</v>
      </c>
      <c r="AQ176" s="26" t="n">
        <v>2</v>
      </c>
      <c r="AR176" s="26" t="n">
        <v>1</v>
      </c>
      <c r="AS176" s="26" t="n">
        <v>8</v>
      </c>
      <c r="AT176" s="26" t="n">
        <v>4</v>
      </c>
      <c r="AU176" s="26" t="n">
        <v>4</v>
      </c>
      <c r="AV176" s="26" t="n">
        <f aca="false">SUM(AL176:AU176)</f>
        <v>42</v>
      </c>
      <c r="AW176" s="32" t="n">
        <f aca="false">IFERROR(AV176/R176*1000000,"")</f>
        <v>19266.0550458716</v>
      </c>
      <c r="AX176" s="33" t="n">
        <f aca="false">IFERROR((R176-AV176)/R176,"")</f>
        <v>0.980733944954129</v>
      </c>
      <c r="AY176" s="34" t="n">
        <f aca="false">IFERROR(AH176*AJ176*AX176,"")</f>
        <v>0.75561755952381</v>
      </c>
      <c r="AZ176" s="35" t="s">
        <v>78</v>
      </c>
    </row>
    <row r="177" customFormat="false" ht="12.75" hidden="false" customHeight="true" outlineLevel="0" collapsed="false">
      <c r="A177" s="24" t="n">
        <v>173</v>
      </c>
      <c r="B177" s="25" t="n">
        <v>46080</v>
      </c>
      <c r="C177" s="25" t="n">
        <v>12</v>
      </c>
      <c r="D177" s="26" t="s">
        <v>79</v>
      </c>
      <c r="E177" s="26" t="s">
        <v>97</v>
      </c>
      <c r="F177" s="26" t="s">
        <v>73</v>
      </c>
      <c r="G177" s="26" t="s">
        <v>12</v>
      </c>
      <c r="H177" s="27" t="n">
        <v>0.354166666666667</v>
      </c>
      <c r="I177" s="27" t="n">
        <v>0.854166666666667</v>
      </c>
      <c r="J177" s="26" t="n">
        <f aca="false">IFERROR((I177-H177)*24*60,"")</f>
        <v>720</v>
      </c>
      <c r="K177" s="26" t="s">
        <v>89</v>
      </c>
      <c r="L177" s="26" t="s">
        <v>106</v>
      </c>
      <c r="M177" s="26" t="s">
        <v>99</v>
      </c>
      <c r="N177" s="26" t="s">
        <v>100</v>
      </c>
      <c r="O177" s="26" t="n">
        <v>1</v>
      </c>
      <c r="P177" s="26" t="n">
        <v>45</v>
      </c>
      <c r="Q177" s="26" t="n">
        <f aca="false">IFERROR(3600/(P177/O177),"")</f>
        <v>80</v>
      </c>
      <c r="R177" s="26" t="n">
        <v>584</v>
      </c>
      <c r="S177" s="26" t="n">
        <v>45</v>
      </c>
      <c r="T177" s="26" t="n">
        <f aca="false">IFERROR(J177-S177,"")</f>
        <v>675</v>
      </c>
      <c r="U177" s="26"/>
      <c r="V177" s="26" t="n">
        <v>49</v>
      </c>
      <c r="W177" s="26"/>
      <c r="X177" s="26"/>
      <c r="Y177" s="26"/>
      <c r="Z177" s="26"/>
      <c r="AA177" s="26" t="n">
        <v>10</v>
      </c>
      <c r="AB177" s="26"/>
      <c r="AC177" s="26"/>
      <c r="AD177" s="26" t="n">
        <v>14</v>
      </c>
      <c r="AE177" s="26"/>
      <c r="AF177" s="26" t="n">
        <f aca="false">SUM(U177:AE177)</f>
        <v>73</v>
      </c>
      <c r="AG177" s="26" t="n">
        <f aca="false">T177-AF177</f>
        <v>602</v>
      </c>
      <c r="AH177" s="28" t="n">
        <f aca="false">IFERROR(AG177/T177,"")</f>
        <v>0.891851851851852</v>
      </c>
      <c r="AI177" s="29" t="n">
        <f aca="false">IFERROR(R177/AG177*60,"")</f>
        <v>58.2059800664452</v>
      </c>
      <c r="AJ177" s="30" t="n">
        <f aca="false">IFERROR(AI177/Q177,"")</f>
        <v>0.727574750830565</v>
      </c>
      <c r="AK177" s="31" t="n">
        <f aca="false">IFERROR(R177/(T177/60*Q177),"")</f>
        <v>0.648888888888889</v>
      </c>
      <c r="AL177" s="26" t="n">
        <v>3</v>
      </c>
      <c r="AM177" s="26" t="n">
        <v>1</v>
      </c>
      <c r="AN177" s="26" t="n">
        <v>1</v>
      </c>
      <c r="AO177" s="26"/>
      <c r="AP177" s="26" t="n">
        <v>1</v>
      </c>
      <c r="AQ177" s="26" t="n">
        <v>1</v>
      </c>
      <c r="AR177" s="26"/>
      <c r="AS177" s="26" t="n">
        <v>3</v>
      </c>
      <c r="AT177" s="26"/>
      <c r="AU177" s="26" t="n">
        <v>2</v>
      </c>
      <c r="AV177" s="26" t="n">
        <f aca="false">SUM(AL177:AU177)</f>
        <v>12</v>
      </c>
      <c r="AW177" s="32" t="n">
        <f aca="false">IFERROR(AV177/R177*1000000,"")</f>
        <v>20547.9452054795</v>
      </c>
      <c r="AX177" s="33" t="n">
        <f aca="false">IFERROR((R177-AV177)/R177,"")</f>
        <v>0.979452054794521</v>
      </c>
      <c r="AY177" s="34" t="n">
        <f aca="false">IFERROR(AH177*AJ177*AX177,"")</f>
        <v>0.635555555555556</v>
      </c>
      <c r="AZ177" s="35" t="s">
        <v>86</v>
      </c>
    </row>
    <row r="178" customFormat="false" ht="12.75" hidden="false" customHeight="true" outlineLevel="0" collapsed="false">
      <c r="A178" s="24" t="n">
        <v>174</v>
      </c>
      <c r="B178" s="25" t="n">
        <v>46080</v>
      </c>
      <c r="C178" s="25" t="n">
        <v>12</v>
      </c>
      <c r="D178" s="26" t="s">
        <v>87</v>
      </c>
      <c r="E178" s="26" t="s">
        <v>101</v>
      </c>
      <c r="F178" s="26" t="s">
        <v>81</v>
      </c>
      <c r="G178" s="26" t="s">
        <v>13</v>
      </c>
      <c r="H178" s="27" t="n">
        <v>0.354166666666667</v>
      </c>
      <c r="I178" s="27" t="n">
        <v>0.854166666666667</v>
      </c>
      <c r="J178" s="26" t="n">
        <f aca="false">IFERROR((I178-H178)*24*60,"")</f>
        <v>720</v>
      </c>
      <c r="K178" s="26" t="s">
        <v>89</v>
      </c>
      <c r="L178" s="26" t="s">
        <v>107</v>
      </c>
      <c r="M178" s="26" t="s">
        <v>103</v>
      </c>
      <c r="N178" s="26" t="s">
        <v>104</v>
      </c>
      <c r="O178" s="26" t="n">
        <v>4</v>
      </c>
      <c r="P178" s="26" t="n">
        <v>44</v>
      </c>
      <c r="Q178" s="26" t="n">
        <f aca="false">IFERROR(3600/(P178/O178),"")</f>
        <v>327.272727272727</v>
      </c>
      <c r="R178" s="26" t="n">
        <v>3545</v>
      </c>
      <c r="S178" s="26" t="n">
        <v>43</v>
      </c>
      <c r="T178" s="26" t="n">
        <f aca="false">IFERROR(J178-S178,"")</f>
        <v>677</v>
      </c>
      <c r="U178" s="26"/>
      <c r="V178" s="26" t="n">
        <v>6</v>
      </c>
      <c r="W178" s="26"/>
      <c r="X178" s="26"/>
      <c r="Y178" s="26"/>
      <c r="Z178" s="26"/>
      <c r="AA178" s="26" t="n">
        <v>7</v>
      </c>
      <c r="AB178" s="26"/>
      <c r="AC178" s="26" t="n">
        <v>3</v>
      </c>
      <c r="AD178" s="26"/>
      <c r="AE178" s="26"/>
      <c r="AF178" s="26" t="n">
        <f aca="false">SUM(U178:AE178)</f>
        <v>16</v>
      </c>
      <c r="AG178" s="26" t="n">
        <f aca="false">T178-AF178</f>
        <v>661</v>
      </c>
      <c r="AH178" s="28" t="n">
        <f aca="false">IFERROR(AG178/T178,"")</f>
        <v>0.976366322008863</v>
      </c>
      <c r="AI178" s="29" t="n">
        <f aca="false">IFERROR(R178/AG178*60,"")</f>
        <v>321.78517397882</v>
      </c>
      <c r="AJ178" s="30" t="n">
        <f aca="false">IFERROR(AI178/Q178,"")</f>
        <v>0.983232476046394</v>
      </c>
      <c r="AK178" s="31" t="n">
        <f aca="false">IFERROR(R178/(T178/60*Q178),"")</f>
        <v>0.959995076317085</v>
      </c>
      <c r="AL178" s="26" t="n">
        <v>1</v>
      </c>
      <c r="AM178" s="26" t="n">
        <v>3</v>
      </c>
      <c r="AN178" s="26" t="n">
        <v>3</v>
      </c>
      <c r="AO178" s="26" t="n">
        <v>3</v>
      </c>
      <c r="AP178" s="26" t="n">
        <v>4</v>
      </c>
      <c r="AQ178" s="26" t="n">
        <v>2</v>
      </c>
      <c r="AR178" s="26" t="n">
        <v>5</v>
      </c>
      <c r="AS178" s="26" t="n">
        <v>4</v>
      </c>
      <c r="AT178" s="26" t="n">
        <v>1</v>
      </c>
      <c r="AU178" s="26" t="n">
        <v>1</v>
      </c>
      <c r="AV178" s="26" t="n">
        <f aca="false">SUM(AL178:AU178)</f>
        <v>27</v>
      </c>
      <c r="AW178" s="32" t="n">
        <f aca="false">IFERROR(AV178/R178*1000000,"")</f>
        <v>7616.3610719323</v>
      </c>
      <c r="AX178" s="33" t="n">
        <f aca="false">IFERROR((R178-AV178)/R178,"")</f>
        <v>0.992383638928068</v>
      </c>
      <c r="AY178" s="34" t="n">
        <f aca="false">IFERROR(AH178*AJ178*AX178,"")</f>
        <v>0.952683407188577</v>
      </c>
      <c r="AZ178" s="35"/>
    </row>
    <row r="179" customFormat="false" ht="12.75" hidden="false" customHeight="true" outlineLevel="0" collapsed="false">
      <c r="A179" s="24" t="n">
        <v>175</v>
      </c>
      <c r="B179" s="25" t="n">
        <v>46081</v>
      </c>
      <c r="C179" s="25" t="n">
        <v>12</v>
      </c>
      <c r="D179" s="26" t="s">
        <v>71</v>
      </c>
      <c r="E179" s="26" t="s">
        <v>72</v>
      </c>
      <c r="F179" s="26" t="s">
        <v>73</v>
      </c>
      <c r="G179" s="26" t="s">
        <v>8</v>
      </c>
      <c r="H179" s="27" t="n">
        <v>0.354166666666667</v>
      </c>
      <c r="I179" s="27" t="n">
        <v>0.854166666666667</v>
      </c>
      <c r="J179" s="26" t="n">
        <f aca="false">IFERROR((I179-H179)*24*60,"")</f>
        <v>720</v>
      </c>
      <c r="K179" s="26" t="s">
        <v>89</v>
      </c>
      <c r="L179" s="26" t="s">
        <v>83</v>
      </c>
      <c r="M179" s="26" t="s">
        <v>76</v>
      </c>
      <c r="N179" s="26" t="s">
        <v>77</v>
      </c>
      <c r="O179" s="26" t="n">
        <v>8</v>
      </c>
      <c r="P179" s="26" t="n">
        <v>64</v>
      </c>
      <c r="Q179" s="26" t="n">
        <f aca="false">IFERROR(3600/(P179/O179),"")</f>
        <v>450</v>
      </c>
      <c r="R179" s="26" t="n">
        <v>4092</v>
      </c>
      <c r="S179" s="26" t="n">
        <v>53</v>
      </c>
      <c r="T179" s="26" t="n">
        <f aca="false">IFERROR(J179-S179,"")</f>
        <v>667</v>
      </c>
      <c r="U179" s="26"/>
      <c r="V179" s="26"/>
      <c r="W179" s="26"/>
      <c r="X179" s="26"/>
      <c r="Y179" s="26"/>
      <c r="Z179" s="26" t="n">
        <v>11</v>
      </c>
      <c r="AA179" s="26"/>
      <c r="AB179" s="26"/>
      <c r="AC179" s="26"/>
      <c r="AD179" s="26"/>
      <c r="AE179" s="26"/>
      <c r="AF179" s="26" t="n">
        <f aca="false">SUM(U179:AE179)</f>
        <v>11</v>
      </c>
      <c r="AG179" s="26" t="n">
        <f aca="false">T179-AF179</f>
        <v>656</v>
      </c>
      <c r="AH179" s="28" t="n">
        <f aca="false">IFERROR(AG179/T179,"")</f>
        <v>0.983508245877061</v>
      </c>
      <c r="AI179" s="29" t="n">
        <f aca="false">IFERROR(R179/AG179*60,"")</f>
        <v>374.268292682927</v>
      </c>
      <c r="AJ179" s="30" t="n">
        <f aca="false">IFERROR(AI179/Q179,"")</f>
        <v>0.831707317073171</v>
      </c>
      <c r="AK179" s="31" t="n">
        <f aca="false">IFERROR(R179/(T179/60*Q179),"")</f>
        <v>0.817991004497751</v>
      </c>
      <c r="AL179" s="26" t="n">
        <v>10</v>
      </c>
      <c r="AM179" s="26" t="n">
        <v>14</v>
      </c>
      <c r="AN179" s="26" t="n">
        <v>11</v>
      </c>
      <c r="AO179" s="26" t="n">
        <v>8</v>
      </c>
      <c r="AP179" s="26" t="n">
        <v>12</v>
      </c>
      <c r="AQ179" s="26" t="n">
        <v>4</v>
      </c>
      <c r="AR179" s="26" t="n">
        <v>11</v>
      </c>
      <c r="AS179" s="26" t="n">
        <v>11</v>
      </c>
      <c r="AT179" s="26" t="n">
        <v>9</v>
      </c>
      <c r="AU179" s="26" t="n">
        <v>9</v>
      </c>
      <c r="AV179" s="26" t="n">
        <f aca="false">SUM(AL179:AU179)</f>
        <v>99</v>
      </c>
      <c r="AW179" s="32" t="n">
        <f aca="false">IFERROR(AV179/R179*1000000,"")</f>
        <v>24193.5483870968</v>
      </c>
      <c r="AX179" s="33" t="n">
        <f aca="false">IFERROR((R179-AV179)/R179,"")</f>
        <v>0.975806451612903</v>
      </c>
      <c r="AY179" s="34" t="n">
        <f aca="false">IFERROR(AH179*AJ179*AX179,"")</f>
        <v>0.798200899550225</v>
      </c>
      <c r="AZ179" s="35"/>
    </row>
    <row r="180" customFormat="false" ht="12.75" hidden="false" customHeight="true" outlineLevel="0" collapsed="false">
      <c r="A180" s="24" t="n">
        <v>176</v>
      </c>
      <c r="B180" s="25" t="n">
        <v>46081</v>
      </c>
      <c r="C180" s="25" t="n">
        <v>12</v>
      </c>
      <c r="D180" s="26" t="s">
        <v>79</v>
      </c>
      <c r="E180" s="26" t="s">
        <v>80</v>
      </c>
      <c r="F180" s="26" t="s">
        <v>81</v>
      </c>
      <c r="G180" s="26" t="s">
        <v>9</v>
      </c>
      <c r="H180" s="27" t="n">
        <v>0.354166666666667</v>
      </c>
      <c r="I180" s="27" t="n">
        <v>0.854166666666667</v>
      </c>
      <c r="J180" s="26" t="n">
        <f aca="false">IFERROR((I180-H180)*24*60,"")</f>
        <v>720</v>
      </c>
      <c r="K180" s="26" t="s">
        <v>89</v>
      </c>
      <c r="L180" s="26" t="s">
        <v>102</v>
      </c>
      <c r="M180" s="26" t="s">
        <v>84</v>
      </c>
      <c r="N180" s="26" t="s">
        <v>85</v>
      </c>
      <c r="O180" s="26" t="n">
        <v>1</v>
      </c>
      <c r="P180" s="26" t="n">
        <v>34</v>
      </c>
      <c r="Q180" s="26" t="n">
        <f aca="false">IFERROR(3600/(P180/O180),"")</f>
        <v>105.882352941176</v>
      </c>
      <c r="R180" s="26" t="n">
        <v>1169</v>
      </c>
      <c r="S180" s="26" t="n">
        <v>57</v>
      </c>
      <c r="T180" s="26" t="n">
        <f aca="false">IFERROR(J180-S180,"")</f>
        <v>663</v>
      </c>
      <c r="U180" s="26" t="n">
        <v>3</v>
      </c>
      <c r="V180" s="26"/>
      <c r="W180" s="26"/>
      <c r="X180" s="26"/>
      <c r="Y180" s="26"/>
      <c r="Z180" s="26"/>
      <c r="AA180" s="26"/>
      <c r="AB180" s="26" t="n">
        <v>9</v>
      </c>
      <c r="AC180" s="26"/>
      <c r="AD180" s="26"/>
      <c r="AE180" s="26"/>
      <c r="AF180" s="26" t="n">
        <f aca="false">SUM(U180:AE180)</f>
        <v>12</v>
      </c>
      <c r="AG180" s="26" t="n">
        <f aca="false">T180-AF180</f>
        <v>651</v>
      </c>
      <c r="AH180" s="28" t="n">
        <f aca="false">IFERROR(AG180/T180,"")</f>
        <v>0.981900452488688</v>
      </c>
      <c r="AI180" s="29" t="n">
        <f aca="false">IFERROR(R180/AG180*60,"")</f>
        <v>107.741935483871</v>
      </c>
      <c r="AJ180" s="30" t="n">
        <f aca="false">IFERROR(AI180/Q180,"")</f>
        <v>1.01756272401434</v>
      </c>
      <c r="AK180" s="31" t="n">
        <f aca="false">IFERROR(R180/(T180/60*Q180),"")</f>
        <v>0.999145299145299</v>
      </c>
      <c r="AL180" s="26" t="n">
        <v>3</v>
      </c>
      <c r="AM180" s="26" t="n">
        <v>1</v>
      </c>
      <c r="AN180" s="26"/>
      <c r="AO180" s="26" t="n">
        <v>1</v>
      </c>
      <c r="AP180" s="26" t="n">
        <v>2</v>
      </c>
      <c r="AQ180" s="26" t="n">
        <v>1</v>
      </c>
      <c r="AR180" s="26" t="n">
        <v>4</v>
      </c>
      <c r="AS180" s="26" t="n">
        <v>2</v>
      </c>
      <c r="AT180" s="26" t="n">
        <v>1</v>
      </c>
      <c r="AU180" s="26" t="n">
        <v>3</v>
      </c>
      <c r="AV180" s="26" t="n">
        <f aca="false">SUM(AL180:AU180)</f>
        <v>18</v>
      </c>
      <c r="AW180" s="32" t="n">
        <f aca="false">IFERROR(AV180/R180*1000000,"")</f>
        <v>15397.7758768178</v>
      </c>
      <c r="AX180" s="33" t="n">
        <f aca="false">IFERROR((R180-AV180)/R180,"")</f>
        <v>0.984602224123182</v>
      </c>
      <c r="AY180" s="34" t="n">
        <f aca="false">IFERROR(AH180*AJ180*AX180,"")</f>
        <v>0.983760683760684</v>
      </c>
      <c r="AZ180" s="35" t="s">
        <v>86</v>
      </c>
    </row>
    <row r="181" customFormat="false" ht="12.75" hidden="false" customHeight="true" outlineLevel="0" collapsed="false">
      <c r="A181" s="24" t="n">
        <v>177</v>
      </c>
      <c r="B181" s="25" t="n">
        <v>46081</v>
      </c>
      <c r="C181" s="25" t="n">
        <v>12</v>
      </c>
      <c r="D181" s="26" t="s">
        <v>87</v>
      </c>
      <c r="E181" s="26" t="s">
        <v>88</v>
      </c>
      <c r="F181" s="26" t="s">
        <v>73</v>
      </c>
      <c r="G181" s="26" t="s">
        <v>10</v>
      </c>
      <c r="H181" s="27" t="n">
        <v>0.354166666666667</v>
      </c>
      <c r="I181" s="27" t="n">
        <v>0.854166666666667</v>
      </c>
      <c r="J181" s="26" t="n">
        <f aca="false">IFERROR((I181-H181)*24*60,"")</f>
        <v>720</v>
      </c>
      <c r="K181" s="26" t="s">
        <v>82</v>
      </c>
      <c r="L181" s="26" t="s">
        <v>102</v>
      </c>
      <c r="M181" s="26" t="s">
        <v>91</v>
      </c>
      <c r="N181" s="26" t="s">
        <v>92</v>
      </c>
      <c r="O181" s="26" t="n">
        <v>1</v>
      </c>
      <c r="P181" s="26" t="n">
        <v>51</v>
      </c>
      <c r="Q181" s="26" t="n">
        <f aca="false">IFERROR(3600/(P181/O181),"")</f>
        <v>70.5882352941177</v>
      </c>
      <c r="R181" s="26" t="n">
        <v>672</v>
      </c>
      <c r="S181" s="26" t="n">
        <v>75</v>
      </c>
      <c r="T181" s="26" t="n">
        <f aca="false">IFERROR(J181-S181,"")</f>
        <v>645</v>
      </c>
      <c r="U181" s="26"/>
      <c r="V181" s="26" t="n">
        <v>8</v>
      </c>
      <c r="W181" s="26"/>
      <c r="X181" s="26"/>
      <c r="Y181" s="26" t="n">
        <v>3</v>
      </c>
      <c r="Z181" s="26"/>
      <c r="AA181" s="26"/>
      <c r="AB181" s="26" t="n">
        <v>6</v>
      </c>
      <c r="AC181" s="26"/>
      <c r="AD181" s="26"/>
      <c r="AE181" s="26"/>
      <c r="AF181" s="26" t="n">
        <f aca="false">SUM(U181:AE181)</f>
        <v>17</v>
      </c>
      <c r="AG181" s="26" t="n">
        <f aca="false">T181-AF181</f>
        <v>628</v>
      </c>
      <c r="AH181" s="28" t="n">
        <f aca="false">IFERROR(AG181/T181,"")</f>
        <v>0.973643410852713</v>
      </c>
      <c r="AI181" s="29" t="n">
        <f aca="false">IFERROR(R181/AG181*60,"")</f>
        <v>64.203821656051</v>
      </c>
      <c r="AJ181" s="30" t="n">
        <f aca="false">IFERROR(AI181/Q181,"")</f>
        <v>0.909554140127388</v>
      </c>
      <c r="AK181" s="31" t="n">
        <f aca="false">IFERROR(R181/(T181/60*Q181),"")</f>
        <v>0.885581395348837</v>
      </c>
      <c r="AL181" s="26" t="n">
        <v>1</v>
      </c>
      <c r="AM181" s="26"/>
      <c r="AN181" s="26" t="n">
        <v>1</v>
      </c>
      <c r="AO181" s="26" t="n">
        <v>1</v>
      </c>
      <c r="AP181" s="26" t="n">
        <v>1</v>
      </c>
      <c r="AQ181" s="26" t="n">
        <v>1</v>
      </c>
      <c r="AR181" s="26" t="n">
        <v>1</v>
      </c>
      <c r="AS181" s="26" t="n">
        <v>2</v>
      </c>
      <c r="AT181" s="26"/>
      <c r="AU181" s="26"/>
      <c r="AV181" s="26" t="n">
        <f aca="false">SUM(AL181:AU181)</f>
        <v>8</v>
      </c>
      <c r="AW181" s="32" t="n">
        <f aca="false">IFERROR(AV181/R181*1000000,"")</f>
        <v>11904.7619047619</v>
      </c>
      <c r="AX181" s="33" t="n">
        <f aca="false">IFERROR((R181-AV181)/R181,"")</f>
        <v>0.988095238095238</v>
      </c>
      <c r="AY181" s="34" t="n">
        <f aca="false">IFERROR(AH181*AJ181*AX181,"")</f>
        <v>0.875038759689922</v>
      </c>
      <c r="AZ181" s="35" t="s">
        <v>86</v>
      </c>
    </row>
    <row r="182" customFormat="false" ht="12.75" hidden="false" customHeight="true" outlineLevel="0" collapsed="false">
      <c r="A182" s="24" t="n">
        <v>178</v>
      </c>
      <c r="B182" s="25" t="n">
        <v>46082</v>
      </c>
      <c r="C182" s="25" t="n">
        <v>12</v>
      </c>
      <c r="D182" s="26" t="s">
        <v>71</v>
      </c>
      <c r="E182" s="26" t="s">
        <v>94</v>
      </c>
      <c r="F182" s="26" t="s">
        <v>81</v>
      </c>
      <c r="G182" s="26" t="s">
        <v>11</v>
      </c>
      <c r="H182" s="27" t="n">
        <v>0.354166666666667</v>
      </c>
      <c r="I182" s="27" t="n">
        <v>0.854166666666667</v>
      </c>
      <c r="J182" s="26" t="n">
        <f aca="false">IFERROR((I182-H182)*24*60,"")</f>
        <v>720</v>
      </c>
      <c r="K182" s="26" t="s">
        <v>105</v>
      </c>
      <c r="L182" s="26" t="s">
        <v>102</v>
      </c>
      <c r="M182" s="26" t="s">
        <v>95</v>
      </c>
      <c r="N182" s="26" t="s">
        <v>96</v>
      </c>
      <c r="O182" s="26" t="n">
        <v>4</v>
      </c>
      <c r="P182" s="26" t="n">
        <v>62</v>
      </c>
      <c r="Q182" s="26" t="n">
        <f aca="false">IFERROR(3600/(P182/O182),"")</f>
        <v>232.258064516129</v>
      </c>
      <c r="R182" s="26" t="n">
        <v>2403</v>
      </c>
      <c r="S182" s="26" t="n">
        <v>62</v>
      </c>
      <c r="T182" s="26" t="n">
        <f aca="false">IFERROR(J182-S182,"")</f>
        <v>658</v>
      </c>
      <c r="U182" s="26"/>
      <c r="V182" s="26"/>
      <c r="W182" s="26" t="n">
        <v>17</v>
      </c>
      <c r="X182" s="26"/>
      <c r="Y182" s="26"/>
      <c r="Z182" s="26"/>
      <c r="AA182" s="26" t="n">
        <v>21</v>
      </c>
      <c r="AB182" s="26"/>
      <c r="AC182" s="26"/>
      <c r="AD182" s="26"/>
      <c r="AE182" s="26"/>
      <c r="AF182" s="26" t="n">
        <f aca="false">SUM(U182:AE182)</f>
        <v>38</v>
      </c>
      <c r="AG182" s="26" t="n">
        <f aca="false">T182-AF182</f>
        <v>620</v>
      </c>
      <c r="AH182" s="28" t="n">
        <f aca="false">IFERROR(AG182/T182,"")</f>
        <v>0.942249240121581</v>
      </c>
      <c r="AI182" s="29" t="n">
        <f aca="false">IFERROR(R182/AG182*60,"")</f>
        <v>232.548387096774</v>
      </c>
      <c r="AJ182" s="30" t="n">
        <f aca="false">IFERROR(AI182/Q182,"")</f>
        <v>1.00125</v>
      </c>
      <c r="AK182" s="31" t="n">
        <f aca="false">IFERROR(R182/(T182/60*Q182),"")</f>
        <v>0.943427051671733</v>
      </c>
      <c r="AL182" s="26" t="n">
        <v>4</v>
      </c>
      <c r="AM182" s="26" t="n">
        <v>6</v>
      </c>
      <c r="AN182" s="26" t="n">
        <v>7</v>
      </c>
      <c r="AO182" s="26" t="n">
        <v>6</v>
      </c>
      <c r="AP182" s="26" t="n">
        <v>5</v>
      </c>
      <c r="AQ182" s="26" t="n">
        <v>6</v>
      </c>
      <c r="AR182" s="26" t="n">
        <v>2</v>
      </c>
      <c r="AS182" s="26" t="n">
        <v>5</v>
      </c>
      <c r="AT182" s="26" t="n">
        <v>5</v>
      </c>
      <c r="AU182" s="26" t="n">
        <v>4</v>
      </c>
      <c r="AV182" s="26" t="n">
        <f aca="false">SUM(AL182:AU182)</f>
        <v>50</v>
      </c>
      <c r="AW182" s="32" t="n">
        <f aca="false">IFERROR(AV182/R182*1000000,"")</f>
        <v>20807.3241781107</v>
      </c>
      <c r="AX182" s="33" t="n">
        <f aca="false">IFERROR((R182-AV182)/R182,"")</f>
        <v>0.979192675821889</v>
      </c>
      <c r="AY182" s="34" t="n">
        <f aca="false">IFERROR(AH182*AJ182*AX182,"")</f>
        <v>0.9237968591692</v>
      </c>
      <c r="AZ182" s="35"/>
    </row>
    <row r="183" customFormat="false" ht="12.75" hidden="false" customHeight="true" outlineLevel="0" collapsed="false">
      <c r="A183" s="24" t="n">
        <v>179</v>
      </c>
      <c r="B183" s="25" t="n">
        <v>46082</v>
      </c>
      <c r="C183" s="25" t="n">
        <v>12</v>
      </c>
      <c r="D183" s="26" t="s">
        <v>79</v>
      </c>
      <c r="E183" s="26" t="s">
        <v>97</v>
      </c>
      <c r="F183" s="26" t="s">
        <v>73</v>
      </c>
      <c r="G183" s="26" t="s">
        <v>12</v>
      </c>
      <c r="H183" s="27" t="n">
        <v>0.354166666666667</v>
      </c>
      <c r="I183" s="27" t="n">
        <v>0.854166666666667</v>
      </c>
      <c r="J183" s="26" t="n">
        <f aca="false">IFERROR((I183-H183)*24*60,"")</f>
        <v>720</v>
      </c>
      <c r="K183" s="26" t="s">
        <v>74</v>
      </c>
      <c r="L183" s="26" t="s">
        <v>98</v>
      </c>
      <c r="M183" s="26" t="s">
        <v>99</v>
      </c>
      <c r="N183" s="26" t="s">
        <v>100</v>
      </c>
      <c r="O183" s="26" t="n">
        <v>1</v>
      </c>
      <c r="P183" s="26" t="n">
        <v>59</v>
      </c>
      <c r="Q183" s="26" t="n">
        <f aca="false">IFERROR(3600/(P183/O183),"")</f>
        <v>61.0169491525424</v>
      </c>
      <c r="R183" s="26" t="n">
        <v>492</v>
      </c>
      <c r="S183" s="26" t="n">
        <v>37</v>
      </c>
      <c r="T183" s="26" t="n">
        <f aca="false">IFERROR(J183-S183,"")</f>
        <v>683</v>
      </c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 t="n">
        <v>5</v>
      </c>
      <c r="AF183" s="26" t="n">
        <f aca="false">SUM(U183:AE183)</f>
        <v>5</v>
      </c>
      <c r="AG183" s="26" t="n">
        <f aca="false">T183-AF183</f>
        <v>678</v>
      </c>
      <c r="AH183" s="28" t="n">
        <f aca="false">IFERROR(AG183/T183,"")</f>
        <v>0.992679355783309</v>
      </c>
      <c r="AI183" s="29" t="n">
        <f aca="false">IFERROR(R183/AG183*60,"")</f>
        <v>43.5398230088496</v>
      </c>
      <c r="AJ183" s="30" t="n">
        <f aca="false">IFERROR(AI183/Q183,"")</f>
        <v>0.713569321533923</v>
      </c>
      <c r="AK183" s="31" t="n">
        <f aca="false">IFERROR(R183/(T183/60*Q183),"")</f>
        <v>0.708345534407028</v>
      </c>
      <c r="AL183" s="26"/>
      <c r="AM183" s="26"/>
      <c r="AN183" s="26"/>
      <c r="AO183" s="26" t="n">
        <v>1</v>
      </c>
      <c r="AP183" s="26"/>
      <c r="AQ183" s="26" t="n">
        <v>1</v>
      </c>
      <c r="AR183" s="26"/>
      <c r="AS183" s="26"/>
      <c r="AT183" s="26"/>
      <c r="AU183" s="26"/>
      <c r="AV183" s="26" t="n">
        <f aca="false">SUM(AL183:AU183)</f>
        <v>2</v>
      </c>
      <c r="AW183" s="32" t="n">
        <f aca="false">IFERROR(AV183/R183*1000000,"")</f>
        <v>4065.0406504065</v>
      </c>
      <c r="AX183" s="33" t="n">
        <f aca="false">IFERROR((R183-AV183)/R183,"")</f>
        <v>0.995934959349594</v>
      </c>
      <c r="AY183" s="34" t="n">
        <f aca="false">IFERROR(AH183*AJ183*AX183,"")</f>
        <v>0.705466081015129</v>
      </c>
      <c r="AZ183" s="35"/>
    </row>
    <row r="184" customFormat="false" ht="12.75" hidden="false" customHeight="true" outlineLevel="0" collapsed="false">
      <c r="A184" s="24" t="n">
        <v>180</v>
      </c>
      <c r="B184" s="25" t="n">
        <v>46082</v>
      </c>
      <c r="C184" s="25" t="n">
        <v>12</v>
      </c>
      <c r="D184" s="26" t="s">
        <v>87</v>
      </c>
      <c r="E184" s="26" t="s">
        <v>101</v>
      </c>
      <c r="F184" s="26" t="s">
        <v>81</v>
      </c>
      <c r="G184" s="26" t="s">
        <v>13</v>
      </c>
      <c r="H184" s="27" t="n">
        <v>0.354166666666667</v>
      </c>
      <c r="I184" s="27" t="n">
        <v>0.854166666666667</v>
      </c>
      <c r="J184" s="26" t="n">
        <f aca="false">IFERROR((I184-H184)*24*60,"")</f>
        <v>720</v>
      </c>
      <c r="K184" s="26" t="s">
        <v>82</v>
      </c>
      <c r="L184" s="26" t="s">
        <v>75</v>
      </c>
      <c r="M184" s="26" t="s">
        <v>103</v>
      </c>
      <c r="N184" s="26" t="s">
        <v>104</v>
      </c>
      <c r="O184" s="26" t="n">
        <v>1</v>
      </c>
      <c r="P184" s="26" t="n">
        <v>33</v>
      </c>
      <c r="Q184" s="26" t="n">
        <f aca="false">IFERROR(3600/(P184/O184),"")</f>
        <v>109.090909090909</v>
      </c>
      <c r="R184" s="26" t="n">
        <v>992</v>
      </c>
      <c r="S184" s="26" t="n">
        <v>62</v>
      </c>
      <c r="T184" s="26" t="n">
        <f aca="false">IFERROR(J184-S184,"")</f>
        <v>658</v>
      </c>
      <c r="U184" s="26"/>
      <c r="V184" s="26" t="n">
        <v>11</v>
      </c>
      <c r="W184" s="26"/>
      <c r="X184" s="26" t="n">
        <v>30</v>
      </c>
      <c r="Y184" s="26"/>
      <c r="Z184" s="26"/>
      <c r="AA184" s="26"/>
      <c r="AB184" s="26"/>
      <c r="AC184" s="26"/>
      <c r="AD184" s="26"/>
      <c r="AE184" s="26"/>
      <c r="AF184" s="26" t="n">
        <f aca="false">SUM(U184:AE184)</f>
        <v>41</v>
      </c>
      <c r="AG184" s="26" t="n">
        <f aca="false">T184-AF184</f>
        <v>617</v>
      </c>
      <c r="AH184" s="28" t="n">
        <f aca="false">IFERROR(AG184/T184,"")</f>
        <v>0.937689969604863</v>
      </c>
      <c r="AI184" s="29" t="n">
        <f aca="false">IFERROR(R184/AG184*60,"")</f>
        <v>96.4667747163695</v>
      </c>
      <c r="AJ184" s="30" t="n">
        <f aca="false">IFERROR(AI184/Q184,"")</f>
        <v>0.884278768233387</v>
      </c>
      <c r="AK184" s="31" t="n">
        <f aca="false">IFERROR(R184/(T184/60*Q184),"")</f>
        <v>0.829179331306991</v>
      </c>
      <c r="AL184" s="26" t="n">
        <v>1</v>
      </c>
      <c r="AM184" s="26" t="n">
        <v>1</v>
      </c>
      <c r="AN184" s="26" t="n">
        <v>1</v>
      </c>
      <c r="AO184" s="26" t="n">
        <v>1</v>
      </c>
      <c r="AP184" s="26" t="n">
        <v>2</v>
      </c>
      <c r="AQ184" s="26" t="n">
        <v>2</v>
      </c>
      <c r="AR184" s="26" t="n">
        <v>2</v>
      </c>
      <c r="AS184" s="26" t="n">
        <v>1</v>
      </c>
      <c r="AT184" s="26" t="n">
        <v>1</v>
      </c>
      <c r="AU184" s="26"/>
      <c r="AV184" s="26" t="n">
        <f aca="false">SUM(AL184:AU184)</f>
        <v>12</v>
      </c>
      <c r="AW184" s="32" t="n">
        <f aca="false">IFERROR(AV184/R184*1000000,"")</f>
        <v>12096.7741935484</v>
      </c>
      <c r="AX184" s="33" t="n">
        <f aca="false">IFERROR((R184-AV184)/R184,"")</f>
        <v>0.987903225806452</v>
      </c>
      <c r="AY184" s="34" t="n">
        <f aca="false">IFERROR(AH184*AJ184*AX184,"")</f>
        <v>0.819148936170213</v>
      </c>
      <c r="AZ184" s="35" t="s">
        <v>86</v>
      </c>
    </row>
    <row r="185" customFormat="false" ht="12.75" hidden="false" customHeight="true" outlineLevel="0" collapsed="false">
      <c r="A185" s="24" t="n">
        <v>181</v>
      </c>
      <c r="B185" s="25" t="n">
        <v>46083</v>
      </c>
      <c r="C185" s="25" t="n">
        <v>12</v>
      </c>
      <c r="D185" s="26" t="s">
        <v>71</v>
      </c>
      <c r="E185" s="26" t="s">
        <v>72</v>
      </c>
      <c r="F185" s="26" t="s">
        <v>73</v>
      </c>
      <c r="G185" s="26" t="s">
        <v>8</v>
      </c>
      <c r="H185" s="27" t="n">
        <v>0.354166666666667</v>
      </c>
      <c r="I185" s="27" t="n">
        <v>0.854166666666667</v>
      </c>
      <c r="J185" s="26" t="n">
        <f aca="false">IFERROR((I185-H185)*24*60,"")</f>
        <v>720</v>
      </c>
      <c r="K185" s="26" t="s">
        <v>82</v>
      </c>
      <c r="L185" s="26" t="s">
        <v>106</v>
      </c>
      <c r="M185" s="26" t="s">
        <v>76</v>
      </c>
      <c r="N185" s="26" t="s">
        <v>77</v>
      </c>
      <c r="O185" s="26" t="n">
        <v>2</v>
      </c>
      <c r="P185" s="26" t="n">
        <v>32</v>
      </c>
      <c r="Q185" s="26" t="n">
        <f aca="false">IFERROR(3600/(P185/O185),"")</f>
        <v>225</v>
      </c>
      <c r="R185" s="26" t="n">
        <v>2193</v>
      </c>
      <c r="S185" s="26" t="n">
        <v>63</v>
      </c>
      <c r="T185" s="26" t="n">
        <f aca="false">IFERROR(J185-S185,"")</f>
        <v>657</v>
      </c>
      <c r="U185" s="26"/>
      <c r="V185" s="26"/>
      <c r="W185" s="26"/>
      <c r="X185" s="26"/>
      <c r="Y185" s="26"/>
      <c r="Z185" s="26"/>
      <c r="AA185" s="26"/>
      <c r="AB185" s="26" t="n">
        <v>16</v>
      </c>
      <c r="AC185" s="26"/>
      <c r="AD185" s="26"/>
      <c r="AE185" s="26" t="n">
        <v>19</v>
      </c>
      <c r="AF185" s="26" t="n">
        <f aca="false">SUM(U185:AE185)</f>
        <v>35</v>
      </c>
      <c r="AG185" s="26" t="n">
        <f aca="false">T185-AF185</f>
        <v>622</v>
      </c>
      <c r="AH185" s="28" t="n">
        <f aca="false">IFERROR(AG185/T185,"")</f>
        <v>0.946727549467275</v>
      </c>
      <c r="AI185" s="29" t="n">
        <f aca="false">IFERROR(R185/AG185*60,"")</f>
        <v>211.543408360129</v>
      </c>
      <c r="AJ185" s="30" t="n">
        <f aca="false">IFERROR(AI185/Q185,"")</f>
        <v>0.940192926045016</v>
      </c>
      <c r="AK185" s="31" t="n">
        <f aca="false">IFERROR(R185/(T185/60*Q185),"")</f>
        <v>0.890106544901065</v>
      </c>
      <c r="AL185" s="26" t="n">
        <v>5</v>
      </c>
      <c r="AM185" s="26" t="n">
        <v>2</v>
      </c>
      <c r="AN185" s="26" t="n">
        <v>3</v>
      </c>
      <c r="AO185" s="26"/>
      <c r="AP185" s="26" t="n">
        <v>1</v>
      </c>
      <c r="AQ185" s="26" t="n">
        <v>2</v>
      </c>
      <c r="AR185" s="26" t="n">
        <v>5</v>
      </c>
      <c r="AS185" s="26" t="n">
        <v>1</v>
      </c>
      <c r="AT185" s="26" t="n">
        <v>2</v>
      </c>
      <c r="AU185" s="26" t="n">
        <v>1</v>
      </c>
      <c r="AV185" s="26" t="n">
        <f aca="false">SUM(AL185:AU185)</f>
        <v>22</v>
      </c>
      <c r="AW185" s="32" t="n">
        <f aca="false">IFERROR(AV185/R185*1000000,"")</f>
        <v>10031.919744642</v>
      </c>
      <c r="AX185" s="33" t="n">
        <f aca="false">IFERROR((R185-AV185)/R185,"")</f>
        <v>0.989968080255358</v>
      </c>
      <c r="AY185" s="34" t="n">
        <f aca="false">IFERROR(AH185*AJ185*AX185,"")</f>
        <v>0.881177067478437</v>
      </c>
      <c r="AZ185" s="35" t="s">
        <v>93</v>
      </c>
    </row>
    <row r="186" customFormat="false" ht="12.75" hidden="false" customHeight="true" outlineLevel="0" collapsed="false">
      <c r="A186" s="24" t="n">
        <v>182</v>
      </c>
      <c r="B186" s="25" t="n">
        <v>46083</v>
      </c>
      <c r="C186" s="25" t="n">
        <v>12</v>
      </c>
      <c r="D186" s="26" t="s">
        <v>79</v>
      </c>
      <c r="E186" s="26" t="s">
        <v>80</v>
      </c>
      <c r="F186" s="26" t="s">
        <v>81</v>
      </c>
      <c r="G186" s="26" t="s">
        <v>9</v>
      </c>
      <c r="H186" s="27" t="n">
        <v>0.354166666666667</v>
      </c>
      <c r="I186" s="27" t="n">
        <v>0.854166666666667</v>
      </c>
      <c r="J186" s="26" t="n">
        <f aca="false">IFERROR((I186-H186)*24*60,"")</f>
        <v>720</v>
      </c>
      <c r="K186" s="26" t="s">
        <v>82</v>
      </c>
      <c r="L186" s="26" t="s">
        <v>75</v>
      </c>
      <c r="M186" s="26" t="s">
        <v>84</v>
      </c>
      <c r="N186" s="26" t="s">
        <v>85</v>
      </c>
      <c r="O186" s="26" t="n">
        <v>2</v>
      </c>
      <c r="P186" s="26" t="n">
        <v>68</v>
      </c>
      <c r="Q186" s="26" t="n">
        <f aca="false">IFERROR(3600/(P186/O186),"")</f>
        <v>105.882352941176</v>
      </c>
      <c r="R186" s="26" t="n">
        <v>971</v>
      </c>
      <c r="S186" s="26" t="n">
        <v>30</v>
      </c>
      <c r="T186" s="26" t="n">
        <f aca="false">IFERROR(J186-S186,"")</f>
        <v>690</v>
      </c>
      <c r="U186" s="26"/>
      <c r="V186" s="26"/>
      <c r="W186" s="26"/>
      <c r="X186" s="26"/>
      <c r="Y186" s="26"/>
      <c r="Z186" s="26" t="n">
        <v>17</v>
      </c>
      <c r="AA186" s="26"/>
      <c r="AB186" s="26"/>
      <c r="AC186" s="26" t="n">
        <v>9</v>
      </c>
      <c r="AD186" s="26"/>
      <c r="AE186" s="26" t="n">
        <v>19</v>
      </c>
      <c r="AF186" s="26" t="n">
        <f aca="false">SUM(U186:AE186)</f>
        <v>45</v>
      </c>
      <c r="AG186" s="26" t="n">
        <f aca="false">T186-AF186</f>
        <v>645</v>
      </c>
      <c r="AH186" s="28" t="n">
        <f aca="false">IFERROR(AG186/T186,"")</f>
        <v>0.934782608695652</v>
      </c>
      <c r="AI186" s="29" t="n">
        <f aca="false">IFERROR(R186/AG186*60,"")</f>
        <v>90.3255813953488</v>
      </c>
      <c r="AJ186" s="30" t="n">
        <f aca="false">IFERROR(AI186/Q186,"")</f>
        <v>0.853074935400517</v>
      </c>
      <c r="AK186" s="31" t="n">
        <f aca="false">IFERROR(R186/(T186/60*Q186),"")</f>
        <v>0.79743961352657</v>
      </c>
      <c r="AL186" s="26" t="n">
        <v>1</v>
      </c>
      <c r="AM186" s="26" t="n">
        <v>1</v>
      </c>
      <c r="AN186" s="26" t="n">
        <v>1</v>
      </c>
      <c r="AO186" s="26" t="n">
        <v>1</v>
      </c>
      <c r="AP186" s="26" t="n">
        <v>1</v>
      </c>
      <c r="AQ186" s="26" t="n">
        <v>1</v>
      </c>
      <c r="AR186" s="26" t="n">
        <v>1</v>
      </c>
      <c r="AS186" s="26"/>
      <c r="AT186" s="26" t="n">
        <v>3</v>
      </c>
      <c r="AU186" s="26"/>
      <c r="AV186" s="26" t="n">
        <f aca="false">SUM(AL186:AU186)</f>
        <v>10</v>
      </c>
      <c r="AW186" s="32" t="n">
        <f aca="false">IFERROR(AV186/R186*1000000,"")</f>
        <v>10298.6611740474</v>
      </c>
      <c r="AX186" s="33" t="n">
        <f aca="false">IFERROR((R186-AV186)/R186,"")</f>
        <v>0.989701338825953</v>
      </c>
      <c r="AY186" s="34" t="n">
        <f aca="false">IFERROR(AH186*AJ186*AX186,"")</f>
        <v>0.789227053140097</v>
      </c>
      <c r="AZ186" s="35" t="s">
        <v>78</v>
      </c>
    </row>
    <row r="187" customFormat="false" ht="12.75" hidden="false" customHeight="true" outlineLevel="0" collapsed="false">
      <c r="A187" s="24" t="n">
        <v>183</v>
      </c>
      <c r="B187" s="25" t="n">
        <v>46083</v>
      </c>
      <c r="C187" s="25" t="n">
        <v>12</v>
      </c>
      <c r="D187" s="26" t="s">
        <v>87</v>
      </c>
      <c r="E187" s="26" t="s">
        <v>88</v>
      </c>
      <c r="F187" s="26" t="s">
        <v>73</v>
      </c>
      <c r="G187" s="26" t="s">
        <v>10</v>
      </c>
      <c r="H187" s="27" t="n">
        <v>0.354166666666667</v>
      </c>
      <c r="I187" s="27" t="n">
        <v>0.854166666666667</v>
      </c>
      <c r="J187" s="26" t="n">
        <f aca="false">IFERROR((I187-H187)*24*60,"")</f>
        <v>720</v>
      </c>
      <c r="K187" s="26" t="s">
        <v>89</v>
      </c>
      <c r="L187" s="26" t="s">
        <v>106</v>
      </c>
      <c r="M187" s="26" t="s">
        <v>91</v>
      </c>
      <c r="N187" s="26" t="s">
        <v>92</v>
      </c>
      <c r="O187" s="26" t="n">
        <v>4</v>
      </c>
      <c r="P187" s="26" t="n">
        <v>57</v>
      </c>
      <c r="Q187" s="26" t="n">
        <f aca="false">IFERROR(3600/(P187/O187),"")</f>
        <v>252.631578947368</v>
      </c>
      <c r="R187" s="26" t="n">
        <v>2025</v>
      </c>
      <c r="S187" s="26" t="n">
        <v>62</v>
      </c>
      <c r="T187" s="26" t="n">
        <f aca="false">IFERROR(J187-S187,"")</f>
        <v>658</v>
      </c>
      <c r="U187" s="26" t="n">
        <v>13</v>
      </c>
      <c r="V187" s="26"/>
      <c r="W187" s="26"/>
      <c r="X187" s="26"/>
      <c r="Y187" s="26"/>
      <c r="Z187" s="26"/>
      <c r="AA187" s="26"/>
      <c r="AB187" s="26"/>
      <c r="AC187" s="26" t="n">
        <v>3</v>
      </c>
      <c r="AD187" s="26" t="n">
        <v>64</v>
      </c>
      <c r="AE187" s="26"/>
      <c r="AF187" s="26" t="n">
        <f aca="false">SUM(U187:AE187)</f>
        <v>80</v>
      </c>
      <c r="AG187" s="26" t="n">
        <f aca="false">T187-AF187</f>
        <v>578</v>
      </c>
      <c r="AH187" s="28" t="n">
        <f aca="false">IFERROR(AG187/T187,"")</f>
        <v>0.878419452887538</v>
      </c>
      <c r="AI187" s="29" t="n">
        <f aca="false">IFERROR(R187/AG187*60,"")</f>
        <v>210.207612456747</v>
      </c>
      <c r="AJ187" s="30" t="n">
        <f aca="false">IFERROR(AI187/Q187,"")</f>
        <v>0.832071799307959</v>
      </c>
      <c r="AK187" s="31" t="n">
        <f aca="false">IFERROR(R187/(T187/60*Q187),"")</f>
        <v>0.730908054711246</v>
      </c>
      <c r="AL187" s="26" t="n">
        <v>3</v>
      </c>
      <c r="AM187" s="26" t="n">
        <v>3</v>
      </c>
      <c r="AN187" s="26"/>
      <c r="AO187" s="26"/>
      <c r="AP187" s="26" t="n">
        <v>3</v>
      </c>
      <c r="AQ187" s="26" t="n">
        <v>2</v>
      </c>
      <c r="AR187" s="26" t="n">
        <v>1</v>
      </c>
      <c r="AS187" s="26" t="n">
        <v>1</v>
      </c>
      <c r="AT187" s="26" t="n">
        <v>2</v>
      </c>
      <c r="AU187" s="26" t="n">
        <v>1</v>
      </c>
      <c r="AV187" s="26" t="n">
        <f aca="false">SUM(AL187:AU187)</f>
        <v>16</v>
      </c>
      <c r="AW187" s="32" t="n">
        <f aca="false">IFERROR(AV187/R187*1000000,"")</f>
        <v>7901.23456790124</v>
      </c>
      <c r="AX187" s="33" t="n">
        <f aca="false">IFERROR((R187-AV187)/R187,"")</f>
        <v>0.992098765432099</v>
      </c>
      <c r="AY187" s="34" t="n">
        <f aca="false">IFERROR(AH187*AJ187*AX187,"")</f>
        <v>0.725132978723404</v>
      </c>
      <c r="AZ187" s="35" t="s">
        <v>86</v>
      </c>
    </row>
    <row r="188" customFormat="false" ht="12.75" hidden="false" customHeight="true" outlineLevel="0" collapsed="false">
      <c r="A188" s="24" t="n">
        <v>184</v>
      </c>
      <c r="B188" s="25" t="n">
        <v>46084</v>
      </c>
      <c r="C188" s="25" t="n">
        <v>12</v>
      </c>
      <c r="D188" s="26" t="s">
        <v>71</v>
      </c>
      <c r="E188" s="26" t="s">
        <v>94</v>
      </c>
      <c r="F188" s="26" t="s">
        <v>81</v>
      </c>
      <c r="G188" s="26" t="s">
        <v>11</v>
      </c>
      <c r="H188" s="27" t="n">
        <v>0.354166666666667</v>
      </c>
      <c r="I188" s="27" t="n">
        <v>0.854166666666667</v>
      </c>
      <c r="J188" s="26" t="n">
        <f aca="false">IFERROR((I188-H188)*24*60,"")</f>
        <v>720</v>
      </c>
      <c r="K188" s="26" t="s">
        <v>89</v>
      </c>
      <c r="L188" s="26" t="s">
        <v>98</v>
      </c>
      <c r="M188" s="26" t="s">
        <v>95</v>
      </c>
      <c r="N188" s="26" t="s">
        <v>96</v>
      </c>
      <c r="O188" s="26" t="n">
        <v>2</v>
      </c>
      <c r="P188" s="26" t="n">
        <v>46</v>
      </c>
      <c r="Q188" s="26" t="n">
        <f aca="false">IFERROR(3600/(P188/O188),"")</f>
        <v>156.521739130435</v>
      </c>
      <c r="R188" s="26" t="n">
        <v>1228</v>
      </c>
      <c r="S188" s="26" t="n">
        <v>67</v>
      </c>
      <c r="T188" s="26" t="n">
        <f aca="false">IFERROR(J188-S188,"")</f>
        <v>653</v>
      </c>
      <c r="U188" s="26"/>
      <c r="V188" s="26"/>
      <c r="W188" s="26"/>
      <c r="X188" s="26"/>
      <c r="Y188" s="26"/>
      <c r="Z188" s="26"/>
      <c r="AA188" s="26" t="n">
        <v>7</v>
      </c>
      <c r="AB188" s="26"/>
      <c r="AC188" s="26" t="n">
        <v>32</v>
      </c>
      <c r="AD188" s="26"/>
      <c r="AE188" s="26" t="n">
        <v>39</v>
      </c>
      <c r="AF188" s="26" t="n">
        <f aca="false">SUM(U188:AE188)</f>
        <v>78</v>
      </c>
      <c r="AG188" s="26" t="n">
        <f aca="false">T188-AF188</f>
        <v>575</v>
      </c>
      <c r="AH188" s="28" t="n">
        <f aca="false">IFERROR(AG188/T188,"")</f>
        <v>0.880551301684533</v>
      </c>
      <c r="AI188" s="29" t="n">
        <f aca="false">IFERROR(R188/AG188*60,"")</f>
        <v>128.139130434783</v>
      </c>
      <c r="AJ188" s="30" t="n">
        <f aca="false">IFERROR(AI188/Q188,"")</f>
        <v>0.818666666666667</v>
      </c>
      <c r="AK188" s="31" t="n">
        <f aca="false">IFERROR(R188/(T188/60*Q188),"")</f>
        <v>0.720877998979071</v>
      </c>
      <c r="AL188" s="26" t="n">
        <v>1</v>
      </c>
      <c r="AM188" s="26" t="n">
        <v>5</v>
      </c>
      <c r="AN188" s="26" t="n">
        <v>2</v>
      </c>
      <c r="AO188" s="26" t="n">
        <v>2</v>
      </c>
      <c r="AP188" s="26"/>
      <c r="AQ188" s="26" t="n">
        <v>3</v>
      </c>
      <c r="AR188" s="26" t="n">
        <v>4</v>
      </c>
      <c r="AS188" s="26" t="n">
        <v>3</v>
      </c>
      <c r="AT188" s="26" t="n">
        <v>2</v>
      </c>
      <c r="AU188" s="26" t="n">
        <v>1</v>
      </c>
      <c r="AV188" s="26" t="n">
        <f aca="false">SUM(AL188:AU188)</f>
        <v>23</v>
      </c>
      <c r="AW188" s="32" t="n">
        <f aca="false">IFERROR(AV188/R188*1000000,"")</f>
        <v>18729.6416938111</v>
      </c>
      <c r="AX188" s="33" t="n">
        <f aca="false">IFERROR((R188-AV188)/R188,"")</f>
        <v>0.981270358306189</v>
      </c>
      <c r="AY188" s="34" t="n">
        <f aca="false">IFERROR(AH188*AJ188*AX188,"")</f>
        <v>0.707376212353241</v>
      </c>
      <c r="AZ188" s="35"/>
    </row>
    <row r="189" customFormat="false" ht="12.75" hidden="false" customHeight="true" outlineLevel="0" collapsed="false">
      <c r="A189" s="24" t="n">
        <v>185</v>
      </c>
      <c r="B189" s="25" t="n">
        <v>46084</v>
      </c>
      <c r="C189" s="25" t="n">
        <v>12</v>
      </c>
      <c r="D189" s="26" t="s">
        <v>79</v>
      </c>
      <c r="E189" s="26" t="s">
        <v>97</v>
      </c>
      <c r="F189" s="26" t="s">
        <v>73</v>
      </c>
      <c r="G189" s="26" t="s">
        <v>12</v>
      </c>
      <c r="H189" s="27" t="n">
        <v>0.354166666666667</v>
      </c>
      <c r="I189" s="27" t="n">
        <v>0.854166666666667</v>
      </c>
      <c r="J189" s="26" t="n">
        <f aca="false">IFERROR((I189-H189)*24*60,"")</f>
        <v>720</v>
      </c>
      <c r="K189" s="26" t="s">
        <v>74</v>
      </c>
      <c r="L189" s="26" t="s">
        <v>83</v>
      </c>
      <c r="M189" s="26" t="s">
        <v>99</v>
      </c>
      <c r="N189" s="26" t="s">
        <v>100</v>
      </c>
      <c r="O189" s="26" t="n">
        <v>8</v>
      </c>
      <c r="P189" s="26" t="n">
        <v>68</v>
      </c>
      <c r="Q189" s="26" t="n">
        <f aca="false">IFERROR(3600/(P189/O189),"")</f>
        <v>423.529411764706</v>
      </c>
      <c r="R189" s="26" t="n">
        <v>4249</v>
      </c>
      <c r="S189" s="26" t="n">
        <v>70</v>
      </c>
      <c r="T189" s="26" t="n">
        <f aca="false">IFERROR(J189-S189,"")</f>
        <v>650</v>
      </c>
      <c r="U189" s="26"/>
      <c r="V189" s="26"/>
      <c r="W189" s="26" t="n">
        <v>8</v>
      </c>
      <c r="X189" s="26"/>
      <c r="Y189" s="26"/>
      <c r="Z189" s="26"/>
      <c r="AA189" s="26" t="n">
        <v>26</v>
      </c>
      <c r="AB189" s="26"/>
      <c r="AC189" s="26"/>
      <c r="AD189" s="26"/>
      <c r="AE189" s="26"/>
      <c r="AF189" s="26" t="n">
        <f aca="false">SUM(U189:AE189)</f>
        <v>34</v>
      </c>
      <c r="AG189" s="26" t="n">
        <f aca="false">T189-AF189</f>
        <v>616</v>
      </c>
      <c r="AH189" s="28" t="n">
        <f aca="false">IFERROR(AG189/T189,"")</f>
        <v>0.947692307692308</v>
      </c>
      <c r="AI189" s="29" t="n">
        <f aca="false">IFERROR(R189/AG189*60,"")</f>
        <v>413.863636363636</v>
      </c>
      <c r="AJ189" s="30" t="n">
        <f aca="false">IFERROR(AI189/Q189,"")</f>
        <v>0.97717803030303</v>
      </c>
      <c r="AK189" s="31" t="n">
        <f aca="false">IFERROR(R189/(T189/60*Q189),"")</f>
        <v>0.926064102564103</v>
      </c>
      <c r="AL189" s="26" t="n">
        <v>6</v>
      </c>
      <c r="AM189" s="26" t="n">
        <v>7</v>
      </c>
      <c r="AN189" s="26" t="n">
        <v>6</v>
      </c>
      <c r="AO189" s="26" t="n">
        <v>2</v>
      </c>
      <c r="AP189" s="26" t="n">
        <v>7</v>
      </c>
      <c r="AQ189" s="26" t="n">
        <v>6</v>
      </c>
      <c r="AR189" s="26" t="n">
        <v>4</v>
      </c>
      <c r="AS189" s="26" t="n">
        <v>9</v>
      </c>
      <c r="AT189" s="26" t="n">
        <v>5</v>
      </c>
      <c r="AU189" s="26" t="n">
        <v>5</v>
      </c>
      <c r="AV189" s="26" t="n">
        <f aca="false">SUM(AL189:AU189)</f>
        <v>57</v>
      </c>
      <c r="AW189" s="32" t="n">
        <f aca="false">IFERROR(AV189/R189*1000000,"")</f>
        <v>13414.9211579195</v>
      </c>
      <c r="AX189" s="33" t="n">
        <f aca="false">IFERROR((R189-AV189)/R189,"")</f>
        <v>0.986585078842081</v>
      </c>
      <c r="AY189" s="34" t="n">
        <f aca="false">IFERROR(AH189*AJ189*AX189,"")</f>
        <v>0.913641025641026</v>
      </c>
      <c r="AZ189" s="35"/>
    </row>
    <row r="190" customFormat="false" ht="12.75" hidden="false" customHeight="true" outlineLevel="0" collapsed="false">
      <c r="A190" s="24" t="n">
        <v>186</v>
      </c>
      <c r="B190" s="25" t="n">
        <v>46084</v>
      </c>
      <c r="C190" s="25" t="n">
        <v>12</v>
      </c>
      <c r="D190" s="26" t="s">
        <v>87</v>
      </c>
      <c r="E190" s="26" t="s">
        <v>101</v>
      </c>
      <c r="F190" s="26" t="s">
        <v>81</v>
      </c>
      <c r="G190" s="26" t="s">
        <v>13</v>
      </c>
      <c r="H190" s="27" t="n">
        <v>0.354166666666667</v>
      </c>
      <c r="I190" s="27" t="n">
        <v>0.854166666666667</v>
      </c>
      <c r="J190" s="26" t="n">
        <f aca="false">IFERROR((I190-H190)*24*60,"")</f>
        <v>720</v>
      </c>
      <c r="K190" s="26" t="s">
        <v>74</v>
      </c>
      <c r="L190" s="26" t="s">
        <v>102</v>
      </c>
      <c r="M190" s="26" t="s">
        <v>103</v>
      </c>
      <c r="N190" s="26" t="s">
        <v>104</v>
      </c>
      <c r="O190" s="26" t="n">
        <v>2</v>
      </c>
      <c r="P190" s="26" t="n">
        <v>70</v>
      </c>
      <c r="Q190" s="26" t="n">
        <f aca="false">IFERROR(3600/(P190/O190),"")</f>
        <v>102.857142857143</v>
      </c>
      <c r="R190" s="26" t="n">
        <v>843</v>
      </c>
      <c r="S190" s="26" t="n">
        <v>58</v>
      </c>
      <c r="T190" s="26" t="n">
        <f aca="false">IFERROR(J190-S190,"")</f>
        <v>662</v>
      </c>
      <c r="U190" s="26"/>
      <c r="V190" s="26"/>
      <c r="W190" s="26"/>
      <c r="X190" s="26" t="n">
        <v>27</v>
      </c>
      <c r="Y190" s="26"/>
      <c r="Z190" s="26"/>
      <c r="AA190" s="26" t="n">
        <v>16</v>
      </c>
      <c r="AB190" s="26"/>
      <c r="AC190" s="26"/>
      <c r="AD190" s="26" t="n">
        <v>24</v>
      </c>
      <c r="AE190" s="26"/>
      <c r="AF190" s="26" t="n">
        <f aca="false">SUM(U190:AE190)</f>
        <v>67</v>
      </c>
      <c r="AG190" s="26" t="n">
        <f aca="false">T190-AF190</f>
        <v>595</v>
      </c>
      <c r="AH190" s="28" t="n">
        <f aca="false">IFERROR(AG190/T190,"")</f>
        <v>0.898791540785499</v>
      </c>
      <c r="AI190" s="29" t="n">
        <f aca="false">IFERROR(R190/AG190*60,"")</f>
        <v>85.0084033613446</v>
      </c>
      <c r="AJ190" s="30" t="n">
        <f aca="false">IFERROR(AI190/Q190,"")</f>
        <v>0.826470588235294</v>
      </c>
      <c r="AK190" s="31" t="n">
        <f aca="false">IFERROR(R190/(T190/60*Q190),"")</f>
        <v>0.742824773413897</v>
      </c>
      <c r="AL190" s="26" t="n">
        <v>3</v>
      </c>
      <c r="AM190" s="26" t="n">
        <v>3</v>
      </c>
      <c r="AN190" s="26" t="n">
        <v>1</v>
      </c>
      <c r="AO190" s="26" t="n">
        <v>1</v>
      </c>
      <c r="AP190" s="26" t="n">
        <v>2</v>
      </c>
      <c r="AQ190" s="26" t="n">
        <v>1</v>
      </c>
      <c r="AR190" s="26"/>
      <c r="AS190" s="26" t="n">
        <v>1</v>
      </c>
      <c r="AT190" s="26" t="n">
        <v>4</v>
      </c>
      <c r="AU190" s="26" t="n">
        <v>3</v>
      </c>
      <c r="AV190" s="26" t="n">
        <f aca="false">SUM(AL190:AU190)</f>
        <v>19</v>
      </c>
      <c r="AW190" s="32" t="n">
        <f aca="false">IFERROR(AV190/R190*1000000,"")</f>
        <v>22538.5527876631</v>
      </c>
      <c r="AX190" s="33" t="n">
        <f aca="false">IFERROR((R190-AV190)/R190,"")</f>
        <v>0.977461447212337</v>
      </c>
      <c r="AY190" s="34" t="n">
        <f aca="false">IFERROR(AH190*AJ190*AX190,"")</f>
        <v>0.726082578046324</v>
      </c>
      <c r="AZ190" s="35" t="s">
        <v>78</v>
      </c>
    </row>
    <row r="191" customFormat="false" ht="12.75" hidden="false" customHeight="true" outlineLevel="0" collapsed="false">
      <c r="A191" s="24" t="n">
        <v>187</v>
      </c>
      <c r="B191" s="25" t="n">
        <v>46085</v>
      </c>
      <c r="C191" s="25" t="n">
        <v>12</v>
      </c>
      <c r="D191" s="26" t="s">
        <v>71</v>
      </c>
      <c r="E191" s="26" t="s">
        <v>72</v>
      </c>
      <c r="F191" s="26" t="s">
        <v>73</v>
      </c>
      <c r="G191" s="26" t="s">
        <v>8</v>
      </c>
      <c r="H191" s="27" t="n">
        <v>0.354166666666667</v>
      </c>
      <c r="I191" s="27" t="n">
        <v>0.854166666666667</v>
      </c>
      <c r="J191" s="26" t="n">
        <f aca="false">IFERROR((I191-H191)*24*60,"")</f>
        <v>720</v>
      </c>
      <c r="K191" s="26" t="s">
        <v>82</v>
      </c>
      <c r="L191" s="26" t="s">
        <v>108</v>
      </c>
      <c r="M191" s="26" t="s">
        <v>76</v>
      </c>
      <c r="N191" s="26" t="s">
        <v>77</v>
      </c>
      <c r="O191" s="26" t="n">
        <v>2</v>
      </c>
      <c r="P191" s="26" t="n">
        <v>25</v>
      </c>
      <c r="Q191" s="26" t="n">
        <f aca="false">IFERROR(3600/(P191/O191),"")</f>
        <v>288</v>
      </c>
      <c r="R191" s="26" t="n">
        <v>2354</v>
      </c>
      <c r="S191" s="26" t="n">
        <v>37</v>
      </c>
      <c r="T191" s="26" t="n">
        <f aca="false">IFERROR(J191-S191,"")</f>
        <v>683</v>
      </c>
      <c r="U191" s="26"/>
      <c r="V191" s="26"/>
      <c r="W191" s="26"/>
      <c r="X191" s="26"/>
      <c r="Y191" s="26"/>
      <c r="Z191" s="26"/>
      <c r="AA191" s="26"/>
      <c r="AB191" s="26"/>
      <c r="AC191" s="26"/>
      <c r="AD191" s="26" t="n">
        <v>18</v>
      </c>
      <c r="AE191" s="26"/>
      <c r="AF191" s="26" t="n">
        <f aca="false">SUM(U191:AE191)</f>
        <v>18</v>
      </c>
      <c r="AG191" s="26" t="n">
        <f aca="false">T191-AF191</f>
        <v>665</v>
      </c>
      <c r="AH191" s="28" t="n">
        <f aca="false">IFERROR(AG191/T191,"")</f>
        <v>0.973645680819912</v>
      </c>
      <c r="AI191" s="29" t="n">
        <f aca="false">IFERROR(R191/AG191*60,"")</f>
        <v>212.390977443609</v>
      </c>
      <c r="AJ191" s="30" t="n">
        <f aca="false">IFERROR(AI191/Q191,"")</f>
        <v>0.737468671679198</v>
      </c>
      <c r="AK191" s="31" t="n">
        <f aca="false">IFERROR(R191/(T191/60*Q191),"")</f>
        <v>0.718033186920449</v>
      </c>
      <c r="AL191" s="26" t="n">
        <v>3</v>
      </c>
      <c r="AM191" s="26" t="n">
        <v>4</v>
      </c>
      <c r="AN191" s="26" t="n">
        <v>5</v>
      </c>
      <c r="AO191" s="26"/>
      <c r="AP191" s="26" t="n">
        <v>3</v>
      </c>
      <c r="AQ191" s="26" t="n">
        <v>3</v>
      </c>
      <c r="AR191" s="26" t="n">
        <v>4</v>
      </c>
      <c r="AS191" s="26" t="n">
        <v>1</v>
      </c>
      <c r="AT191" s="26" t="n">
        <v>3</v>
      </c>
      <c r="AU191" s="26" t="n">
        <v>2</v>
      </c>
      <c r="AV191" s="26" t="n">
        <f aca="false">SUM(AL191:AU191)</f>
        <v>28</v>
      </c>
      <c r="AW191" s="32" t="n">
        <f aca="false">IFERROR(AV191/R191*1000000,"")</f>
        <v>11894.6474086661</v>
      </c>
      <c r="AX191" s="33" t="n">
        <f aca="false">IFERROR((R191-AV191)/R191,"")</f>
        <v>0.988105352591334</v>
      </c>
      <c r="AY191" s="34" t="n">
        <f aca="false">IFERROR(AH191*AJ191*AX191,"")</f>
        <v>0.70949243533431</v>
      </c>
      <c r="AZ191" s="35" t="s">
        <v>86</v>
      </c>
    </row>
    <row r="192" customFormat="false" ht="12.75" hidden="false" customHeight="true" outlineLevel="0" collapsed="false">
      <c r="A192" s="24" t="n">
        <v>188</v>
      </c>
      <c r="B192" s="25" t="n">
        <v>46085</v>
      </c>
      <c r="C192" s="25" t="n">
        <v>12</v>
      </c>
      <c r="D192" s="26" t="s">
        <v>79</v>
      </c>
      <c r="E192" s="26" t="s">
        <v>80</v>
      </c>
      <c r="F192" s="26" t="s">
        <v>81</v>
      </c>
      <c r="G192" s="26" t="s">
        <v>9</v>
      </c>
      <c r="H192" s="27" t="n">
        <v>0.354166666666667</v>
      </c>
      <c r="I192" s="27" t="n">
        <v>0.854166666666667</v>
      </c>
      <c r="J192" s="26" t="n">
        <f aca="false">IFERROR((I192-H192)*24*60,"")</f>
        <v>720</v>
      </c>
      <c r="K192" s="26" t="s">
        <v>74</v>
      </c>
      <c r="L192" s="26" t="s">
        <v>98</v>
      </c>
      <c r="M192" s="26" t="s">
        <v>84</v>
      </c>
      <c r="N192" s="26" t="s">
        <v>85</v>
      </c>
      <c r="O192" s="26" t="n">
        <v>2</v>
      </c>
      <c r="P192" s="26" t="n">
        <v>25</v>
      </c>
      <c r="Q192" s="26" t="n">
        <f aca="false">IFERROR(3600/(P192/O192),"")</f>
        <v>288</v>
      </c>
      <c r="R192" s="26" t="n">
        <v>2916</v>
      </c>
      <c r="S192" s="26" t="n">
        <v>33</v>
      </c>
      <c r="T192" s="26" t="n">
        <f aca="false">IFERROR(J192-S192,"")</f>
        <v>687</v>
      </c>
      <c r="U192" s="26"/>
      <c r="V192" s="26" t="n">
        <v>15</v>
      </c>
      <c r="W192" s="26" t="n">
        <v>13</v>
      </c>
      <c r="X192" s="26"/>
      <c r="Y192" s="26"/>
      <c r="Z192" s="26"/>
      <c r="AA192" s="26"/>
      <c r="AB192" s="26"/>
      <c r="AC192" s="26"/>
      <c r="AD192" s="26"/>
      <c r="AE192" s="26"/>
      <c r="AF192" s="26" t="n">
        <f aca="false">SUM(U192:AE192)</f>
        <v>28</v>
      </c>
      <c r="AG192" s="26" t="n">
        <f aca="false">T192-AF192</f>
        <v>659</v>
      </c>
      <c r="AH192" s="28" t="n">
        <f aca="false">IFERROR(AG192/T192,"")</f>
        <v>0.95924308588064</v>
      </c>
      <c r="AI192" s="29" t="n">
        <f aca="false">IFERROR(R192/AG192*60,"")</f>
        <v>265.493171471927</v>
      </c>
      <c r="AJ192" s="30" t="n">
        <f aca="false">IFERROR(AI192/Q192,"")</f>
        <v>0.921851289833081</v>
      </c>
      <c r="AK192" s="31" t="n">
        <f aca="false">IFERROR(R192/(T192/60*Q192),"")</f>
        <v>0.884279475982533</v>
      </c>
      <c r="AL192" s="26" t="n">
        <v>4</v>
      </c>
      <c r="AM192" s="26" t="n">
        <v>4</v>
      </c>
      <c r="AN192" s="26"/>
      <c r="AO192" s="26" t="n">
        <v>5</v>
      </c>
      <c r="AP192" s="26" t="n">
        <v>3</v>
      </c>
      <c r="AQ192" s="26" t="n">
        <v>2</v>
      </c>
      <c r="AR192" s="26" t="n">
        <v>4</v>
      </c>
      <c r="AS192" s="26" t="n">
        <v>3</v>
      </c>
      <c r="AT192" s="26" t="n">
        <v>5</v>
      </c>
      <c r="AU192" s="26" t="n">
        <v>3</v>
      </c>
      <c r="AV192" s="26" t="n">
        <f aca="false">SUM(AL192:AU192)</f>
        <v>33</v>
      </c>
      <c r="AW192" s="32" t="n">
        <f aca="false">IFERROR(AV192/R192*1000000,"")</f>
        <v>11316.8724279835</v>
      </c>
      <c r="AX192" s="33" t="n">
        <f aca="false">IFERROR((R192-AV192)/R192,"")</f>
        <v>0.988683127572017</v>
      </c>
      <c r="AY192" s="34" t="n">
        <f aca="false">IFERROR(AH192*AJ192*AX192,"")</f>
        <v>0.874272197962154</v>
      </c>
      <c r="AZ192" s="35"/>
    </row>
    <row r="193" customFormat="false" ht="12.75" hidden="false" customHeight="true" outlineLevel="0" collapsed="false">
      <c r="A193" s="24" t="n">
        <v>189</v>
      </c>
      <c r="B193" s="25" t="n">
        <v>46085</v>
      </c>
      <c r="C193" s="25" t="n">
        <v>12</v>
      </c>
      <c r="D193" s="26" t="s">
        <v>87</v>
      </c>
      <c r="E193" s="26" t="s">
        <v>88</v>
      </c>
      <c r="F193" s="26" t="s">
        <v>73</v>
      </c>
      <c r="G193" s="26" t="s">
        <v>10</v>
      </c>
      <c r="H193" s="27" t="n">
        <v>0.354166666666667</v>
      </c>
      <c r="I193" s="27" t="n">
        <v>0.854166666666667</v>
      </c>
      <c r="J193" s="26" t="n">
        <f aca="false">IFERROR((I193-H193)*24*60,"")</f>
        <v>720</v>
      </c>
      <c r="K193" s="26" t="s">
        <v>105</v>
      </c>
      <c r="L193" s="26" t="s">
        <v>108</v>
      </c>
      <c r="M193" s="26" t="s">
        <v>91</v>
      </c>
      <c r="N193" s="26" t="s">
        <v>92</v>
      </c>
      <c r="O193" s="26" t="n">
        <v>2</v>
      </c>
      <c r="P193" s="26" t="n">
        <v>74</v>
      </c>
      <c r="Q193" s="26" t="n">
        <f aca="false">IFERROR(3600/(P193/O193),"")</f>
        <v>97.2972972972973</v>
      </c>
      <c r="R193" s="26" t="n">
        <v>1082</v>
      </c>
      <c r="S193" s="26" t="n">
        <v>58</v>
      </c>
      <c r="T193" s="26" t="n">
        <f aca="false">IFERROR(J193-S193,"")</f>
        <v>662</v>
      </c>
      <c r="U193" s="26"/>
      <c r="V193" s="26"/>
      <c r="W193" s="26"/>
      <c r="X193" s="26" t="n">
        <v>5</v>
      </c>
      <c r="Y193" s="26"/>
      <c r="Z193" s="26"/>
      <c r="AA193" s="26" t="n">
        <v>7</v>
      </c>
      <c r="AB193" s="26"/>
      <c r="AC193" s="26"/>
      <c r="AD193" s="26"/>
      <c r="AE193" s="26"/>
      <c r="AF193" s="26" t="n">
        <f aca="false">SUM(U193:AE193)</f>
        <v>12</v>
      </c>
      <c r="AG193" s="26" t="n">
        <f aca="false">T193-AF193</f>
        <v>650</v>
      </c>
      <c r="AH193" s="28" t="n">
        <f aca="false">IFERROR(AG193/T193,"")</f>
        <v>0.981873111782477</v>
      </c>
      <c r="AI193" s="29" t="n">
        <f aca="false">IFERROR(R193/AG193*60,"")</f>
        <v>99.8769230769231</v>
      </c>
      <c r="AJ193" s="30" t="n">
        <f aca="false">IFERROR(AI193/Q193,"")</f>
        <v>1.02651282051282</v>
      </c>
      <c r="AK193" s="31" t="n">
        <f aca="false">IFERROR(R193/(T193/60*Q193),"")</f>
        <v>1.00790533736153</v>
      </c>
      <c r="AL193" s="26" t="n">
        <v>5</v>
      </c>
      <c r="AM193" s="26" t="n">
        <v>1</v>
      </c>
      <c r="AN193" s="26" t="n">
        <v>2</v>
      </c>
      <c r="AO193" s="26" t="n">
        <v>1</v>
      </c>
      <c r="AP193" s="26" t="n">
        <v>5</v>
      </c>
      <c r="AQ193" s="26" t="n">
        <v>1</v>
      </c>
      <c r="AR193" s="26" t="n">
        <v>1</v>
      </c>
      <c r="AS193" s="26" t="n">
        <v>3</v>
      </c>
      <c r="AT193" s="26" t="n">
        <v>3</v>
      </c>
      <c r="AU193" s="26" t="n">
        <v>4</v>
      </c>
      <c r="AV193" s="26" t="n">
        <f aca="false">SUM(AL193:AU193)</f>
        <v>26</v>
      </c>
      <c r="AW193" s="32" t="n">
        <f aca="false">IFERROR(AV193/R193*1000000,"")</f>
        <v>24029.5748613678</v>
      </c>
      <c r="AX193" s="33" t="n">
        <f aca="false">IFERROR((R193-AV193)/R193,"")</f>
        <v>0.975970425138632</v>
      </c>
      <c r="AY193" s="34" t="n">
        <f aca="false">IFERROR(AH193*AJ193*AX193,"")</f>
        <v>0.98368580060423</v>
      </c>
      <c r="AZ193" s="35" t="s">
        <v>78</v>
      </c>
    </row>
    <row r="194" customFormat="false" ht="12.75" hidden="false" customHeight="true" outlineLevel="0" collapsed="false">
      <c r="A194" s="24" t="n">
        <v>190</v>
      </c>
      <c r="B194" s="25" t="n">
        <v>46086</v>
      </c>
      <c r="C194" s="25" t="n">
        <v>12</v>
      </c>
      <c r="D194" s="26" t="s">
        <v>71</v>
      </c>
      <c r="E194" s="26" t="s">
        <v>94</v>
      </c>
      <c r="F194" s="26" t="s">
        <v>81</v>
      </c>
      <c r="G194" s="26" t="s">
        <v>11</v>
      </c>
      <c r="H194" s="27" t="n">
        <v>0.354166666666667</v>
      </c>
      <c r="I194" s="27" t="n">
        <v>0.854166666666667</v>
      </c>
      <c r="J194" s="26" t="n">
        <f aca="false">IFERROR((I194-H194)*24*60,"")</f>
        <v>720</v>
      </c>
      <c r="K194" s="26" t="s">
        <v>74</v>
      </c>
      <c r="L194" s="26" t="s">
        <v>75</v>
      </c>
      <c r="M194" s="26" t="s">
        <v>95</v>
      </c>
      <c r="N194" s="26" t="s">
        <v>96</v>
      </c>
      <c r="O194" s="26" t="n">
        <v>8</v>
      </c>
      <c r="P194" s="26" t="n">
        <v>37</v>
      </c>
      <c r="Q194" s="26" t="n">
        <f aca="false">IFERROR(3600/(P194/O194),"")</f>
        <v>778.378378378378</v>
      </c>
      <c r="R194" s="26" t="n">
        <v>7614</v>
      </c>
      <c r="S194" s="26" t="n">
        <v>38</v>
      </c>
      <c r="T194" s="26" t="n">
        <f aca="false">IFERROR(J194-S194,"")</f>
        <v>682</v>
      </c>
      <c r="U194" s="26"/>
      <c r="V194" s="26"/>
      <c r="W194" s="26"/>
      <c r="X194" s="26"/>
      <c r="Y194" s="26"/>
      <c r="Z194" s="26"/>
      <c r="AA194" s="26"/>
      <c r="AB194" s="26" t="n">
        <v>7</v>
      </c>
      <c r="AC194" s="26"/>
      <c r="AD194" s="26"/>
      <c r="AE194" s="26" t="n">
        <v>13</v>
      </c>
      <c r="AF194" s="26" t="n">
        <f aca="false">SUM(U194:AE194)</f>
        <v>20</v>
      </c>
      <c r="AG194" s="26" t="n">
        <f aca="false">T194-AF194</f>
        <v>662</v>
      </c>
      <c r="AH194" s="28" t="n">
        <f aca="false">IFERROR(AG194/T194,"")</f>
        <v>0.970674486803519</v>
      </c>
      <c r="AI194" s="29" t="n">
        <f aca="false">IFERROR(R194/AG194*60,"")</f>
        <v>690.090634441088</v>
      </c>
      <c r="AJ194" s="30" t="n">
        <f aca="false">IFERROR(AI194/Q194,"")</f>
        <v>0.886574773413897</v>
      </c>
      <c r="AK194" s="31" t="n">
        <f aca="false">IFERROR(R194/(T194/60*Q194),"")</f>
        <v>0.860575513196481</v>
      </c>
      <c r="AL194" s="26" t="n">
        <v>10</v>
      </c>
      <c r="AM194" s="26" t="n">
        <v>6</v>
      </c>
      <c r="AN194" s="26" t="n">
        <v>3</v>
      </c>
      <c r="AO194" s="26" t="n">
        <v>8</v>
      </c>
      <c r="AP194" s="26" t="n">
        <v>4</v>
      </c>
      <c r="AQ194" s="26" t="n">
        <v>8</v>
      </c>
      <c r="AR194" s="26" t="n">
        <v>5</v>
      </c>
      <c r="AS194" s="26" t="n">
        <v>9</v>
      </c>
      <c r="AT194" s="26" t="n">
        <v>4</v>
      </c>
      <c r="AU194" s="26" t="n">
        <v>6</v>
      </c>
      <c r="AV194" s="26" t="n">
        <f aca="false">SUM(AL194:AU194)</f>
        <v>63</v>
      </c>
      <c r="AW194" s="32" t="n">
        <f aca="false">IFERROR(AV194/R194*1000000,"")</f>
        <v>8274.231678487</v>
      </c>
      <c r="AX194" s="33" t="n">
        <f aca="false">IFERROR((R194-AV194)/R194,"")</f>
        <v>0.991725768321513</v>
      </c>
      <c r="AY194" s="34" t="n">
        <f aca="false">IFERROR(AH194*AJ194*AX194,"")</f>
        <v>0.853454912023461</v>
      </c>
      <c r="AZ194" s="35" t="s">
        <v>86</v>
      </c>
    </row>
    <row r="195" customFormat="false" ht="12.75" hidden="false" customHeight="true" outlineLevel="0" collapsed="false">
      <c r="A195" s="24" t="n">
        <v>191</v>
      </c>
      <c r="B195" s="25" t="n">
        <v>46086</v>
      </c>
      <c r="C195" s="25" t="n">
        <v>12</v>
      </c>
      <c r="D195" s="26" t="s">
        <v>79</v>
      </c>
      <c r="E195" s="26" t="s">
        <v>97</v>
      </c>
      <c r="F195" s="26" t="s">
        <v>73</v>
      </c>
      <c r="G195" s="26" t="s">
        <v>12</v>
      </c>
      <c r="H195" s="27" t="n">
        <v>0.354166666666667</v>
      </c>
      <c r="I195" s="27" t="n">
        <v>0.854166666666667</v>
      </c>
      <c r="J195" s="26" t="n">
        <f aca="false">IFERROR((I195-H195)*24*60,"")</f>
        <v>720</v>
      </c>
      <c r="K195" s="26" t="s">
        <v>82</v>
      </c>
      <c r="L195" s="26" t="s">
        <v>102</v>
      </c>
      <c r="M195" s="26" t="s">
        <v>99</v>
      </c>
      <c r="N195" s="26" t="s">
        <v>100</v>
      </c>
      <c r="O195" s="26" t="n">
        <v>1</v>
      </c>
      <c r="P195" s="26" t="n">
        <v>32</v>
      </c>
      <c r="Q195" s="26" t="n">
        <f aca="false">IFERROR(3600/(P195/O195),"")</f>
        <v>112.5</v>
      </c>
      <c r="R195" s="26" t="n">
        <v>997</v>
      </c>
      <c r="S195" s="26" t="n">
        <v>34</v>
      </c>
      <c r="T195" s="26" t="n">
        <f aca="false">IFERROR(J195-S195,"")</f>
        <v>686</v>
      </c>
      <c r="U195" s="26"/>
      <c r="V195" s="26"/>
      <c r="W195" s="26"/>
      <c r="X195" s="26" t="n">
        <v>7</v>
      </c>
      <c r="Y195" s="26"/>
      <c r="Z195" s="26"/>
      <c r="AA195" s="26"/>
      <c r="AB195" s="26"/>
      <c r="AC195" s="26" t="n">
        <v>6</v>
      </c>
      <c r="AD195" s="26"/>
      <c r="AE195" s="26" t="n">
        <v>13</v>
      </c>
      <c r="AF195" s="26" t="n">
        <f aca="false">SUM(U195:AE195)</f>
        <v>26</v>
      </c>
      <c r="AG195" s="26" t="n">
        <f aca="false">T195-AF195</f>
        <v>660</v>
      </c>
      <c r="AH195" s="28" t="n">
        <f aca="false">IFERROR(AG195/T195,"")</f>
        <v>0.962099125364432</v>
      </c>
      <c r="AI195" s="29" t="n">
        <f aca="false">IFERROR(R195/AG195*60,"")</f>
        <v>90.6363636363636</v>
      </c>
      <c r="AJ195" s="30" t="n">
        <f aca="false">IFERROR(AI195/Q195,"")</f>
        <v>0.805656565656566</v>
      </c>
      <c r="AK195" s="31" t="n">
        <f aca="false">IFERROR(R195/(T195/60*Q195),"")</f>
        <v>0.775121477162294</v>
      </c>
      <c r="AL195" s="26"/>
      <c r="AM195" s="26"/>
      <c r="AN195" s="26"/>
      <c r="AO195" s="26"/>
      <c r="AP195" s="26"/>
      <c r="AQ195" s="26"/>
      <c r="AR195" s="26"/>
      <c r="AS195" s="26"/>
      <c r="AT195" s="26" t="n">
        <v>1</v>
      </c>
      <c r="AU195" s="26" t="n">
        <v>1</v>
      </c>
      <c r="AV195" s="26" t="n">
        <f aca="false">SUM(AL195:AU195)</f>
        <v>2</v>
      </c>
      <c r="AW195" s="32" t="n">
        <f aca="false">IFERROR(AV195/R195*1000000,"")</f>
        <v>2006.01805416249</v>
      </c>
      <c r="AX195" s="33" t="n">
        <f aca="false">IFERROR((R195-AV195)/R195,"")</f>
        <v>0.997993981945838</v>
      </c>
      <c r="AY195" s="34" t="n">
        <f aca="false">IFERROR(AH195*AJ195*AX195,"")</f>
        <v>0.773566569484937</v>
      </c>
      <c r="AZ195" s="35" t="s">
        <v>78</v>
      </c>
    </row>
    <row r="196" customFormat="false" ht="12.75" hidden="false" customHeight="true" outlineLevel="0" collapsed="false">
      <c r="A196" s="24" t="n">
        <v>192</v>
      </c>
      <c r="B196" s="25" t="n">
        <v>46086</v>
      </c>
      <c r="C196" s="25" t="n">
        <v>12</v>
      </c>
      <c r="D196" s="26" t="s">
        <v>87</v>
      </c>
      <c r="E196" s="26" t="s">
        <v>101</v>
      </c>
      <c r="F196" s="26" t="s">
        <v>81</v>
      </c>
      <c r="G196" s="26" t="s">
        <v>13</v>
      </c>
      <c r="H196" s="27" t="n">
        <v>0.354166666666667</v>
      </c>
      <c r="I196" s="27" t="n">
        <v>0.854166666666667</v>
      </c>
      <c r="J196" s="26" t="n">
        <f aca="false">IFERROR((I196-H196)*24*60,"")</f>
        <v>720</v>
      </c>
      <c r="K196" s="26" t="s">
        <v>82</v>
      </c>
      <c r="L196" s="26" t="s">
        <v>90</v>
      </c>
      <c r="M196" s="26" t="s">
        <v>103</v>
      </c>
      <c r="N196" s="26" t="s">
        <v>104</v>
      </c>
      <c r="O196" s="26" t="n">
        <v>4</v>
      </c>
      <c r="P196" s="26" t="n">
        <v>51</v>
      </c>
      <c r="Q196" s="26" t="n">
        <f aca="false">IFERROR(3600/(P196/O196),"")</f>
        <v>282.352941176471</v>
      </c>
      <c r="R196" s="26" t="n">
        <v>3040</v>
      </c>
      <c r="S196" s="26" t="n">
        <v>57</v>
      </c>
      <c r="T196" s="26" t="n">
        <f aca="false">IFERROR(J196-S196,"")</f>
        <v>663</v>
      </c>
      <c r="U196" s="26"/>
      <c r="V196" s="26" t="n">
        <v>5</v>
      </c>
      <c r="W196" s="26"/>
      <c r="X196" s="26"/>
      <c r="Y196" s="26"/>
      <c r="Z196" s="26"/>
      <c r="AA196" s="26"/>
      <c r="AB196" s="26"/>
      <c r="AC196" s="26" t="n">
        <v>5</v>
      </c>
      <c r="AD196" s="26"/>
      <c r="AE196" s="26"/>
      <c r="AF196" s="26" t="n">
        <f aca="false">SUM(U196:AE196)</f>
        <v>10</v>
      </c>
      <c r="AG196" s="26" t="n">
        <f aca="false">T196-AF196</f>
        <v>653</v>
      </c>
      <c r="AH196" s="28" t="n">
        <f aca="false">IFERROR(AG196/T196,"")</f>
        <v>0.984917043740573</v>
      </c>
      <c r="AI196" s="29" t="n">
        <f aca="false">IFERROR(R196/AG196*60,"")</f>
        <v>279.326186830015</v>
      </c>
      <c r="AJ196" s="30" t="n">
        <f aca="false">IFERROR(AI196/Q196,"")</f>
        <v>0.989280245022971</v>
      </c>
      <c r="AK196" s="31" t="n">
        <f aca="false">IFERROR(R196/(T196/60*Q196),"")</f>
        <v>0.974358974358974</v>
      </c>
      <c r="AL196" s="26" t="n">
        <v>6</v>
      </c>
      <c r="AM196" s="26" t="n">
        <v>5</v>
      </c>
      <c r="AN196" s="26" t="n">
        <v>1</v>
      </c>
      <c r="AO196" s="26" t="n">
        <v>7</v>
      </c>
      <c r="AP196" s="26" t="n">
        <v>3</v>
      </c>
      <c r="AQ196" s="26" t="n">
        <v>5</v>
      </c>
      <c r="AR196" s="26" t="n">
        <v>4</v>
      </c>
      <c r="AS196" s="26" t="n">
        <v>3</v>
      </c>
      <c r="AT196" s="26" t="n">
        <v>2</v>
      </c>
      <c r="AU196" s="26" t="n">
        <v>2</v>
      </c>
      <c r="AV196" s="26" t="n">
        <f aca="false">SUM(AL196:AU196)</f>
        <v>38</v>
      </c>
      <c r="AW196" s="32" t="n">
        <f aca="false">IFERROR(AV196/R196*1000000,"")</f>
        <v>12500</v>
      </c>
      <c r="AX196" s="33" t="n">
        <f aca="false">IFERROR((R196-AV196)/R196,"")</f>
        <v>0.9875</v>
      </c>
      <c r="AY196" s="34" t="n">
        <f aca="false">IFERROR(AH196*AJ196*AX196,"")</f>
        <v>0.962179487179487</v>
      </c>
      <c r="AZ196" s="35" t="s">
        <v>93</v>
      </c>
    </row>
    <row r="197" customFormat="false" ht="12.75" hidden="false" customHeight="true" outlineLevel="0" collapsed="false">
      <c r="A197" s="24" t="n">
        <v>193</v>
      </c>
      <c r="B197" s="25" t="n">
        <v>46087</v>
      </c>
      <c r="C197" s="25" t="n">
        <v>12</v>
      </c>
      <c r="D197" s="26" t="s">
        <v>71</v>
      </c>
      <c r="E197" s="26" t="s">
        <v>72</v>
      </c>
      <c r="F197" s="26" t="s">
        <v>73</v>
      </c>
      <c r="G197" s="26" t="s">
        <v>8</v>
      </c>
      <c r="H197" s="27" t="n">
        <v>0.354166666666667</v>
      </c>
      <c r="I197" s="27" t="n">
        <v>0.854166666666667</v>
      </c>
      <c r="J197" s="26" t="n">
        <f aca="false">IFERROR((I197-H197)*24*60,"")</f>
        <v>720</v>
      </c>
      <c r="K197" s="26" t="s">
        <v>89</v>
      </c>
      <c r="L197" s="26" t="s">
        <v>106</v>
      </c>
      <c r="M197" s="26" t="s">
        <v>76</v>
      </c>
      <c r="N197" s="26" t="s">
        <v>77</v>
      </c>
      <c r="O197" s="26" t="n">
        <v>1</v>
      </c>
      <c r="P197" s="26" t="n">
        <v>73</v>
      </c>
      <c r="Q197" s="26" t="n">
        <f aca="false">IFERROR(3600/(P197/O197),"")</f>
        <v>49.3150684931507</v>
      </c>
      <c r="R197" s="26" t="n">
        <v>465</v>
      </c>
      <c r="S197" s="26" t="n">
        <v>63</v>
      </c>
      <c r="T197" s="26" t="n">
        <f aca="false">IFERROR(J197-S197,"")</f>
        <v>657</v>
      </c>
      <c r="U197" s="26"/>
      <c r="V197" s="26"/>
      <c r="W197" s="26"/>
      <c r="X197" s="26"/>
      <c r="Y197" s="26"/>
      <c r="Z197" s="26"/>
      <c r="AA197" s="26"/>
      <c r="AB197" s="26"/>
      <c r="AC197" s="26"/>
      <c r="AD197" s="26" t="n">
        <v>10</v>
      </c>
      <c r="AE197" s="26" t="n">
        <v>6</v>
      </c>
      <c r="AF197" s="26" t="n">
        <f aca="false">SUM(U197:AE197)</f>
        <v>16</v>
      </c>
      <c r="AG197" s="26" t="n">
        <f aca="false">T197-AF197</f>
        <v>641</v>
      </c>
      <c r="AH197" s="28" t="n">
        <f aca="false">IFERROR(AG197/T197,"")</f>
        <v>0.975646879756469</v>
      </c>
      <c r="AI197" s="29" t="n">
        <f aca="false">IFERROR(R197/AG197*60,"")</f>
        <v>43.5257410296412</v>
      </c>
      <c r="AJ197" s="30" t="n">
        <f aca="false">IFERROR(AI197/Q197,"")</f>
        <v>0.882605304212168</v>
      </c>
      <c r="AK197" s="31" t="n">
        <f aca="false">IFERROR(R197/(T197/60*Q197),"")</f>
        <v>0.861111111111111</v>
      </c>
      <c r="AL197" s="26" t="n">
        <v>2</v>
      </c>
      <c r="AM197" s="26"/>
      <c r="AN197" s="26"/>
      <c r="AO197" s="26"/>
      <c r="AP197" s="26"/>
      <c r="AQ197" s="26"/>
      <c r="AR197" s="26"/>
      <c r="AS197" s="26"/>
      <c r="AT197" s="26"/>
      <c r="AU197" s="26"/>
      <c r="AV197" s="26" t="n">
        <f aca="false">SUM(AL197:AU197)</f>
        <v>2</v>
      </c>
      <c r="AW197" s="32" t="n">
        <f aca="false">IFERROR(AV197/R197*1000000,"")</f>
        <v>4301.0752688172</v>
      </c>
      <c r="AX197" s="33" t="n">
        <f aca="false">IFERROR((R197-AV197)/R197,"")</f>
        <v>0.995698924731183</v>
      </c>
      <c r="AY197" s="34" t="n">
        <f aca="false">IFERROR(AH197*AJ197*AX197,"")</f>
        <v>0.857407407407407</v>
      </c>
      <c r="AZ197" s="35" t="s">
        <v>78</v>
      </c>
    </row>
    <row r="198" customFormat="false" ht="12.75" hidden="false" customHeight="true" outlineLevel="0" collapsed="false">
      <c r="A198" s="24" t="n">
        <v>194</v>
      </c>
      <c r="B198" s="25" t="n">
        <v>46087</v>
      </c>
      <c r="C198" s="25" t="n">
        <v>12</v>
      </c>
      <c r="D198" s="26" t="s">
        <v>79</v>
      </c>
      <c r="E198" s="26" t="s">
        <v>80</v>
      </c>
      <c r="F198" s="26" t="s">
        <v>81</v>
      </c>
      <c r="G198" s="26" t="s">
        <v>9</v>
      </c>
      <c r="H198" s="27" t="n">
        <v>0.354166666666667</v>
      </c>
      <c r="I198" s="27" t="n">
        <v>0.854166666666667</v>
      </c>
      <c r="J198" s="26" t="n">
        <f aca="false">IFERROR((I198-H198)*24*60,"")</f>
        <v>720</v>
      </c>
      <c r="K198" s="26" t="s">
        <v>89</v>
      </c>
      <c r="L198" s="26" t="s">
        <v>107</v>
      </c>
      <c r="M198" s="26" t="s">
        <v>84</v>
      </c>
      <c r="N198" s="26" t="s">
        <v>85</v>
      </c>
      <c r="O198" s="26" t="n">
        <v>8</v>
      </c>
      <c r="P198" s="26" t="n">
        <v>27</v>
      </c>
      <c r="Q198" s="26" t="n">
        <f aca="false">IFERROR(3600/(P198/O198),"")</f>
        <v>1066.66666666667</v>
      </c>
      <c r="R198" s="26" t="n">
        <v>9688</v>
      </c>
      <c r="S198" s="26" t="n">
        <v>38</v>
      </c>
      <c r="T198" s="26" t="n">
        <f aca="false">IFERROR(J198-S198,"")</f>
        <v>682</v>
      </c>
      <c r="U198" s="26" t="n">
        <v>8</v>
      </c>
      <c r="V198" s="26" t="n">
        <v>6</v>
      </c>
      <c r="W198" s="26"/>
      <c r="X198" s="26"/>
      <c r="Y198" s="26"/>
      <c r="Z198" s="26"/>
      <c r="AA198" s="26"/>
      <c r="AB198" s="26"/>
      <c r="AC198" s="26"/>
      <c r="AD198" s="26"/>
      <c r="AE198" s="26" t="n">
        <v>3</v>
      </c>
      <c r="AF198" s="26" t="n">
        <f aca="false">SUM(U198:AE198)</f>
        <v>17</v>
      </c>
      <c r="AG198" s="26" t="n">
        <f aca="false">T198-AF198</f>
        <v>665</v>
      </c>
      <c r="AH198" s="28" t="n">
        <f aca="false">IFERROR(AG198/T198,"")</f>
        <v>0.975073313782991</v>
      </c>
      <c r="AI198" s="29" t="n">
        <f aca="false">IFERROR(R198/AG198*60,"")</f>
        <v>874.105263157895</v>
      </c>
      <c r="AJ198" s="30" t="n">
        <f aca="false">IFERROR(AI198/Q198,"")</f>
        <v>0.819473684210526</v>
      </c>
      <c r="AK198" s="31" t="n">
        <f aca="false">IFERROR(R198/(T198/60*Q198),"")</f>
        <v>0.799046920821114</v>
      </c>
      <c r="AL198" s="26" t="n">
        <v>17</v>
      </c>
      <c r="AM198" s="26" t="n">
        <v>10</v>
      </c>
      <c r="AN198" s="26" t="n">
        <v>15</v>
      </c>
      <c r="AO198" s="26" t="n">
        <v>21</v>
      </c>
      <c r="AP198" s="26" t="n">
        <v>11</v>
      </c>
      <c r="AQ198" s="26" t="n">
        <v>16</v>
      </c>
      <c r="AR198" s="26" t="n">
        <v>11</v>
      </c>
      <c r="AS198" s="26" t="n">
        <v>13</v>
      </c>
      <c r="AT198" s="26" t="n">
        <v>9</v>
      </c>
      <c r="AU198" s="26" t="n">
        <v>20</v>
      </c>
      <c r="AV198" s="26" t="n">
        <f aca="false">SUM(AL198:AU198)</f>
        <v>143</v>
      </c>
      <c r="AW198" s="32" t="n">
        <f aca="false">IFERROR(AV198/R198*1000000,"")</f>
        <v>14760.5284888522</v>
      </c>
      <c r="AX198" s="33" t="n">
        <f aca="false">IFERROR((R198-AV198)/R198,"")</f>
        <v>0.985239471511148</v>
      </c>
      <c r="AY198" s="34" t="n">
        <f aca="false">IFERROR(AH198*AJ198*AX198,"")</f>
        <v>0.787252565982405</v>
      </c>
      <c r="AZ198" s="35" t="s">
        <v>93</v>
      </c>
    </row>
    <row r="199" customFormat="false" ht="12.75" hidden="false" customHeight="true" outlineLevel="0" collapsed="false">
      <c r="A199" s="24" t="n">
        <v>195</v>
      </c>
      <c r="B199" s="25" t="n">
        <v>46087</v>
      </c>
      <c r="C199" s="25" t="n">
        <v>12</v>
      </c>
      <c r="D199" s="26" t="s">
        <v>87</v>
      </c>
      <c r="E199" s="26" t="s">
        <v>88</v>
      </c>
      <c r="F199" s="26" t="s">
        <v>73</v>
      </c>
      <c r="G199" s="26" t="s">
        <v>10</v>
      </c>
      <c r="H199" s="27" t="n">
        <v>0.354166666666667</v>
      </c>
      <c r="I199" s="27" t="n">
        <v>0.854166666666667</v>
      </c>
      <c r="J199" s="26" t="n">
        <f aca="false">IFERROR((I199-H199)*24*60,"")</f>
        <v>720</v>
      </c>
      <c r="K199" s="26" t="s">
        <v>89</v>
      </c>
      <c r="L199" s="26" t="s">
        <v>102</v>
      </c>
      <c r="M199" s="26" t="s">
        <v>91</v>
      </c>
      <c r="N199" s="26" t="s">
        <v>92</v>
      </c>
      <c r="O199" s="26" t="n">
        <v>8</v>
      </c>
      <c r="P199" s="26" t="n">
        <v>39</v>
      </c>
      <c r="Q199" s="26" t="n">
        <f aca="false">IFERROR(3600/(P199/O199),"")</f>
        <v>738.461538461539</v>
      </c>
      <c r="R199" s="26" t="n">
        <v>6507</v>
      </c>
      <c r="S199" s="26" t="n">
        <v>43</v>
      </c>
      <c r="T199" s="26" t="n">
        <f aca="false">IFERROR(J199-S199,"")</f>
        <v>677</v>
      </c>
      <c r="U199" s="26"/>
      <c r="V199" s="26"/>
      <c r="W199" s="26" t="n">
        <v>24</v>
      </c>
      <c r="X199" s="26"/>
      <c r="Y199" s="26"/>
      <c r="Z199" s="26"/>
      <c r="AA199" s="26"/>
      <c r="AB199" s="26"/>
      <c r="AC199" s="26"/>
      <c r="AD199" s="26" t="n">
        <v>11</v>
      </c>
      <c r="AE199" s="26"/>
      <c r="AF199" s="26" t="n">
        <f aca="false">SUM(U199:AE199)</f>
        <v>35</v>
      </c>
      <c r="AG199" s="26" t="n">
        <f aca="false">T199-AF199</f>
        <v>642</v>
      </c>
      <c r="AH199" s="28" t="n">
        <f aca="false">IFERROR(AG199/T199,"")</f>
        <v>0.948301329394387</v>
      </c>
      <c r="AI199" s="29" t="n">
        <f aca="false">IFERROR(R199/AG199*60,"")</f>
        <v>608.130841121495</v>
      </c>
      <c r="AJ199" s="30" t="n">
        <f aca="false">IFERROR(AI199/Q199,"")</f>
        <v>0.823510514018692</v>
      </c>
      <c r="AK199" s="31" t="n">
        <f aca="false">IFERROR(R199/(T199/60*Q199),"")</f>
        <v>0.78093611521418</v>
      </c>
      <c r="AL199" s="26" t="n">
        <v>8</v>
      </c>
      <c r="AM199" s="26" t="n">
        <v>12</v>
      </c>
      <c r="AN199" s="26" t="n">
        <v>11</v>
      </c>
      <c r="AO199" s="26" t="n">
        <v>21</v>
      </c>
      <c r="AP199" s="26" t="n">
        <v>16</v>
      </c>
      <c r="AQ199" s="26" t="n">
        <v>16</v>
      </c>
      <c r="AR199" s="26" t="n">
        <v>14</v>
      </c>
      <c r="AS199" s="26" t="n">
        <v>16</v>
      </c>
      <c r="AT199" s="26" t="n">
        <v>17</v>
      </c>
      <c r="AU199" s="26" t="n">
        <v>13</v>
      </c>
      <c r="AV199" s="26" t="n">
        <f aca="false">SUM(AL199:AU199)</f>
        <v>144</v>
      </c>
      <c r="AW199" s="32" t="n">
        <f aca="false">IFERROR(AV199/R199*1000000,"")</f>
        <v>22130.0138312586</v>
      </c>
      <c r="AX199" s="33" t="n">
        <f aca="false">IFERROR((R199-AV199)/R199,"")</f>
        <v>0.977869986168741</v>
      </c>
      <c r="AY199" s="34" t="n">
        <f aca="false">IFERROR(AH199*AJ199*AX199,"")</f>
        <v>0.763653988183161</v>
      </c>
      <c r="AZ199" s="35" t="s">
        <v>93</v>
      </c>
    </row>
    <row r="200" customFormat="false" ht="12.75" hidden="false" customHeight="true" outlineLevel="0" collapsed="false">
      <c r="A200" s="24" t="n">
        <v>196</v>
      </c>
      <c r="B200" s="25" t="n">
        <v>46088</v>
      </c>
      <c r="C200" s="25" t="n">
        <v>12</v>
      </c>
      <c r="D200" s="26" t="s">
        <v>71</v>
      </c>
      <c r="E200" s="26" t="s">
        <v>94</v>
      </c>
      <c r="F200" s="26" t="s">
        <v>81</v>
      </c>
      <c r="G200" s="26" t="s">
        <v>11</v>
      </c>
      <c r="H200" s="27" t="n">
        <v>0.354166666666667</v>
      </c>
      <c r="I200" s="27" t="n">
        <v>0.854166666666667</v>
      </c>
      <c r="J200" s="26" t="n">
        <f aca="false">IFERROR((I200-H200)*24*60,"")</f>
        <v>720</v>
      </c>
      <c r="K200" s="26" t="s">
        <v>82</v>
      </c>
      <c r="L200" s="26" t="s">
        <v>90</v>
      </c>
      <c r="M200" s="26" t="s">
        <v>95</v>
      </c>
      <c r="N200" s="26" t="s">
        <v>96</v>
      </c>
      <c r="O200" s="26" t="n">
        <v>2</v>
      </c>
      <c r="P200" s="26" t="n">
        <v>51</v>
      </c>
      <c r="Q200" s="26" t="n">
        <f aca="false">IFERROR(3600/(P200/O200),"")</f>
        <v>141.176470588235</v>
      </c>
      <c r="R200" s="26" t="n">
        <v>1455</v>
      </c>
      <c r="S200" s="26" t="n">
        <v>35</v>
      </c>
      <c r="T200" s="26" t="n">
        <f aca="false">IFERROR(J200-S200,"")</f>
        <v>685</v>
      </c>
      <c r="U200" s="26"/>
      <c r="V200" s="26"/>
      <c r="W200" s="26"/>
      <c r="X200" s="26" t="n">
        <v>16</v>
      </c>
      <c r="Y200" s="26"/>
      <c r="Z200" s="26"/>
      <c r="AA200" s="26"/>
      <c r="AB200" s="26" t="n">
        <v>10</v>
      </c>
      <c r="AC200" s="26" t="n">
        <v>24</v>
      </c>
      <c r="AD200" s="26"/>
      <c r="AE200" s="26"/>
      <c r="AF200" s="26" t="n">
        <f aca="false">SUM(U200:AE200)</f>
        <v>50</v>
      </c>
      <c r="AG200" s="26" t="n">
        <f aca="false">T200-AF200</f>
        <v>635</v>
      </c>
      <c r="AH200" s="28" t="n">
        <f aca="false">IFERROR(AG200/T200,"")</f>
        <v>0.927007299270073</v>
      </c>
      <c r="AI200" s="29" t="n">
        <f aca="false">IFERROR(R200/AG200*60,"")</f>
        <v>137.48031496063</v>
      </c>
      <c r="AJ200" s="30" t="n">
        <f aca="false">IFERROR(AI200/Q200,"")</f>
        <v>0.973818897637795</v>
      </c>
      <c r="AK200" s="31" t="n">
        <f aca="false">IFERROR(R200/(T200/60*Q200),"")</f>
        <v>0.902737226277372</v>
      </c>
      <c r="AL200" s="26"/>
      <c r="AM200" s="26"/>
      <c r="AN200" s="26" t="n">
        <v>2</v>
      </c>
      <c r="AO200" s="26"/>
      <c r="AP200" s="26"/>
      <c r="AQ200" s="26"/>
      <c r="AR200" s="26"/>
      <c r="AS200" s="26"/>
      <c r="AT200" s="26"/>
      <c r="AU200" s="26" t="n">
        <v>1</v>
      </c>
      <c r="AV200" s="26" t="n">
        <f aca="false">SUM(AL200:AU200)</f>
        <v>3</v>
      </c>
      <c r="AW200" s="32" t="n">
        <f aca="false">IFERROR(AV200/R200*1000000,"")</f>
        <v>2061.85567010309</v>
      </c>
      <c r="AX200" s="33" t="n">
        <f aca="false">IFERROR((R200-AV200)/R200,"")</f>
        <v>0.997938144329897</v>
      </c>
      <c r="AY200" s="34" t="n">
        <f aca="false">IFERROR(AH200*AJ200*AX200,"")</f>
        <v>0.900875912408759</v>
      </c>
      <c r="AZ200" s="35"/>
    </row>
    <row r="201" customFormat="false" ht="12.75" hidden="false" customHeight="true" outlineLevel="0" collapsed="false">
      <c r="A201" s="24" t="n">
        <v>197</v>
      </c>
      <c r="B201" s="25" t="n">
        <v>46088</v>
      </c>
      <c r="C201" s="25" t="n">
        <v>12</v>
      </c>
      <c r="D201" s="26" t="s">
        <v>79</v>
      </c>
      <c r="E201" s="26" t="s">
        <v>97</v>
      </c>
      <c r="F201" s="26" t="s">
        <v>73</v>
      </c>
      <c r="G201" s="26" t="s">
        <v>12</v>
      </c>
      <c r="H201" s="27" t="n">
        <v>0.354166666666667</v>
      </c>
      <c r="I201" s="27" t="n">
        <v>0.854166666666667</v>
      </c>
      <c r="J201" s="26" t="n">
        <f aca="false">IFERROR((I201-H201)*24*60,"")</f>
        <v>720</v>
      </c>
      <c r="K201" s="26" t="s">
        <v>89</v>
      </c>
      <c r="L201" s="26" t="s">
        <v>90</v>
      </c>
      <c r="M201" s="26" t="s">
        <v>99</v>
      </c>
      <c r="N201" s="26" t="s">
        <v>100</v>
      </c>
      <c r="O201" s="26" t="n">
        <v>4</v>
      </c>
      <c r="P201" s="26" t="n">
        <v>38</v>
      </c>
      <c r="Q201" s="26" t="n">
        <f aca="false">IFERROR(3600/(P201/O201),"")</f>
        <v>378.947368421053</v>
      </c>
      <c r="R201" s="26" t="n">
        <v>3214</v>
      </c>
      <c r="S201" s="26" t="n">
        <v>72</v>
      </c>
      <c r="T201" s="26" t="n">
        <f aca="false">IFERROR(J201-S201,"")</f>
        <v>648</v>
      </c>
      <c r="U201" s="26"/>
      <c r="V201" s="26"/>
      <c r="W201" s="26"/>
      <c r="X201" s="26"/>
      <c r="Y201" s="26" t="n">
        <v>14</v>
      </c>
      <c r="Z201" s="26"/>
      <c r="AA201" s="26" t="n">
        <v>27</v>
      </c>
      <c r="AB201" s="26"/>
      <c r="AC201" s="26" t="n">
        <v>14</v>
      </c>
      <c r="AD201" s="26"/>
      <c r="AE201" s="26"/>
      <c r="AF201" s="26" t="n">
        <f aca="false">SUM(U201:AE201)</f>
        <v>55</v>
      </c>
      <c r="AG201" s="26" t="n">
        <f aca="false">T201-AF201</f>
        <v>593</v>
      </c>
      <c r="AH201" s="28" t="n">
        <f aca="false">IFERROR(AG201/T201,"")</f>
        <v>0.915123456790123</v>
      </c>
      <c r="AI201" s="29" t="n">
        <f aca="false">IFERROR(R201/AG201*60,"")</f>
        <v>325.193929173693</v>
      </c>
      <c r="AJ201" s="30" t="n">
        <f aca="false">IFERROR(AI201/Q201,"")</f>
        <v>0.858150646430579</v>
      </c>
      <c r="AK201" s="31" t="n">
        <f aca="false">IFERROR(R201/(T201/60*Q201),"")</f>
        <v>0.78531378600823</v>
      </c>
      <c r="AL201" s="26" t="n">
        <v>3</v>
      </c>
      <c r="AM201" s="26" t="n">
        <v>4</v>
      </c>
      <c r="AN201" s="26" t="n">
        <v>4</v>
      </c>
      <c r="AO201" s="26" t="n">
        <v>2</v>
      </c>
      <c r="AP201" s="26" t="n">
        <v>1</v>
      </c>
      <c r="AQ201" s="26" t="n">
        <v>2</v>
      </c>
      <c r="AR201" s="26" t="n">
        <v>4</v>
      </c>
      <c r="AS201" s="26" t="n">
        <v>2</v>
      </c>
      <c r="AT201" s="26" t="n">
        <v>2</v>
      </c>
      <c r="AU201" s="26" t="n">
        <v>6</v>
      </c>
      <c r="AV201" s="26" t="n">
        <f aca="false">SUM(AL201:AU201)</f>
        <v>30</v>
      </c>
      <c r="AW201" s="32" t="n">
        <f aca="false">IFERROR(AV201/R201*1000000,"")</f>
        <v>9334.16303671437</v>
      </c>
      <c r="AX201" s="33" t="n">
        <f aca="false">IFERROR((R201-AV201)/R201,"")</f>
        <v>0.990665836963286</v>
      </c>
      <c r="AY201" s="34" t="n">
        <f aca="false">IFERROR(AH201*AJ201*AX201,"")</f>
        <v>0.77798353909465</v>
      </c>
      <c r="AZ201" s="35" t="s">
        <v>86</v>
      </c>
    </row>
    <row r="202" customFormat="false" ht="12.75" hidden="false" customHeight="true" outlineLevel="0" collapsed="false">
      <c r="A202" s="24" t="n">
        <v>198</v>
      </c>
      <c r="B202" s="25" t="n">
        <v>46088</v>
      </c>
      <c r="C202" s="25" t="n">
        <v>12</v>
      </c>
      <c r="D202" s="26" t="s">
        <v>87</v>
      </c>
      <c r="E202" s="26" t="s">
        <v>101</v>
      </c>
      <c r="F202" s="26" t="s">
        <v>81</v>
      </c>
      <c r="G202" s="26" t="s">
        <v>13</v>
      </c>
      <c r="H202" s="27" t="n">
        <v>0.354166666666667</v>
      </c>
      <c r="I202" s="27" t="n">
        <v>0.854166666666667</v>
      </c>
      <c r="J202" s="26" t="n">
        <f aca="false">IFERROR((I202-H202)*24*60,"")</f>
        <v>720</v>
      </c>
      <c r="K202" s="26" t="s">
        <v>89</v>
      </c>
      <c r="L202" s="26" t="s">
        <v>83</v>
      </c>
      <c r="M202" s="26" t="s">
        <v>103</v>
      </c>
      <c r="N202" s="26" t="s">
        <v>104</v>
      </c>
      <c r="O202" s="26" t="n">
        <v>8</v>
      </c>
      <c r="P202" s="26" t="n">
        <v>42</v>
      </c>
      <c r="Q202" s="26" t="n">
        <f aca="false">IFERROR(3600/(P202/O202),"")</f>
        <v>685.714285714286</v>
      </c>
      <c r="R202" s="26" t="n">
        <v>5943</v>
      </c>
      <c r="S202" s="26" t="n">
        <v>42</v>
      </c>
      <c r="T202" s="26" t="n">
        <f aca="false">IFERROR(J202-S202,"")</f>
        <v>678</v>
      </c>
      <c r="U202" s="26"/>
      <c r="V202" s="26"/>
      <c r="W202" s="26"/>
      <c r="X202" s="26"/>
      <c r="Y202" s="26"/>
      <c r="Z202" s="26"/>
      <c r="AA202" s="26"/>
      <c r="AB202" s="26" t="n">
        <v>3</v>
      </c>
      <c r="AC202" s="26" t="n">
        <v>8</v>
      </c>
      <c r="AD202" s="26"/>
      <c r="AE202" s="26"/>
      <c r="AF202" s="26" t="n">
        <f aca="false">SUM(U202:AE202)</f>
        <v>11</v>
      </c>
      <c r="AG202" s="26" t="n">
        <f aca="false">T202-AF202</f>
        <v>667</v>
      </c>
      <c r="AH202" s="28" t="n">
        <f aca="false">IFERROR(AG202/T202,"")</f>
        <v>0.98377581120944</v>
      </c>
      <c r="AI202" s="29" t="n">
        <f aca="false">IFERROR(R202/AG202*60,"")</f>
        <v>534.602698650675</v>
      </c>
      <c r="AJ202" s="30" t="n">
        <f aca="false">IFERROR(AI202/Q202,"")</f>
        <v>0.779628935532234</v>
      </c>
      <c r="AK202" s="31" t="n">
        <f aca="false">IFERROR(R202/(T202/60*Q202),"")</f>
        <v>0.766980088495575</v>
      </c>
      <c r="AL202" s="26" t="n">
        <v>1</v>
      </c>
      <c r="AM202" s="26" t="n">
        <v>2</v>
      </c>
      <c r="AN202" s="26" t="n">
        <v>4</v>
      </c>
      <c r="AO202" s="26" t="n">
        <v>2</v>
      </c>
      <c r="AP202" s="26" t="n">
        <v>1</v>
      </c>
      <c r="AQ202" s="26" t="n">
        <v>1</v>
      </c>
      <c r="AR202" s="26" t="n">
        <v>5</v>
      </c>
      <c r="AS202" s="26" t="n">
        <v>1</v>
      </c>
      <c r="AT202" s="26" t="n">
        <v>2</v>
      </c>
      <c r="AU202" s="26"/>
      <c r="AV202" s="26" t="n">
        <f aca="false">SUM(AL202:AU202)</f>
        <v>19</v>
      </c>
      <c r="AW202" s="32" t="n">
        <f aca="false">IFERROR(AV202/R202*1000000,"")</f>
        <v>3197.03853272758</v>
      </c>
      <c r="AX202" s="33" t="n">
        <f aca="false">IFERROR((R202-AV202)/R202,"")</f>
        <v>0.996802961467272</v>
      </c>
      <c r="AY202" s="34" t="n">
        <f aca="false">IFERROR(AH202*AJ202*AX202,"")</f>
        <v>0.76452802359882</v>
      </c>
      <c r="AZ202" s="35" t="s">
        <v>93</v>
      </c>
    </row>
    <row r="203" customFormat="false" ht="12.75" hidden="false" customHeight="true" outlineLevel="0" collapsed="false">
      <c r="A203" s="24" t="n">
        <v>199</v>
      </c>
      <c r="B203" s="25" t="n">
        <v>46089</v>
      </c>
      <c r="C203" s="25" t="n">
        <v>12</v>
      </c>
      <c r="D203" s="26" t="s">
        <v>71</v>
      </c>
      <c r="E203" s="26" t="s">
        <v>72</v>
      </c>
      <c r="F203" s="26" t="s">
        <v>73</v>
      </c>
      <c r="G203" s="26" t="s">
        <v>8</v>
      </c>
      <c r="H203" s="27" t="n">
        <v>0.354166666666667</v>
      </c>
      <c r="I203" s="27" t="n">
        <v>0.854166666666667</v>
      </c>
      <c r="J203" s="26" t="n">
        <f aca="false">IFERROR((I203-H203)*24*60,"")</f>
        <v>720</v>
      </c>
      <c r="K203" s="26" t="s">
        <v>105</v>
      </c>
      <c r="L203" s="26" t="s">
        <v>108</v>
      </c>
      <c r="M203" s="26" t="s">
        <v>76</v>
      </c>
      <c r="N203" s="26" t="s">
        <v>77</v>
      </c>
      <c r="O203" s="26" t="n">
        <v>8</v>
      </c>
      <c r="P203" s="26" t="n">
        <v>41</v>
      </c>
      <c r="Q203" s="26" t="n">
        <f aca="false">IFERROR(3600/(P203/O203),"")</f>
        <v>702.439024390244</v>
      </c>
      <c r="R203" s="26" t="n">
        <v>5690</v>
      </c>
      <c r="S203" s="26" t="n">
        <v>67</v>
      </c>
      <c r="T203" s="26" t="n">
        <f aca="false">IFERROR(J203-S203,"")</f>
        <v>653</v>
      </c>
      <c r="U203" s="26"/>
      <c r="V203" s="26" t="n">
        <v>10</v>
      </c>
      <c r="W203" s="26"/>
      <c r="X203" s="26"/>
      <c r="Y203" s="26"/>
      <c r="Z203" s="26"/>
      <c r="AA203" s="26"/>
      <c r="AB203" s="26"/>
      <c r="AC203" s="26"/>
      <c r="AD203" s="26"/>
      <c r="AE203" s="26"/>
      <c r="AF203" s="26" t="n">
        <f aca="false">SUM(U203:AE203)</f>
        <v>10</v>
      </c>
      <c r="AG203" s="26" t="n">
        <f aca="false">T203-AF203</f>
        <v>643</v>
      </c>
      <c r="AH203" s="28" t="n">
        <f aca="false">IFERROR(AG203/T203,"")</f>
        <v>0.98468606431853</v>
      </c>
      <c r="AI203" s="29" t="n">
        <f aca="false">IFERROR(R203/AG203*60,"")</f>
        <v>530.94867807154</v>
      </c>
      <c r="AJ203" s="30" t="n">
        <f aca="false">IFERROR(AI203/Q203,"")</f>
        <v>0.7558644375324</v>
      </c>
      <c r="AK203" s="31" t="n">
        <f aca="false">IFERROR(R203/(T203/60*Q203),"")</f>
        <v>0.744289178152118</v>
      </c>
      <c r="AL203" s="26" t="n">
        <v>13</v>
      </c>
      <c r="AM203" s="26" t="n">
        <v>15</v>
      </c>
      <c r="AN203" s="26" t="n">
        <v>13</v>
      </c>
      <c r="AO203" s="26" t="n">
        <v>13</v>
      </c>
      <c r="AP203" s="26" t="n">
        <v>10</v>
      </c>
      <c r="AQ203" s="26" t="n">
        <v>8</v>
      </c>
      <c r="AR203" s="26" t="n">
        <v>13</v>
      </c>
      <c r="AS203" s="26" t="n">
        <v>17</v>
      </c>
      <c r="AT203" s="26" t="n">
        <v>9</v>
      </c>
      <c r="AU203" s="26" t="n">
        <v>8</v>
      </c>
      <c r="AV203" s="26" t="n">
        <f aca="false">SUM(AL203:AU203)</f>
        <v>119</v>
      </c>
      <c r="AW203" s="32" t="n">
        <f aca="false">IFERROR(AV203/R203*1000000,"")</f>
        <v>20913.8840070299</v>
      </c>
      <c r="AX203" s="33" t="n">
        <f aca="false">IFERROR((R203-AV203)/R203,"")</f>
        <v>0.97908611599297</v>
      </c>
      <c r="AY203" s="34" t="n">
        <f aca="false">IFERROR(AH203*AJ203*AX203,"")</f>
        <v>0.728723200612558</v>
      </c>
      <c r="AZ203" s="35" t="s">
        <v>78</v>
      </c>
    </row>
    <row r="204" customFormat="false" ht="12.75" hidden="false" customHeight="true" outlineLevel="0" collapsed="false">
      <c r="A204" s="24" t="n">
        <v>200</v>
      </c>
      <c r="B204" s="25" t="n">
        <v>46089</v>
      </c>
      <c r="C204" s="25" t="n">
        <v>12</v>
      </c>
      <c r="D204" s="26" t="s">
        <v>79</v>
      </c>
      <c r="E204" s="26" t="s">
        <v>80</v>
      </c>
      <c r="F204" s="26" t="s">
        <v>81</v>
      </c>
      <c r="G204" s="26" t="s">
        <v>9</v>
      </c>
      <c r="H204" s="27" t="n">
        <v>0.354166666666667</v>
      </c>
      <c r="I204" s="27" t="n">
        <v>0.854166666666667</v>
      </c>
      <c r="J204" s="26" t="n">
        <f aca="false">IFERROR((I204-H204)*24*60,"")</f>
        <v>720</v>
      </c>
      <c r="K204" s="26" t="s">
        <v>82</v>
      </c>
      <c r="L204" s="26" t="s">
        <v>75</v>
      </c>
      <c r="M204" s="26" t="s">
        <v>84</v>
      </c>
      <c r="N204" s="26" t="s">
        <v>85</v>
      </c>
      <c r="O204" s="26" t="n">
        <v>2</v>
      </c>
      <c r="P204" s="26" t="n">
        <v>67</v>
      </c>
      <c r="Q204" s="26" t="n">
        <f aca="false">IFERROR(3600/(P204/O204),"")</f>
        <v>107.462686567164</v>
      </c>
      <c r="R204" s="26" t="n">
        <v>1073</v>
      </c>
      <c r="S204" s="26" t="n">
        <v>30</v>
      </c>
      <c r="T204" s="26" t="n">
        <f aca="false">IFERROR(J204-S204,"")</f>
        <v>690</v>
      </c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 t="n">
        <v>6</v>
      </c>
      <c r="AF204" s="26" t="n">
        <f aca="false">SUM(U204:AE204)</f>
        <v>6</v>
      </c>
      <c r="AG204" s="26" t="n">
        <f aca="false">T204-AF204</f>
        <v>684</v>
      </c>
      <c r="AH204" s="28" t="n">
        <f aca="false">IFERROR(AG204/T204,"")</f>
        <v>0.991304347826087</v>
      </c>
      <c r="AI204" s="29" t="n">
        <f aca="false">IFERROR(R204/AG204*60,"")</f>
        <v>94.1228070175439</v>
      </c>
      <c r="AJ204" s="30" t="n">
        <f aca="false">IFERROR(AI204/Q204,"")</f>
        <v>0.875865009746589</v>
      </c>
      <c r="AK204" s="31" t="n">
        <f aca="false">IFERROR(R204/(T204/60*Q204),"")</f>
        <v>0.868248792270531</v>
      </c>
      <c r="AL204" s="26" t="n">
        <v>1</v>
      </c>
      <c r="AM204" s="26" t="n">
        <v>1</v>
      </c>
      <c r="AN204" s="26" t="n">
        <v>1</v>
      </c>
      <c r="AO204" s="26"/>
      <c r="AP204" s="26"/>
      <c r="AQ204" s="26" t="n">
        <v>1</v>
      </c>
      <c r="AR204" s="26" t="n">
        <v>1</v>
      </c>
      <c r="AS204" s="26"/>
      <c r="AT204" s="26" t="n">
        <v>1</v>
      </c>
      <c r="AU204" s="26"/>
      <c r="AV204" s="26" t="n">
        <f aca="false">SUM(AL204:AU204)</f>
        <v>6</v>
      </c>
      <c r="AW204" s="32" t="n">
        <f aca="false">IFERROR(AV204/R204*1000000,"")</f>
        <v>5591.79869524697</v>
      </c>
      <c r="AX204" s="33" t="n">
        <f aca="false">IFERROR((R204-AV204)/R204,"")</f>
        <v>0.994408201304753</v>
      </c>
      <c r="AY204" s="34" t="n">
        <f aca="false">IFERROR(AH204*AJ204*AX204,"")</f>
        <v>0.863393719806763</v>
      </c>
      <c r="AZ204" s="35" t="s">
        <v>86</v>
      </c>
    </row>
    <row r="205" customFormat="false" ht="12.75" hidden="false" customHeight="true" outlineLevel="0" collapsed="false">
      <c r="A205" s="24" t="n">
        <v>201</v>
      </c>
      <c r="B205" s="25" t="n">
        <v>46089</v>
      </c>
      <c r="C205" s="25" t="n">
        <v>12</v>
      </c>
      <c r="D205" s="26" t="s">
        <v>87</v>
      </c>
      <c r="E205" s="26" t="s">
        <v>88</v>
      </c>
      <c r="F205" s="26" t="s">
        <v>73</v>
      </c>
      <c r="G205" s="26" t="s">
        <v>10</v>
      </c>
      <c r="H205" s="27" t="n">
        <v>0.354166666666667</v>
      </c>
      <c r="I205" s="27" t="n">
        <v>0.854166666666667</v>
      </c>
      <c r="J205" s="26" t="n">
        <f aca="false">IFERROR((I205-H205)*24*60,"")</f>
        <v>720</v>
      </c>
      <c r="K205" s="26" t="s">
        <v>74</v>
      </c>
      <c r="L205" s="26" t="s">
        <v>90</v>
      </c>
      <c r="M205" s="26" t="s">
        <v>91</v>
      </c>
      <c r="N205" s="26" t="s">
        <v>92</v>
      </c>
      <c r="O205" s="26" t="n">
        <v>8</v>
      </c>
      <c r="P205" s="26" t="n">
        <v>31</v>
      </c>
      <c r="Q205" s="26" t="n">
        <f aca="false">IFERROR(3600/(P205/O205),"")</f>
        <v>929.032258064516</v>
      </c>
      <c r="R205" s="26" t="n">
        <v>7352</v>
      </c>
      <c r="S205" s="26" t="n">
        <v>64</v>
      </c>
      <c r="T205" s="26" t="n">
        <f aca="false">IFERROR(J205-S205,"")</f>
        <v>656</v>
      </c>
      <c r="U205" s="26"/>
      <c r="V205" s="26"/>
      <c r="W205" s="26"/>
      <c r="X205" s="26"/>
      <c r="Y205" s="26"/>
      <c r="Z205" s="26" t="n">
        <v>14</v>
      </c>
      <c r="AA205" s="26"/>
      <c r="AB205" s="26"/>
      <c r="AC205" s="26"/>
      <c r="AD205" s="26"/>
      <c r="AE205" s="26"/>
      <c r="AF205" s="26" t="n">
        <f aca="false">SUM(U205:AE205)</f>
        <v>14</v>
      </c>
      <c r="AG205" s="26" t="n">
        <f aca="false">T205-AF205</f>
        <v>642</v>
      </c>
      <c r="AH205" s="28" t="n">
        <f aca="false">IFERROR(AG205/T205,"")</f>
        <v>0.978658536585366</v>
      </c>
      <c r="AI205" s="29" t="n">
        <f aca="false">IFERROR(R205/AG205*60,"")</f>
        <v>687.102803738318</v>
      </c>
      <c r="AJ205" s="30" t="n">
        <f aca="false">IFERROR(AI205/Q205,"")</f>
        <v>0.739589823468328</v>
      </c>
      <c r="AK205" s="31" t="n">
        <f aca="false">IFERROR(R205/(T205/60*Q205),"")</f>
        <v>0.723805894308943</v>
      </c>
      <c r="AL205" s="26" t="n">
        <v>4</v>
      </c>
      <c r="AM205" s="26" t="n">
        <v>5</v>
      </c>
      <c r="AN205" s="26" t="n">
        <v>3</v>
      </c>
      <c r="AO205" s="26" t="n">
        <v>4</v>
      </c>
      <c r="AP205" s="26" t="n">
        <v>3</v>
      </c>
      <c r="AQ205" s="26" t="n">
        <v>6</v>
      </c>
      <c r="AR205" s="26" t="n">
        <v>5</v>
      </c>
      <c r="AS205" s="26" t="n">
        <v>4</v>
      </c>
      <c r="AT205" s="26" t="n">
        <v>3</v>
      </c>
      <c r="AU205" s="26" t="n">
        <v>7</v>
      </c>
      <c r="AV205" s="26" t="n">
        <f aca="false">SUM(AL205:AU205)</f>
        <v>44</v>
      </c>
      <c r="AW205" s="32" t="n">
        <f aca="false">IFERROR(AV205/R205*1000000,"")</f>
        <v>5984.76605005441</v>
      </c>
      <c r="AX205" s="33" t="n">
        <f aca="false">IFERROR((R205-AV205)/R205,"")</f>
        <v>0.994015233949946</v>
      </c>
      <c r="AY205" s="34" t="n">
        <f aca="false">IFERROR(AH205*AJ205*AX205,"")</f>
        <v>0.719474085365854</v>
      </c>
      <c r="AZ205" s="35" t="s">
        <v>78</v>
      </c>
    </row>
    <row r="206" customFormat="false" ht="12.75" hidden="false" customHeight="true" outlineLevel="0" collapsed="false">
      <c r="A206" s="24" t="n">
        <v>202</v>
      </c>
      <c r="B206" s="25" t="n">
        <v>46090</v>
      </c>
      <c r="C206" s="25" t="n">
        <v>12</v>
      </c>
      <c r="D206" s="26" t="s">
        <v>71</v>
      </c>
      <c r="E206" s="26" t="s">
        <v>94</v>
      </c>
      <c r="F206" s="26" t="s">
        <v>81</v>
      </c>
      <c r="G206" s="26" t="s">
        <v>11</v>
      </c>
      <c r="H206" s="27" t="n">
        <v>0.354166666666667</v>
      </c>
      <c r="I206" s="27" t="n">
        <v>0.854166666666667</v>
      </c>
      <c r="J206" s="26" t="n">
        <f aca="false">IFERROR((I206-H206)*24*60,"")</f>
        <v>720</v>
      </c>
      <c r="K206" s="26" t="s">
        <v>89</v>
      </c>
      <c r="L206" s="26" t="s">
        <v>107</v>
      </c>
      <c r="M206" s="26" t="s">
        <v>95</v>
      </c>
      <c r="N206" s="26" t="s">
        <v>96</v>
      </c>
      <c r="O206" s="26" t="n">
        <v>8</v>
      </c>
      <c r="P206" s="26" t="n">
        <v>72</v>
      </c>
      <c r="Q206" s="26" t="n">
        <f aca="false">IFERROR(3600/(P206/O206),"")</f>
        <v>400</v>
      </c>
      <c r="R206" s="26" t="n">
        <v>3366</v>
      </c>
      <c r="S206" s="26" t="n">
        <v>49</v>
      </c>
      <c r="T206" s="26" t="n">
        <f aca="false">IFERROR(J206-S206,"")</f>
        <v>671</v>
      </c>
      <c r="U206" s="26"/>
      <c r="V206" s="26"/>
      <c r="W206" s="26" t="n">
        <v>4</v>
      </c>
      <c r="X206" s="26"/>
      <c r="Y206" s="26"/>
      <c r="Z206" s="26"/>
      <c r="AA206" s="26"/>
      <c r="AB206" s="26"/>
      <c r="AC206" s="26"/>
      <c r="AD206" s="26"/>
      <c r="AE206" s="26"/>
      <c r="AF206" s="26" t="n">
        <f aca="false">SUM(U206:AE206)</f>
        <v>4</v>
      </c>
      <c r="AG206" s="26" t="n">
        <f aca="false">T206-AF206</f>
        <v>667</v>
      </c>
      <c r="AH206" s="28" t="n">
        <f aca="false">IFERROR(AG206/T206,"")</f>
        <v>0.994038748137109</v>
      </c>
      <c r="AI206" s="29" t="n">
        <f aca="false">IFERROR(R206/AG206*60,"")</f>
        <v>302.788605697151</v>
      </c>
      <c r="AJ206" s="30" t="n">
        <f aca="false">IFERROR(AI206/Q206,"")</f>
        <v>0.756971514242879</v>
      </c>
      <c r="AK206" s="31" t="n">
        <f aca="false">IFERROR(R206/(T206/60*Q206),"")</f>
        <v>0.752459016393443</v>
      </c>
      <c r="AL206" s="26" t="n">
        <v>5</v>
      </c>
      <c r="AM206" s="26" t="n">
        <v>1</v>
      </c>
      <c r="AN206" s="26" t="n">
        <v>3</v>
      </c>
      <c r="AO206" s="26" t="n">
        <v>8</v>
      </c>
      <c r="AP206" s="26" t="n">
        <v>3</v>
      </c>
      <c r="AQ206" s="26" t="n">
        <v>5</v>
      </c>
      <c r="AR206" s="26" t="n">
        <v>3</v>
      </c>
      <c r="AS206" s="26" t="n">
        <v>2</v>
      </c>
      <c r="AT206" s="26" t="n">
        <v>3</v>
      </c>
      <c r="AU206" s="26" t="n">
        <v>2</v>
      </c>
      <c r="AV206" s="26" t="n">
        <f aca="false">SUM(AL206:AU206)</f>
        <v>35</v>
      </c>
      <c r="AW206" s="32" t="n">
        <f aca="false">IFERROR(AV206/R206*1000000,"")</f>
        <v>10398.0986333928</v>
      </c>
      <c r="AX206" s="33" t="n">
        <f aca="false">IFERROR((R206-AV206)/R206,"")</f>
        <v>0.989601901366607</v>
      </c>
      <c r="AY206" s="34" t="n">
        <f aca="false">IFERROR(AH206*AJ206*AX206,"")</f>
        <v>0.744634873323398</v>
      </c>
      <c r="AZ206" s="35" t="s">
        <v>86</v>
      </c>
    </row>
    <row r="207" customFormat="false" ht="12.75" hidden="false" customHeight="true" outlineLevel="0" collapsed="false">
      <c r="A207" s="24" t="n">
        <v>203</v>
      </c>
      <c r="B207" s="25" t="n">
        <v>46090</v>
      </c>
      <c r="C207" s="25" t="n">
        <v>12</v>
      </c>
      <c r="D207" s="26" t="s">
        <v>79</v>
      </c>
      <c r="E207" s="26" t="s">
        <v>97</v>
      </c>
      <c r="F207" s="26" t="s">
        <v>73</v>
      </c>
      <c r="G207" s="26" t="s">
        <v>12</v>
      </c>
      <c r="H207" s="27" t="n">
        <v>0.354166666666667</v>
      </c>
      <c r="I207" s="27" t="n">
        <v>0.854166666666667</v>
      </c>
      <c r="J207" s="26" t="n">
        <f aca="false">IFERROR((I207-H207)*24*60,"")</f>
        <v>720</v>
      </c>
      <c r="K207" s="26" t="s">
        <v>89</v>
      </c>
      <c r="L207" s="26" t="s">
        <v>102</v>
      </c>
      <c r="M207" s="26" t="s">
        <v>99</v>
      </c>
      <c r="N207" s="26" t="s">
        <v>100</v>
      </c>
      <c r="O207" s="26" t="n">
        <v>2</v>
      </c>
      <c r="P207" s="26" t="n">
        <v>32</v>
      </c>
      <c r="Q207" s="26" t="n">
        <f aca="false">IFERROR(3600/(P207/O207),"")</f>
        <v>225</v>
      </c>
      <c r="R207" s="26" t="n">
        <v>1854</v>
      </c>
      <c r="S207" s="26" t="n">
        <v>33</v>
      </c>
      <c r="T207" s="26" t="n">
        <f aca="false">IFERROR(J207-S207,"")</f>
        <v>687</v>
      </c>
      <c r="U207" s="26"/>
      <c r="V207" s="26" t="n">
        <v>13</v>
      </c>
      <c r="W207" s="26"/>
      <c r="X207" s="26" t="n">
        <v>11</v>
      </c>
      <c r="Y207" s="26"/>
      <c r="Z207" s="26"/>
      <c r="AA207" s="26"/>
      <c r="AB207" s="26"/>
      <c r="AC207" s="26" t="n">
        <v>4</v>
      </c>
      <c r="AD207" s="26"/>
      <c r="AE207" s="26"/>
      <c r="AF207" s="26" t="n">
        <f aca="false">SUM(U207:AE207)</f>
        <v>28</v>
      </c>
      <c r="AG207" s="26" t="n">
        <f aca="false">T207-AF207</f>
        <v>659</v>
      </c>
      <c r="AH207" s="28" t="n">
        <f aca="false">IFERROR(AG207/T207,"")</f>
        <v>0.95924308588064</v>
      </c>
      <c r="AI207" s="29" t="n">
        <f aca="false">IFERROR(R207/AG207*60,"")</f>
        <v>168.801213960546</v>
      </c>
      <c r="AJ207" s="30" t="n">
        <f aca="false">IFERROR(AI207/Q207,"")</f>
        <v>0.750227617602428</v>
      </c>
      <c r="AK207" s="31" t="n">
        <f aca="false">IFERROR(R207/(T207/60*Q207),"")</f>
        <v>0.719650655021834</v>
      </c>
      <c r="AL207" s="26"/>
      <c r="AM207" s="26" t="n">
        <v>1</v>
      </c>
      <c r="AN207" s="26" t="n">
        <v>3</v>
      </c>
      <c r="AO207" s="26" t="n">
        <v>4</v>
      </c>
      <c r="AP207" s="26" t="n">
        <v>4</v>
      </c>
      <c r="AQ207" s="26" t="n">
        <v>1</v>
      </c>
      <c r="AR207" s="26" t="n">
        <v>3</v>
      </c>
      <c r="AS207" s="26" t="n">
        <v>3</v>
      </c>
      <c r="AT207" s="26"/>
      <c r="AU207" s="26" t="n">
        <v>2</v>
      </c>
      <c r="AV207" s="26" t="n">
        <f aca="false">SUM(AL207:AU207)</f>
        <v>21</v>
      </c>
      <c r="AW207" s="32" t="n">
        <f aca="false">IFERROR(AV207/R207*1000000,"")</f>
        <v>11326.860841424</v>
      </c>
      <c r="AX207" s="33" t="n">
        <f aca="false">IFERROR((R207-AV207)/R207,"")</f>
        <v>0.988673139158576</v>
      </c>
      <c r="AY207" s="34" t="n">
        <f aca="false">IFERROR(AH207*AJ207*AX207,"")</f>
        <v>0.711499272197962</v>
      </c>
      <c r="AZ207" s="35"/>
    </row>
    <row r="208" customFormat="false" ht="12.75" hidden="false" customHeight="true" outlineLevel="0" collapsed="false">
      <c r="A208" s="24" t="n">
        <v>204</v>
      </c>
      <c r="B208" s="25" t="n">
        <v>46090</v>
      </c>
      <c r="C208" s="25" t="n">
        <v>12</v>
      </c>
      <c r="D208" s="26" t="s">
        <v>87</v>
      </c>
      <c r="E208" s="26" t="s">
        <v>101</v>
      </c>
      <c r="F208" s="26" t="s">
        <v>81</v>
      </c>
      <c r="G208" s="26" t="s">
        <v>13</v>
      </c>
      <c r="H208" s="27" t="n">
        <v>0.354166666666667</v>
      </c>
      <c r="I208" s="27" t="n">
        <v>0.854166666666667</v>
      </c>
      <c r="J208" s="26" t="n">
        <f aca="false">IFERROR((I208-H208)*24*60,"")</f>
        <v>720</v>
      </c>
      <c r="K208" s="26" t="s">
        <v>105</v>
      </c>
      <c r="L208" s="26" t="s">
        <v>106</v>
      </c>
      <c r="M208" s="26" t="s">
        <v>103</v>
      </c>
      <c r="N208" s="26" t="s">
        <v>104</v>
      </c>
      <c r="O208" s="26" t="n">
        <v>2</v>
      </c>
      <c r="P208" s="26" t="n">
        <v>74</v>
      </c>
      <c r="Q208" s="26" t="n">
        <f aca="false">IFERROR(3600/(P208/O208),"")</f>
        <v>97.2972972972973</v>
      </c>
      <c r="R208" s="26" t="n">
        <v>845</v>
      </c>
      <c r="S208" s="26" t="n">
        <v>62</v>
      </c>
      <c r="T208" s="26" t="n">
        <f aca="false">IFERROR(J208-S208,"")</f>
        <v>658</v>
      </c>
      <c r="U208" s="26"/>
      <c r="V208" s="26" t="n">
        <v>16</v>
      </c>
      <c r="W208" s="26"/>
      <c r="X208" s="26"/>
      <c r="Y208" s="26"/>
      <c r="Z208" s="26"/>
      <c r="AA208" s="26"/>
      <c r="AB208" s="26"/>
      <c r="AC208" s="26"/>
      <c r="AD208" s="26" t="n">
        <v>12</v>
      </c>
      <c r="AE208" s="26"/>
      <c r="AF208" s="26" t="n">
        <f aca="false">SUM(U208:AE208)</f>
        <v>28</v>
      </c>
      <c r="AG208" s="26" t="n">
        <f aca="false">T208-AF208</f>
        <v>630</v>
      </c>
      <c r="AH208" s="28" t="n">
        <f aca="false">IFERROR(AG208/T208,"")</f>
        <v>0.957446808510638</v>
      </c>
      <c r="AI208" s="29" t="n">
        <f aca="false">IFERROR(R208/AG208*60,"")</f>
        <v>80.4761904761905</v>
      </c>
      <c r="AJ208" s="30" t="n">
        <f aca="false">IFERROR(AI208/Q208,"")</f>
        <v>0.827116402116402</v>
      </c>
      <c r="AK208" s="31" t="n">
        <f aca="false">IFERROR(R208/(T208/60*Q208),"")</f>
        <v>0.791919959473151</v>
      </c>
      <c r="AL208" s="26"/>
      <c r="AM208" s="26"/>
      <c r="AN208" s="26" t="n">
        <v>1</v>
      </c>
      <c r="AO208" s="26"/>
      <c r="AP208" s="26" t="n">
        <v>3</v>
      </c>
      <c r="AQ208" s="26"/>
      <c r="AR208" s="26" t="n">
        <v>2</v>
      </c>
      <c r="AS208" s="26" t="n">
        <v>3</v>
      </c>
      <c r="AT208" s="26" t="n">
        <v>2</v>
      </c>
      <c r="AU208" s="26" t="n">
        <v>1</v>
      </c>
      <c r="AV208" s="26" t="n">
        <f aca="false">SUM(AL208:AU208)</f>
        <v>12</v>
      </c>
      <c r="AW208" s="32" t="n">
        <f aca="false">IFERROR(AV208/R208*1000000,"")</f>
        <v>14201.1834319527</v>
      </c>
      <c r="AX208" s="33" t="n">
        <f aca="false">IFERROR((R208-AV208)/R208,"")</f>
        <v>0.985798816568047</v>
      </c>
      <c r="AY208" s="34" t="n">
        <f aca="false">IFERROR(AH208*AJ208*AX208,"")</f>
        <v>0.780673758865248</v>
      </c>
      <c r="AZ208" s="35" t="s">
        <v>86</v>
      </c>
    </row>
    <row r="209" customFormat="false" ht="12.75" hidden="false" customHeight="true" outlineLevel="0" collapsed="false">
      <c r="A209" s="24" t="n">
        <v>205</v>
      </c>
      <c r="B209" s="25" t="n">
        <v>46091</v>
      </c>
      <c r="C209" s="25" t="n">
        <v>12</v>
      </c>
      <c r="D209" s="26" t="s">
        <v>71</v>
      </c>
      <c r="E209" s="26" t="s">
        <v>72</v>
      </c>
      <c r="F209" s="26" t="s">
        <v>73</v>
      </c>
      <c r="G209" s="26" t="s">
        <v>8</v>
      </c>
      <c r="H209" s="27" t="n">
        <v>0.354166666666667</v>
      </c>
      <c r="I209" s="27" t="n">
        <v>0.854166666666667</v>
      </c>
      <c r="J209" s="26" t="n">
        <f aca="false">IFERROR((I209-H209)*24*60,"")</f>
        <v>720</v>
      </c>
      <c r="K209" s="26" t="s">
        <v>74</v>
      </c>
      <c r="L209" s="26" t="s">
        <v>90</v>
      </c>
      <c r="M209" s="26" t="s">
        <v>76</v>
      </c>
      <c r="N209" s="26" t="s">
        <v>77</v>
      </c>
      <c r="O209" s="26" t="n">
        <v>2</v>
      </c>
      <c r="P209" s="26" t="n">
        <v>33</v>
      </c>
      <c r="Q209" s="26" t="n">
        <f aca="false">IFERROR(3600/(P209/O209),"")</f>
        <v>218.181818181818</v>
      </c>
      <c r="R209" s="26" t="n">
        <v>2137</v>
      </c>
      <c r="S209" s="26" t="n">
        <v>75</v>
      </c>
      <c r="T209" s="26" t="n">
        <f aca="false">IFERROR(J209-S209,"")</f>
        <v>645</v>
      </c>
      <c r="U209" s="26"/>
      <c r="V209" s="26"/>
      <c r="W209" s="26"/>
      <c r="X209" s="26"/>
      <c r="Y209" s="26"/>
      <c r="Z209" s="26"/>
      <c r="AA209" s="26"/>
      <c r="AB209" s="26"/>
      <c r="AC209" s="26" t="n">
        <v>3</v>
      </c>
      <c r="AD209" s="26"/>
      <c r="AE209" s="26"/>
      <c r="AF209" s="26" t="n">
        <f aca="false">SUM(U209:AE209)</f>
        <v>3</v>
      </c>
      <c r="AG209" s="26" t="n">
        <f aca="false">T209-AF209</f>
        <v>642</v>
      </c>
      <c r="AH209" s="28" t="n">
        <f aca="false">IFERROR(AG209/T209,"")</f>
        <v>0.995348837209302</v>
      </c>
      <c r="AI209" s="29" t="n">
        <f aca="false">IFERROR(R209/AG209*60,"")</f>
        <v>199.719626168224</v>
      </c>
      <c r="AJ209" s="30" t="n">
        <f aca="false">IFERROR(AI209/Q209,"")</f>
        <v>0.915381619937695</v>
      </c>
      <c r="AK209" s="31" t="n">
        <f aca="false">IFERROR(R209/(T209/60*Q209),"")</f>
        <v>0.911124031007752</v>
      </c>
      <c r="AL209" s="26" t="n">
        <v>4</v>
      </c>
      <c r="AM209" s="26" t="n">
        <v>2</v>
      </c>
      <c r="AN209" s="26" t="n">
        <v>3</v>
      </c>
      <c r="AO209" s="26" t="n">
        <v>4</v>
      </c>
      <c r="AP209" s="26" t="n">
        <v>4</v>
      </c>
      <c r="AQ209" s="26" t="n">
        <v>5</v>
      </c>
      <c r="AR209" s="26" t="n">
        <v>9</v>
      </c>
      <c r="AS209" s="26" t="n">
        <v>5</v>
      </c>
      <c r="AT209" s="26" t="n">
        <v>1</v>
      </c>
      <c r="AU209" s="26" t="n">
        <v>3</v>
      </c>
      <c r="AV209" s="26" t="n">
        <f aca="false">SUM(AL209:AU209)</f>
        <v>40</v>
      </c>
      <c r="AW209" s="32" t="n">
        <f aca="false">IFERROR(AV209/R209*1000000,"")</f>
        <v>18717.8287318671</v>
      </c>
      <c r="AX209" s="33" t="n">
        <f aca="false">IFERROR((R209-AV209)/R209,"")</f>
        <v>0.981282171268133</v>
      </c>
      <c r="AY209" s="34" t="n">
        <f aca="false">IFERROR(AH209*AJ209*AX209,"")</f>
        <v>0.89406976744186</v>
      </c>
      <c r="AZ209" s="35" t="s">
        <v>78</v>
      </c>
    </row>
    <row r="210" customFormat="false" ht="12.75" hidden="false" customHeight="true" outlineLevel="0" collapsed="false">
      <c r="A210" s="24" t="n">
        <v>206</v>
      </c>
      <c r="B210" s="25" t="n">
        <v>46091</v>
      </c>
      <c r="C210" s="25" t="n">
        <v>12</v>
      </c>
      <c r="D210" s="26" t="s">
        <v>79</v>
      </c>
      <c r="E210" s="26" t="s">
        <v>80</v>
      </c>
      <c r="F210" s="26" t="s">
        <v>81</v>
      </c>
      <c r="G210" s="26" t="s">
        <v>9</v>
      </c>
      <c r="H210" s="27" t="n">
        <v>0.354166666666667</v>
      </c>
      <c r="I210" s="27" t="n">
        <v>0.854166666666667</v>
      </c>
      <c r="J210" s="26" t="n">
        <f aca="false">IFERROR((I210-H210)*24*60,"")</f>
        <v>720</v>
      </c>
      <c r="K210" s="26" t="s">
        <v>82</v>
      </c>
      <c r="L210" s="26" t="s">
        <v>106</v>
      </c>
      <c r="M210" s="26" t="s">
        <v>84</v>
      </c>
      <c r="N210" s="26" t="s">
        <v>85</v>
      </c>
      <c r="O210" s="26" t="n">
        <v>8</v>
      </c>
      <c r="P210" s="26" t="n">
        <v>69</v>
      </c>
      <c r="Q210" s="26" t="n">
        <f aca="false">IFERROR(3600/(P210/O210),"")</f>
        <v>417.391304347826</v>
      </c>
      <c r="R210" s="26" t="n">
        <v>3977</v>
      </c>
      <c r="S210" s="26" t="n">
        <v>35</v>
      </c>
      <c r="T210" s="26" t="n">
        <f aca="false">IFERROR(J210-S210,"")</f>
        <v>685</v>
      </c>
      <c r="U210" s="26"/>
      <c r="V210" s="26"/>
      <c r="W210" s="26"/>
      <c r="X210" s="26" t="n">
        <v>19</v>
      </c>
      <c r="Y210" s="26"/>
      <c r="Z210" s="26"/>
      <c r="AA210" s="26"/>
      <c r="AB210" s="26"/>
      <c r="AC210" s="26"/>
      <c r="AD210" s="26"/>
      <c r="AE210" s="26"/>
      <c r="AF210" s="26" t="n">
        <f aca="false">SUM(U210:AE210)</f>
        <v>19</v>
      </c>
      <c r="AG210" s="26" t="n">
        <f aca="false">T210-AF210</f>
        <v>666</v>
      </c>
      <c r="AH210" s="28" t="n">
        <f aca="false">IFERROR(AG210/T210,"")</f>
        <v>0.972262773722628</v>
      </c>
      <c r="AI210" s="29" t="n">
        <f aca="false">IFERROR(R210/AG210*60,"")</f>
        <v>358.288288288288</v>
      </c>
      <c r="AJ210" s="30" t="n">
        <f aca="false">IFERROR(AI210/Q210,"")</f>
        <v>0.858399024024024</v>
      </c>
      <c r="AK210" s="31" t="n">
        <f aca="false">IFERROR(R210/(T210/60*Q210),"")</f>
        <v>0.834589416058394</v>
      </c>
      <c r="AL210" s="26" t="n">
        <v>9</v>
      </c>
      <c r="AM210" s="26" t="n">
        <v>12</v>
      </c>
      <c r="AN210" s="26" t="n">
        <v>11</v>
      </c>
      <c r="AO210" s="26" t="n">
        <v>7</v>
      </c>
      <c r="AP210" s="26" t="n">
        <v>11</v>
      </c>
      <c r="AQ210" s="26" t="n">
        <v>5</v>
      </c>
      <c r="AR210" s="26" t="n">
        <v>11</v>
      </c>
      <c r="AS210" s="26" t="n">
        <v>8</v>
      </c>
      <c r="AT210" s="26" t="n">
        <v>6</v>
      </c>
      <c r="AU210" s="26" t="n">
        <v>8</v>
      </c>
      <c r="AV210" s="26" t="n">
        <f aca="false">SUM(AL210:AU210)</f>
        <v>88</v>
      </c>
      <c r="AW210" s="32" t="n">
        <f aca="false">IFERROR(AV210/R210*1000000,"")</f>
        <v>22127.2315815942</v>
      </c>
      <c r="AX210" s="33" t="n">
        <f aca="false">IFERROR((R210-AV210)/R210,"")</f>
        <v>0.977872768418406</v>
      </c>
      <c r="AY210" s="34" t="n">
        <f aca="false">IFERROR(AH210*AJ210*AX210,"")</f>
        <v>0.816122262773723</v>
      </c>
      <c r="AZ210" s="35" t="s">
        <v>93</v>
      </c>
    </row>
    <row r="211" customFormat="false" ht="12.75" hidden="false" customHeight="true" outlineLevel="0" collapsed="false">
      <c r="A211" s="24" t="n">
        <v>207</v>
      </c>
      <c r="B211" s="25" t="n">
        <v>46091</v>
      </c>
      <c r="C211" s="25" t="n">
        <v>12</v>
      </c>
      <c r="D211" s="26" t="s">
        <v>87</v>
      </c>
      <c r="E211" s="26" t="s">
        <v>88</v>
      </c>
      <c r="F211" s="26" t="s">
        <v>73</v>
      </c>
      <c r="G211" s="26" t="s">
        <v>10</v>
      </c>
      <c r="H211" s="27" t="n">
        <v>0.354166666666667</v>
      </c>
      <c r="I211" s="27" t="n">
        <v>0.854166666666667</v>
      </c>
      <c r="J211" s="26" t="n">
        <f aca="false">IFERROR((I211-H211)*24*60,"")</f>
        <v>720</v>
      </c>
      <c r="K211" s="26" t="s">
        <v>89</v>
      </c>
      <c r="L211" s="26" t="s">
        <v>83</v>
      </c>
      <c r="M211" s="26" t="s">
        <v>91</v>
      </c>
      <c r="N211" s="26" t="s">
        <v>92</v>
      </c>
      <c r="O211" s="26" t="n">
        <v>8</v>
      </c>
      <c r="P211" s="26" t="n">
        <v>48</v>
      </c>
      <c r="Q211" s="26" t="n">
        <f aca="false">IFERROR(3600/(P211/O211),"")</f>
        <v>600</v>
      </c>
      <c r="R211" s="26" t="n">
        <v>5704</v>
      </c>
      <c r="S211" s="26" t="n">
        <v>45</v>
      </c>
      <c r="T211" s="26" t="n">
        <f aca="false">IFERROR(J211-S211,"")</f>
        <v>675</v>
      </c>
      <c r="U211" s="26"/>
      <c r="V211" s="26" t="n">
        <v>13</v>
      </c>
      <c r="W211" s="26"/>
      <c r="X211" s="26"/>
      <c r="Y211" s="26"/>
      <c r="Z211" s="26"/>
      <c r="AA211" s="26"/>
      <c r="AB211" s="26" t="n">
        <v>3</v>
      </c>
      <c r="AC211" s="26"/>
      <c r="AD211" s="26"/>
      <c r="AE211" s="26"/>
      <c r="AF211" s="26" t="n">
        <f aca="false">SUM(U211:AE211)</f>
        <v>16</v>
      </c>
      <c r="AG211" s="26" t="n">
        <f aca="false">T211-AF211</f>
        <v>659</v>
      </c>
      <c r="AH211" s="28" t="n">
        <f aca="false">IFERROR(AG211/T211,"")</f>
        <v>0.976296296296296</v>
      </c>
      <c r="AI211" s="29" t="n">
        <f aca="false">IFERROR(R211/AG211*60,"")</f>
        <v>519.332321699545</v>
      </c>
      <c r="AJ211" s="30" t="n">
        <f aca="false">IFERROR(AI211/Q211,"")</f>
        <v>0.865553869499241</v>
      </c>
      <c r="AK211" s="31" t="n">
        <f aca="false">IFERROR(R211/(T211/60*Q211),"")</f>
        <v>0.845037037037037</v>
      </c>
      <c r="AL211" s="26" t="n">
        <v>9</v>
      </c>
      <c r="AM211" s="26" t="n">
        <v>16</v>
      </c>
      <c r="AN211" s="26" t="n">
        <v>10</v>
      </c>
      <c r="AO211" s="26" t="n">
        <v>15</v>
      </c>
      <c r="AP211" s="26" t="n">
        <v>9</v>
      </c>
      <c r="AQ211" s="26" t="n">
        <v>14</v>
      </c>
      <c r="AR211" s="26" t="n">
        <v>14</v>
      </c>
      <c r="AS211" s="26" t="n">
        <v>13</v>
      </c>
      <c r="AT211" s="26" t="n">
        <v>11</v>
      </c>
      <c r="AU211" s="26" t="n">
        <v>14</v>
      </c>
      <c r="AV211" s="26" t="n">
        <f aca="false">SUM(AL211:AU211)</f>
        <v>125</v>
      </c>
      <c r="AW211" s="32" t="n">
        <f aca="false">IFERROR(AV211/R211*1000000,"")</f>
        <v>21914.4460028051</v>
      </c>
      <c r="AX211" s="33" t="n">
        <f aca="false">IFERROR((R211-AV211)/R211,"")</f>
        <v>0.978085553997195</v>
      </c>
      <c r="AY211" s="34" t="n">
        <f aca="false">IFERROR(AH211*AJ211*AX211,"")</f>
        <v>0.826518518518519</v>
      </c>
      <c r="AZ211" s="35" t="s">
        <v>93</v>
      </c>
    </row>
    <row r="212" customFormat="false" ht="12.75" hidden="false" customHeight="true" outlineLevel="0" collapsed="false">
      <c r="A212" s="24" t="n">
        <v>208</v>
      </c>
      <c r="B212" s="25" t="n">
        <v>46092</v>
      </c>
      <c r="C212" s="25" t="n">
        <v>12</v>
      </c>
      <c r="D212" s="26" t="s">
        <v>71</v>
      </c>
      <c r="E212" s="26" t="s">
        <v>94</v>
      </c>
      <c r="F212" s="26" t="s">
        <v>81</v>
      </c>
      <c r="G212" s="26" t="s">
        <v>11</v>
      </c>
      <c r="H212" s="27" t="n">
        <v>0.354166666666667</v>
      </c>
      <c r="I212" s="27" t="n">
        <v>0.854166666666667</v>
      </c>
      <c r="J212" s="26" t="n">
        <f aca="false">IFERROR((I212-H212)*24*60,"")</f>
        <v>720</v>
      </c>
      <c r="K212" s="26" t="s">
        <v>89</v>
      </c>
      <c r="L212" s="26" t="s">
        <v>83</v>
      </c>
      <c r="M212" s="26" t="s">
        <v>95</v>
      </c>
      <c r="N212" s="26" t="s">
        <v>96</v>
      </c>
      <c r="O212" s="26" t="n">
        <v>4</v>
      </c>
      <c r="P212" s="26" t="n">
        <v>43</v>
      </c>
      <c r="Q212" s="26" t="n">
        <f aca="false">IFERROR(3600/(P212/O212),"")</f>
        <v>334.883720930233</v>
      </c>
      <c r="R212" s="26" t="n">
        <v>3297</v>
      </c>
      <c r="S212" s="26" t="n">
        <v>39</v>
      </c>
      <c r="T212" s="26" t="n">
        <f aca="false">IFERROR(J212-S212,"")</f>
        <v>681</v>
      </c>
      <c r="U212" s="26"/>
      <c r="V212" s="26"/>
      <c r="W212" s="26"/>
      <c r="X212" s="26"/>
      <c r="Y212" s="26" t="n">
        <v>3</v>
      </c>
      <c r="Z212" s="26"/>
      <c r="AA212" s="26"/>
      <c r="AB212" s="26" t="n">
        <v>6</v>
      </c>
      <c r="AC212" s="26"/>
      <c r="AD212" s="26" t="n">
        <v>5</v>
      </c>
      <c r="AE212" s="26"/>
      <c r="AF212" s="26" t="n">
        <f aca="false">SUM(U212:AE212)</f>
        <v>14</v>
      </c>
      <c r="AG212" s="26" t="n">
        <f aca="false">T212-AF212</f>
        <v>667</v>
      </c>
      <c r="AH212" s="28" t="n">
        <f aca="false">IFERROR(AG212/T212,"")</f>
        <v>0.979441997063142</v>
      </c>
      <c r="AI212" s="29" t="n">
        <f aca="false">IFERROR(R212/AG212*60,"")</f>
        <v>296.581709145427</v>
      </c>
      <c r="AJ212" s="30" t="n">
        <f aca="false">IFERROR(AI212/Q212,"")</f>
        <v>0.885625937031484</v>
      </c>
      <c r="AK212" s="31" t="n">
        <f aca="false">IFERROR(R212/(T212/60*Q212),"")</f>
        <v>0.867419236417034</v>
      </c>
      <c r="AL212" s="26" t="n">
        <v>5</v>
      </c>
      <c r="AM212" s="26" t="n">
        <v>3</v>
      </c>
      <c r="AN212" s="26" t="n">
        <v>8</v>
      </c>
      <c r="AO212" s="26" t="n">
        <v>7</v>
      </c>
      <c r="AP212" s="26" t="n">
        <v>6</v>
      </c>
      <c r="AQ212" s="26" t="n">
        <v>5</v>
      </c>
      <c r="AR212" s="26" t="n">
        <v>8</v>
      </c>
      <c r="AS212" s="26" t="n">
        <v>6</v>
      </c>
      <c r="AT212" s="26" t="n">
        <v>3</v>
      </c>
      <c r="AU212" s="26" t="n">
        <v>3</v>
      </c>
      <c r="AV212" s="26" t="n">
        <f aca="false">SUM(AL212:AU212)</f>
        <v>54</v>
      </c>
      <c r="AW212" s="32" t="n">
        <f aca="false">IFERROR(AV212/R212*1000000,"")</f>
        <v>16378.5259326661</v>
      </c>
      <c r="AX212" s="33" t="n">
        <f aca="false">IFERROR((R212-AV212)/R212,"")</f>
        <v>0.983621474067334</v>
      </c>
      <c r="AY212" s="34" t="n">
        <f aca="false">IFERROR(AH212*AJ212*AX212,"")</f>
        <v>0.853212187958884</v>
      </c>
      <c r="AZ212" s="35" t="s">
        <v>78</v>
      </c>
    </row>
    <row r="213" customFormat="false" ht="12.75" hidden="false" customHeight="true" outlineLevel="0" collapsed="false">
      <c r="A213" s="24" t="n">
        <v>209</v>
      </c>
      <c r="B213" s="25" t="n">
        <v>46092</v>
      </c>
      <c r="C213" s="25" t="n">
        <v>12</v>
      </c>
      <c r="D213" s="26" t="s">
        <v>79</v>
      </c>
      <c r="E213" s="26" t="s">
        <v>97</v>
      </c>
      <c r="F213" s="26" t="s">
        <v>73</v>
      </c>
      <c r="G213" s="26" t="s">
        <v>12</v>
      </c>
      <c r="H213" s="27" t="n">
        <v>0.354166666666667</v>
      </c>
      <c r="I213" s="27" t="n">
        <v>0.854166666666667</v>
      </c>
      <c r="J213" s="26" t="n">
        <f aca="false">IFERROR((I213-H213)*24*60,"")</f>
        <v>720</v>
      </c>
      <c r="K213" s="26" t="s">
        <v>74</v>
      </c>
      <c r="L213" s="26" t="s">
        <v>98</v>
      </c>
      <c r="M213" s="26" t="s">
        <v>99</v>
      </c>
      <c r="N213" s="26" t="s">
        <v>100</v>
      </c>
      <c r="O213" s="26" t="n">
        <v>8</v>
      </c>
      <c r="P213" s="26" t="n">
        <v>35</v>
      </c>
      <c r="Q213" s="26" t="n">
        <f aca="false">IFERROR(3600/(P213/O213),"")</f>
        <v>822.857142857143</v>
      </c>
      <c r="R213" s="26" t="n">
        <v>8901</v>
      </c>
      <c r="S213" s="26" t="n">
        <v>36</v>
      </c>
      <c r="T213" s="26" t="n">
        <f aca="false">IFERROR(J213-S213,"")</f>
        <v>684</v>
      </c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 t="n">
        <v>19</v>
      </c>
      <c r="AF213" s="26" t="n">
        <f aca="false">SUM(U213:AE213)</f>
        <v>19</v>
      </c>
      <c r="AG213" s="26" t="n">
        <f aca="false">T213-AF213</f>
        <v>665</v>
      </c>
      <c r="AH213" s="28" t="n">
        <f aca="false">IFERROR(AG213/T213,"")</f>
        <v>0.972222222222222</v>
      </c>
      <c r="AI213" s="29" t="n">
        <f aca="false">IFERROR(R213/AG213*60,"")</f>
        <v>803.097744360902</v>
      </c>
      <c r="AJ213" s="30" t="n">
        <f aca="false">IFERROR(AI213/Q213,"")</f>
        <v>0.975986842105263</v>
      </c>
      <c r="AK213" s="31" t="n">
        <f aca="false">IFERROR(R213/(T213/60*Q213),"")</f>
        <v>0.948876096491228</v>
      </c>
      <c r="AL213" s="26" t="n">
        <v>8</v>
      </c>
      <c r="AM213" s="26" t="n">
        <v>16</v>
      </c>
      <c r="AN213" s="26" t="n">
        <v>10</v>
      </c>
      <c r="AO213" s="26" t="n">
        <v>5</v>
      </c>
      <c r="AP213" s="26" t="n">
        <v>6</v>
      </c>
      <c r="AQ213" s="26" t="n">
        <v>4</v>
      </c>
      <c r="AR213" s="26" t="n">
        <v>10</v>
      </c>
      <c r="AS213" s="26" t="n">
        <v>8</v>
      </c>
      <c r="AT213" s="26" t="n">
        <v>11</v>
      </c>
      <c r="AU213" s="26" t="n">
        <v>9</v>
      </c>
      <c r="AV213" s="26" t="n">
        <f aca="false">SUM(AL213:AU213)</f>
        <v>87</v>
      </c>
      <c r="AW213" s="32" t="n">
        <f aca="false">IFERROR(AV213/R213*1000000,"")</f>
        <v>9774.18267610381</v>
      </c>
      <c r="AX213" s="33" t="n">
        <f aca="false">IFERROR((R213-AV213)/R213,"")</f>
        <v>0.990225817323896</v>
      </c>
      <c r="AY213" s="34" t="n">
        <f aca="false">IFERROR(AH213*AJ213*AX213,"")</f>
        <v>0.939601608187135</v>
      </c>
      <c r="AZ213" s="35" t="s">
        <v>78</v>
      </c>
    </row>
    <row r="214" customFormat="false" ht="12.75" hidden="false" customHeight="true" outlineLevel="0" collapsed="false">
      <c r="A214" s="24" t="n">
        <v>210</v>
      </c>
      <c r="B214" s="25" t="n">
        <v>46092</v>
      </c>
      <c r="C214" s="25" t="n">
        <v>12</v>
      </c>
      <c r="D214" s="26" t="s">
        <v>87</v>
      </c>
      <c r="E214" s="26" t="s">
        <v>101</v>
      </c>
      <c r="F214" s="26" t="s">
        <v>81</v>
      </c>
      <c r="G214" s="26" t="s">
        <v>13</v>
      </c>
      <c r="H214" s="27" t="n">
        <v>0.354166666666667</v>
      </c>
      <c r="I214" s="27" t="n">
        <v>0.854166666666667</v>
      </c>
      <c r="J214" s="26" t="n">
        <f aca="false">IFERROR((I214-H214)*24*60,"")</f>
        <v>720</v>
      </c>
      <c r="K214" s="26" t="s">
        <v>82</v>
      </c>
      <c r="L214" s="26" t="s">
        <v>98</v>
      </c>
      <c r="M214" s="26" t="s">
        <v>103</v>
      </c>
      <c r="N214" s="26" t="s">
        <v>104</v>
      </c>
      <c r="O214" s="26" t="n">
        <v>8</v>
      </c>
      <c r="P214" s="26" t="n">
        <v>32</v>
      </c>
      <c r="Q214" s="26" t="n">
        <f aca="false">IFERROR(3600/(P214/O214),"")</f>
        <v>900</v>
      </c>
      <c r="R214" s="26" t="n">
        <v>8330</v>
      </c>
      <c r="S214" s="26" t="n">
        <v>63</v>
      </c>
      <c r="T214" s="26" t="n">
        <f aca="false">IFERROR(J214-S214,"")</f>
        <v>657</v>
      </c>
      <c r="U214" s="26"/>
      <c r="V214" s="26"/>
      <c r="W214" s="26"/>
      <c r="X214" s="26"/>
      <c r="Y214" s="26"/>
      <c r="Z214" s="26" t="n">
        <v>17</v>
      </c>
      <c r="AA214" s="26"/>
      <c r="AB214" s="26"/>
      <c r="AC214" s="26" t="n">
        <v>13</v>
      </c>
      <c r="AD214" s="26" t="n">
        <v>17</v>
      </c>
      <c r="AE214" s="26"/>
      <c r="AF214" s="26" t="n">
        <f aca="false">SUM(U214:AE214)</f>
        <v>47</v>
      </c>
      <c r="AG214" s="26" t="n">
        <f aca="false">T214-AF214</f>
        <v>610</v>
      </c>
      <c r="AH214" s="28" t="n">
        <f aca="false">IFERROR(AG214/T214,"")</f>
        <v>0.928462709284627</v>
      </c>
      <c r="AI214" s="29" t="n">
        <f aca="false">IFERROR(R214/AG214*60,"")</f>
        <v>819.344262295082</v>
      </c>
      <c r="AJ214" s="30" t="n">
        <f aca="false">IFERROR(AI214/Q214,"")</f>
        <v>0.910382513661202</v>
      </c>
      <c r="AK214" s="31" t="n">
        <f aca="false">IFERROR(R214/(T214/60*Q214),"")</f>
        <v>0.845256215119229</v>
      </c>
      <c r="AL214" s="26" t="n">
        <v>7</v>
      </c>
      <c r="AM214" s="26" t="n">
        <v>14</v>
      </c>
      <c r="AN214" s="26" t="n">
        <v>16</v>
      </c>
      <c r="AO214" s="26" t="n">
        <v>11</v>
      </c>
      <c r="AP214" s="26" t="n">
        <v>14</v>
      </c>
      <c r="AQ214" s="26" t="n">
        <v>11</v>
      </c>
      <c r="AR214" s="26" t="n">
        <v>14</v>
      </c>
      <c r="AS214" s="26" t="n">
        <v>6</v>
      </c>
      <c r="AT214" s="26" t="n">
        <v>13</v>
      </c>
      <c r="AU214" s="26" t="n">
        <v>13</v>
      </c>
      <c r="AV214" s="26" t="n">
        <f aca="false">SUM(AL214:AU214)</f>
        <v>119</v>
      </c>
      <c r="AW214" s="32" t="n">
        <f aca="false">IFERROR(AV214/R214*1000000,"")</f>
        <v>14285.7142857143</v>
      </c>
      <c r="AX214" s="33" t="n">
        <f aca="false">IFERROR((R214-AV214)/R214,"")</f>
        <v>0.985714285714286</v>
      </c>
      <c r="AY214" s="34" t="n">
        <f aca="false">IFERROR(AH214*AJ214*AX214,"")</f>
        <v>0.833181126331811</v>
      </c>
      <c r="AZ214" s="35"/>
    </row>
    <row r="215" customFormat="false" ht="12.75" hidden="false" customHeight="true" outlineLevel="0" collapsed="false">
      <c r="A215" s="24" t="n">
        <v>211</v>
      </c>
      <c r="B215" s="25" t="n">
        <v>46093</v>
      </c>
      <c r="C215" s="25" t="n">
        <v>12</v>
      </c>
      <c r="D215" s="26" t="s">
        <v>71</v>
      </c>
      <c r="E215" s="26" t="s">
        <v>72</v>
      </c>
      <c r="F215" s="26" t="s">
        <v>73</v>
      </c>
      <c r="G215" s="26" t="s">
        <v>8</v>
      </c>
      <c r="H215" s="27" t="n">
        <v>0.354166666666667</v>
      </c>
      <c r="I215" s="27" t="n">
        <v>0.854166666666667</v>
      </c>
      <c r="J215" s="26" t="n">
        <f aca="false">IFERROR((I215-H215)*24*60,"")</f>
        <v>720</v>
      </c>
      <c r="K215" s="26" t="s">
        <v>89</v>
      </c>
      <c r="L215" s="26" t="s">
        <v>90</v>
      </c>
      <c r="M215" s="26" t="s">
        <v>76</v>
      </c>
      <c r="N215" s="26" t="s">
        <v>77</v>
      </c>
      <c r="O215" s="26" t="n">
        <v>4</v>
      </c>
      <c r="P215" s="26" t="n">
        <v>64</v>
      </c>
      <c r="Q215" s="26" t="n">
        <f aca="false">IFERROR(3600/(P215/O215),"")</f>
        <v>225</v>
      </c>
      <c r="R215" s="26" t="n">
        <v>2324</v>
      </c>
      <c r="S215" s="26" t="n">
        <v>63</v>
      </c>
      <c r="T215" s="26" t="n">
        <f aca="false">IFERROR(J215-S215,"")</f>
        <v>657</v>
      </c>
      <c r="U215" s="26"/>
      <c r="V215" s="26"/>
      <c r="W215" s="26"/>
      <c r="X215" s="26"/>
      <c r="Y215" s="26"/>
      <c r="Z215" s="26" t="n">
        <v>16</v>
      </c>
      <c r="AA215" s="26"/>
      <c r="AB215" s="26"/>
      <c r="AC215" s="26"/>
      <c r="AD215" s="26"/>
      <c r="AE215" s="26" t="n">
        <v>4</v>
      </c>
      <c r="AF215" s="26" t="n">
        <f aca="false">SUM(U215:AE215)</f>
        <v>20</v>
      </c>
      <c r="AG215" s="26" t="n">
        <f aca="false">T215-AF215</f>
        <v>637</v>
      </c>
      <c r="AH215" s="28" t="n">
        <f aca="false">IFERROR(AG215/T215,"")</f>
        <v>0.969558599695586</v>
      </c>
      <c r="AI215" s="29" t="n">
        <f aca="false">IFERROR(R215/AG215*60,"")</f>
        <v>218.901098901099</v>
      </c>
      <c r="AJ215" s="30" t="n">
        <f aca="false">IFERROR(AI215/Q215,"")</f>
        <v>0.972893772893773</v>
      </c>
      <c r="AK215" s="31" t="n">
        <f aca="false">IFERROR(R215/(T215/60*Q215),"")</f>
        <v>0.943277524099442</v>
      </c>
      <c r="AL215" s="26" t="n">
        <v>1</v>
      </c>
      <c r="AM215" s="26" t="n">
        <v>2</v>
      </c>
      <c r="AN215" s="26" t="n">
        <v>1</v>
      </c>
      <c r="AO215" s="26" t="n">
        <v>1</v>
      </c>
      <c r="AP215" s="26" t="n">
        <v>1</v>
      </c>
      <c r="AQ215" s="26"/>
      <c r="AR215" s="26"/>
      <c r="AS215" s="26"/>
      <c r="AT215" s="26" t="n">
        <v>1</v>
      </c>
      <c r="AU215" s="26" t="n">
        <v>1</v>
      </c>
      <c r="AV215" s="26" t="n">
        <f aca="false">SUM(AL215:AU215)</f>
        <v>8</v>
      </c>
      <c r="AW215" s="32" t="n">
        <f aca="false">IFERROR(AV215/R215*1000000,"")</f>
        <v>3442.34079173838</v>
      </c>
      <c r="AX215" s="33" t="n">
        <f aca="false">IFERROR((R215-AV215)/R215,"")</f>
        <v>0.996557659208262</v>
      </c>
      <c r="AY215" s="34" t="n">
        <f aca="false">IFERROR(AH215*AJ215*AX215,"")</f>
        <v>0.940030441400305</v>
      </c>
      <c r="AZ215" s="35"/>
    </row>
    <row r="216" customFormat="false" ht="12.75" hidden="false" customHeight="true" outlineLevel="0" collapsed="false">
      <c r="A216" s="24" t="n">
        <v>212</v>
      </c>
      <c r="B216" s="25" t="n">
        <v>46093</v>
      </c>
      <c r="C216" s="25" t="n">
        <v>12</v>
      </c>
      <c r="D216" s="26" t="s">
        <v>79</v>
      </c>
      <c r="E216" s="26" t="s">
        <v>80</v>
      </c>
      <c r="F216" s="26" t="s">
        <v>81</v>
      </c>
      <c r="G216" s="26" t="s">
        <v>9</v>
      </c>
      <c r="H216" s="27" t="n">
        <v>0.354166666666667</v>
      </c>
      <c r="I216" s="27" t="n">
        <v>0.854166666666667</v>
      </c>
      <c r="J216" s="26" t="n">
        <f aca="false">IFERROR((I216-H216)*24*60,"")</f>
        <v>720</v>
      </c>
      <c r="K216" s="26" t="s">
        <v>105</v>
      </c>
      <c r="L216" s="26" t="s">
        <v>102</v>
      </c>
      <c r="M216" s="26" t="s">
        <v>84</v>
      </c>
      <c r="N216" s="26" t="s">
        <v>85</v>
      </c>
      <c r="O216" s="26" t="n">
        <v>2</v>
      </c>
      <c r="P216" s="26" t="n">
        <v>54</v>
      </c>
      <c r="Q216" s="26" t="n">
        <f aca="false">IFERROR(3600/(P216/O216),"")</f>
        <v>133.333333333333</v>
      </c>
      <c r="R216" s="26" t="n">
        <v>1124</v>
      </c>
      <c r="S216" s="26" t="n">
        <v>73</v>
      </c>
      <c r="T216" s="26" t="n">
        <f aca="false">IFERROR(J216-S216,"")</f>
        <v>647</v>
      </c>
      <c r="U216" s="26" t="n">
        <v>15</v>
      </c>
      <c r="V216" s="26" t="n">
        <v>37</v>
      </c>
      <c r="W216" s="26"/>
      <c r="X216" s="26"/>
      <c r="Y216" s="26"/>
      <c r="Z216" s="26"/>
      <c r="AA216" s="26"/>
      <c r="AB216" s="26"/>
      <c r="AC216" s="26"/>
      <c r="AD216" s="26" t="n">
        <v>23</v>
      </c>
      <c r="AE216" s="26"/>
      <c r="AF216" s="26" t="n">
        <f aca="false">SUM(U216:AE216)</f>
        <v>75</v>
      </c>
      <c r="AG216" s="26" t="n">
        <f aca="false">T216-AF216</f>
        <v>572</v>
      </c>
      <c r="AH216" s="28" t="n">
        <f aca="false">IFERROR(AG216/T216,"")</f>
        <v>0.884080370942813</v>
      </c>
      <c r="AI216" s="29" t="n">
        <f aca="false">IFERROR(R216/AG216*60,"")</f>
        <v>117.902097902098</v>
      </c>
      <c r="AJ216" s="30" t="n">
        <f aca="false">IFERROR(AI216/Q216,"")</f>
        <v>0.884265734265734</v>
      </c>
      <c r="AK216" s="31" t="n">
        <f aca="false">IFERROR(R216/(T216/60*Q216),"")</f>
        <v>0.781761978361669</v>
      </c>
      <c r="AL216" s="26" t="n">
        <v>1</v>
      </c>
      <c r="AM216" s="26"/>
      <c r="AN216" s="26"/>
      <c r="AO216" s="26" t="n">
        <v>1</v>
      </c>
      <c r="AP216" s="26"/>
      <c r="AQ216" s="26" t="n">
        <v>1</v>
      </c>
      <c r="AR216" s="26" t="n">
        <v>1</v>
      </c>
      <c r="AS216" s="26"/>
      <c r="AT216" s="26" t="n">
        <v>2</v>
      </c>
      <c r="AU216" s="26" t="n">
        <v>1</v>
      </c>
      <c r="AV216" s="26" t="n">
        <f aca="false">SUM(AL216:AU216)</f>
        <v>7</v>
      </c>
      <c r="AW216" s="32" t="n">
        <f aca="false">IFERROR(AV216/R216*1000000,"")</f>
        <v>6227.75800711744</v>
      </c>
      <c r="AX216" s="33" t="n">
        <f aca="false">IFERROR((R216-AV216)/R216,"")</f>
        <v>0.993772241992883</v>
      </c>
      <c r="AY216" s="34" t="n">
        <f aca="false">IFERROR(AH216*AJ216*AX216,"")</f>
        <v>0.776893353941267</v>
      </c>
      <c r="AZ216" s="35" t="s">
        <v>86</v>
      </c>
    </row>
    <row r="217" customFormat="false" ht="12.75" hidden="false" customHeight="true" outlineLevel="0" collapsed="false">
      <c r="A217" s="24" t="n">
        <v>213</v>
      </c>
      <c r="B217" s="25" t="n">
        <v>46093</v>
      </c>
      <c r="C217" s="25" t="n">
        <v>12</v>
      </c>
      <c r="D217" s="26" t="s">
        <v>87</v>
      </c>
      <c r="E217" s="26" t="s">
        <v>88</v>
      </c>
      <c r="F217" s="26" t="s">
        <v>73</v>
      </c>
      <c r="G217" s="26" t="s">
        <v>10</v>
      </c>
      <c r="H217" s="27" t="n">
        <v>0.354166666666667</v>
      </c>
      <c r="I217" s="27" t="n">
        <v>0.854166666666667</v>
      </c>
      <c r="J217" s="26" t="n">
        <f aca="false">IFERROR((I217-H217)*24*60,"")</f>
        <v>720</v>
      </c>
      <c r="K217" s="26" t="s">
        <v>105</v>
      </c>
      <c r="L217" s="26" t="s">
        <v>90</v>
      </c>
      <c r="M217" s="26" t="s">
        <v>91</v>
      </c>
      <c r="N217" s="26" t="s">
        <v>92</v>
      </c>
      <c r="O217" s="26" t="n">
        <v>2</v>
      </c>
      <c r="P217" s="26" t="n">
        <v>35</v>
      </c>
      <c r="Q217" s="26" t="n">
        <f aca="false">IFERROR(3600/(P217/O217),"")</f>
        <v>205.714285714286</v>
      </c>
      <c r="R217" s="26" t="n">
        <v>1455</v>
      </c>
      <c r="S217" s="26" t="n">
        <v>73</v>
      </c>
      <c r="T217" s="26" t="n">
        <f aca="false">IFERROR(J217-S217,"")</f>
        <v>647</v>
      </c>
      <c r="U217" s="26"/>
      <c r="V217" s="26"/>
      <c r="W217" s="26"/>
      <c r="X217" s="26"/>
      <c r="Y217" s="26"/>
      <c r="Z217" s="26" t="n">
        <v>35</v>
      </c>
      <c r="AA217" s="26"/>
      <c r="AB217" s="26"/>
      <c r="AC217" s="26"/>
      <c r="AD217" s="26"/>
      <c r="AE217" s="26"/>
      <c r="AF217" s="26" t="n">
        <f aca="false">SUM(U217:AE217)</f>
        <v>35</v>
      </c>
      <c r="AG217" s="26" t="n">
        <f aca="false">T217-AF217</f>
        <v>612</v>
      </c>
      <c r="AH217" s="28" t="n">
        <f aca="false">IFERROR(AG217/T217,"")</f>
        <v>0.945904173106646</v>
      </c>
      <c r="AI217" s="29" t="n">
        <f aca="false">IFERROR(R217/AG217*60,"")</f>
        <v>142.647058823529</v>
      </c>
      <c r="AJ217" s="30" t="n">
        <f aca="false">IFERROR(AI217/Q217,"")</f>
        <v>0.693423202614379</v>
      </c>
      <c r="AK217" s="31" t="n">
        <f aca="false">IFERROR(R217/(T217/60*Q217),"")</f>
        <v>0.655911901081917</v>
      </c>
      <c r="AL217" s="26" t="n">
        <v>4</v>
      </c>
      <c r="AM217" s="26" t="n">
        <v>2</v>
      </c>
      <c r="AN217" s="26" t="n">
        <v>1</v>
      </c>
      <c r="AO217" s="26" t="n">
        <v>3</v>
      </c>
      <c r="AP217" s="26" t="n">
        <v>6</v>
      </c>
      <c r="AQ217" s="26" t="n">
        <v>5</v>
      </c>
      <c r="AR217" s="26" t="n">
        <v>3</v>
      </c>
      <c r="AS217" s="26" t="n">
        <v>5</v>
      </c>
      <c r="AT217" s="26" t="n">
        <v>2</v>
      </c>
      <c r="AU217" s="26" t="n">
        <v>3</v>
      </c>
      <c r="AV217" s="26" t="n">
        <f aca="false">SUM(AL217:AU217)</f>
        <v>34</v>
      </c>
      <c r="AW217" s="32" t="n">
        <f aca="false">IFERROR(AV217/R217*1000000,"")</f>
        <v>23367.6975945017</v>
      </c>
      <c r="AX217" s="33" t="n">
        <f aca="false">IFERROR((R217-AV217)/R217,"")</f>
        <v>0.976632302405498</v>
      </c>
      <c r="AY217" s="34" t="n">
        <f aca="false">IFERROR(AH217*AJ217*AX217,"")</f>
        <v>0.6405847501288</v>
      </c>
      <c r="AZ217" s="35" t="s">
        <v>93</v>
      </c>
    </row>
    <row r="218" customFormat="false" ht="12.75" hidden="false" customHeight="true" outlineLevel="0" collapsed="false">
      <c r="A218" s="24" t="n">
        <v>214</v>
      </c>
      <c r="B218" s="25" t="n">
        <v>46094</v>
      </c>
      <c r="C218" s="25" t="n">
        <v>12</v>
      </c>
      <c r="D218" s="26" t="s">
        <v>71</v>
      </c>
      <c r="E218" s="26" t="s">
        <v>94</v>
      </c>
      <c r="F218" s="26" t="s">
        <v>81</v>
      </c>
      <c r="G218" s="26" t="s">
        <v>11</v>
      </c>
      <c r="H218" s="27" t="n">
        <v>0.354166666666667</v>
      </c>
      <c r="I218" s="27" t="n">
        <v>0.854166666666667</v>
      </c>
      <c r="J218" s="26" t="n">
        <f aca="false">IFERROR((I218-H218)*24*60,"")</f>
        <v>720</v>
      </c>
      <c r="K218" s="26" t="s">
        <v>89</v>
      </c>
      <c r="L218" s="26" t="s">
        <v>108</v>
      </c>
      <c r="M218" s="26" t="s">
        <v>95</v>
      </c>
      <c r="N218" s="26" t="s">
        <v>96</v>
      </c>
      <c r="O218" s="26" t="n">
        <v>4</v>
      </c>
      <c r="P218" s="26" t="n">
        <v>24</v>
      </c>
      <c r="Q218" s="26" t="n">
        <f aca="false">IFERROR(3600/(P218/O218),"")</f>
        <v>600</v>
      </c>
      <c r="R218" s="26" t="n">
        <v>4656</v>
      </c>
      <c r="S218" s="26" t="n">
        <v>41</v>
      </c>
      <c r="T218" s="26" t="n">
        <f aca="false">IFERROR(J218-S218,"")</f>
        <v>679</v>
      </c>
      <c r="U218" s="26"/>
      <c r="V218" s="26" t="n">
        <v>9</v>
      </c>
      <c r="W218" s="26"/>
      <c r="X218" s="26"/>
      <c r="Y218" s="26"/>
      <c r="Z218" s="26"/>
      <c r="AA218" s="26"/>
      <c r="AB218" s="26"/>
      <c r="AC218" s="26" t="n">
        <v>19</v>
      </c>
      <c r="AD218" s="26"/>
      <c r="AE218" s="26"/>
      <c r="AF218" s="26" t="n">
        <f aca="false">SUM(U218:AE218)</f>
        <v>28</v>
      </c>
      <c r="AG218" s="26" t="n">
        <f aca="false">T218-AF218</f>
        <v>651</v>
      </c>
      <c r="AH218" s="28" t="n">
        <f aca="false">IFERROR(AG218/T218,"")</f>
        <v>0.958762886597938</v>
      </c>
      <c r="AI218" s="29" t="n">
        <f aca="false">IFERROR(R218/AG218*60,"")</f>
        <v>429.124423963134</v>
      </c>
      <c r="AJ218" s="30" t="n">
        <f aca="false">IFERROR(AI218/Q218,"")</f>
        <v>0.715207373271889</v>
      </c>
      <c r="AK218" s="31" t="n">
        <f aca="false">IFERROR(R218/(T218/60*Q218),"")</f>
        <v>0.685714285714286</v>
      </c>
      <c r="AL218" s="26" t="n">
        <v>11</v>
      </c>
      <c r="AM218" s="26" t="n">
        <v>11</v>
      </c>
      <c r="AN218" s="26" t="n">
        <v>16</v>
      </c>
      <c r="AO218" s="26" t="n">
        <v>13</v>
      </c>
      <c r="AP218" s="26" t="n">
        <v>10</v>
      </c>
      <c r="AQ218" s="26" t="n">
        <v>8</v>
      </c>
      <c r="AR218" s="26" t="n">
        <v>15</v>
      </c>
      <c r="AS218" s="26" t="n">
        <v>10</v>
      </c>
      <c r="AT218" s="26" t="n">
        <v>6</v>
      </c>
      <c r="AU218" s="26" t="n">
        <v>5</v>
      </c>
      <c r="AV218" s="26" t="n">
        <f aca="false">SUM(AL218:AU218)</f>
        <v>105</v>
      </c>
      <c r="AW218" s="32" t="n">
        <f aca="false">IFERROR(AV218/R218*1000000,"")</f>
        <v>22551.5463917526</v>
      </c>
      <c r="AX218" s="33" t="n">
        <f aca="false">IFERROR((R218-AV218)/R218,"")</f>
        <v>0.977448453608247</v>
      </c>
      <c r="AY218" s="34" t="n">
        <f aca="false">IFERROR(AH218*AJ218*AX218,"")</f>
        <v>0.670250368188513</v>
      </c>
      <c r="AZ218" s="35" t="s">
        <v>93</v>
      </c>
    </row>
    <row r="219" customFormat="false" ht="12.75" hidden="false" customHeight="true" outlineLevel="0" collapsed="false">
      <c r="A219" s="24" t="n">
        <v>215</v>
      </c>
      <c r="B219" s="25" t="n">
        <v>46094</v>
      </c>
      <c r="C219" s="25" t="n">
        <v>12</v>
      </c>
      <c r="D219" s="26" t="s">
        <v>79</v>
      </c>
      <c r="E219" s="26" t="s">
        <v>97</v>
      </c>
      <c r="F219" s="26" t="s">
        <v>73</v>
      </c>
      <c r="G219" s="26" t="s">
        <v>12</v>
      </c>
      <c r="H219" s="27" t="n">
        <v>0.354166666666667</v>
      </c>
      <c r="I219" s="27" t="n">
        <v>0.854166666666667</v>
      </c>
      <c r="J219" s="26" t="n">
        <f aca="false">IFERROR((I219-H219)*24*60,"")</f>
        <v>720</v>
      </c>
      <c r="K219" s="26" t="s">
        <v>82</v>
      </c>
      <c r="L219" s="26" t="s">
        <v>102</v>
      </c>
      <c r="M219" s="26" t="s">
        <v>99</v>
      </c>
      <c r="N219" s="26" t="s">
        <v>100</v>
      </c>
      <c r="O219" s="26" t="n">
        <v>2</v>
      </c>
      <c r="P219" s="26" t="n">
        <v>45</v>
      </c>
      <c r="Q219" s="26" t="n">
        <f aca="false">IFERROR(3600/(P219/O219),"")</f>
        <v>160</v>
      </c>
      <c r="R219" s="26" t="n">
        <v>1393</v>
      </c>
      <c r="S219" s="26" t="n">
        <v>74</v>
      </c>
      <c r="T219" s="26" t="n">
        <f aca="false">IFERROR(J219-S219,"")</f>
        <v>646</v>
      </c>
      <c r="U219" s="26"/>
      <c r="V219" s="26"/>
      <c r="W219" s="26"/>
      <c r="X219" s="26"/>
      <c r="Y219" s="26"/>
      <c r="Z219" s="26"/>
      <c r="AA219" s="26" t="n">
        <v>19</v>
      </c>
      <c r="AB219" s="26"/>
      <c r="AC219" s="26"/>
      <c r="AD219" s="26"/>
      <c r="AE219" s="26"/>
      <c r="AF219" s="26" t="n">
        <f aca="false">SUM(U219:AE219)</f>
        <v>19</v>
      </c>
      <c r="AG219" s="26" t="n">
        <f aca="false">T219-AF219</f>
        <v>627</v>
      </c>
      <c r="AH219" s="28" t="n">
        <f aca="false">IFERROR(AG219/T219,"")</f>
        <v>0.970588235294118</v>
      </c>
      <c r="AI219" s="29" t="n">
        <f aca="false">IFERROR(R219/AG219*60,"")</f>
        <v>133.301435406699</v>
      </c>
      <c r="AJ219" s="30" t="n">
        <f aca="false">IFERROR(AI219/Q219,"")</f>
        <v>0.833133971291866</v>
      </c>
      <c r="AK219" s="31" t="n">
        <f aca="false">IFERROR(R219/(T219/60*Q219),"")</f>
        <v>0.808630030959752</v>
      </c>
      <c r="AL219" s="26" t="n">
        <v>4</v>
      </c>
      <c r="AM219" s="26" t="n">
        <v>2</v>
      </c>
      <c r="AN219" s="26" t="n">
        <v>2</v>
      </c>
      <c r="AO219" s="26" t="n">
        <v>2</v>
      </c>
      <c r="AP219" s="26" t="n">
        <v>5</v>
      </c>
      <c r="AQ219" s="26" t="n">
        <v>4</v>
      </c>
      <c r="AR219" s="26" t="n">
        <v>2</v>
      </c>
      <c r="AS219" s="26" t="n">
        <v>1</v>
      </c>
      <c r="AT219" s="26"/>
      <c r="AU219" s="26" t="n">
        <v>1</v>
      </c>
      <c r="AV219" s="26" t="n">
        <f aca="false">SUM(AL219:AU219)</f>
        <v>23</v>
      </c>
      <c r="AW219" s="32" t="n">
        <f aca="false">IFERROR(AV219/R219*1000000,"")</f>
        <v>16511.1270638909</v>
      </c>
      <c r="AX219" s="33" t="n">
        <f aca="false">IFERROR((R219-AV219)/R219,"")</f>
        <v>0.983488872936109</v>
      </c>
      <c r="AY219" s="34" t="n">
        <f aca="false">IFERROR(AH219*AJ219*AX219,"")</f>
        <v>0.795278637770898</v>
      </c>
      <c r="AZ219" s="35" t="s">
        <v>93</v>
      </c>
    </row>
    <row r="220" customFormat="false" ht="12.75" hidden="false" customHeight="true" outlineLevel="0" collapsed="false">
      <c r="A220" s="24" t="n">
        <v>216</v>
      </c>
      <c r="B220" s="25" t="n">
        <v>46094</v>
      </c>
      <c r="C220" s="25" t="n">
        <v>12</v>
      </c>
      <c r="D220" s="26" t="s">
        <v>87</v>
      </c>
      <c r="E220" s="26" t="s">
        <v>101</v>
      </c>
      <c r="F220" s="26" t="s">
        <v>81</v>
      </c>
      <c r="G220" s="26" t="s">
        <v>13</v>
      </c>
      <c r="H220" s="27" t="n">
        <v>0.354166666666667</v>
      </c>
      <c r="I220" s="27" t="n">
        <v>0.854166666666667</v>
      </c>
      <c r="J220" s="26" t="n">
        <f aca="false">IFERROR((I220-H220)*24*60,"")</f>
        <v>720</v>
      </c>
      <c r="K220" s="26" t="s">
        <v>82</v>
      </c>
      <c r="L220" s="26" t="s">
        <v>98</v>
      </c>
      <c r="M220" s="26" t="s">
        <v>103</v>
      </c>
      <c r="N220" s="26" t="s">
        <v>104</v>
      </c>
      <c r="O220" s="26" t="n">
        <v>1</v>
      </c>
      <c r="P220" s="26" t="n">
        <v>30</v>
      </c>
      <c r="Q220" s="26" t="n">
        <f aca="false">IFERROR(3600/(P220/O220),"")</f>
        <v>120</v>
      </c>
      <c r="R220" s="26" t="n">
        <v>1168</v>
      </c>
      <c r="S220" s="26" t="n">
        <v>51</v>
      </c>
      <c r="T220" s="26" t="n">
        <f aca="false">IFERROR(J220-S220,"")</f>
        <v>669</v>
      </c>
      <c r="U220" s="26"/>
      <c r="V220" s="26"/>
      <c r="W220" s="26" t="n">
        <v>20</v>
      </c>
      <c r="X220" s="26"/>
      <c r="Y220" s="26"/>
      <c r="Z220" s="26" t="n">
        <v>28</v>
      </c>
      <c r="AA220" s="26"/>
      <c r="AB220" s="26"/>
      <c r="AC220" s="26"/>
      <c r="AD220" s="26"/>
      <c r="AE220" s="26"/>
      <c r="AF220" s="26" t="n">
        <f aca="false">SUM(U220:AE220)</f>
        <v>48</v>
      </c>
      <c r="AG220" s="26" t="n">
        <f aca="false">T220-AF220</f>
        <v>621</v>
      </c>
      <c r="AH220" s="28" t="n">
        <f aca="false">IFERROR(AG220/T220,"")</f>
        <v>0.928251121076233</v>
      </c>
      <c r="AI220" s="29" t="n">
        <f aca="false">IFERROR(R220/AG220*60,"")</f>
        <v>112.850241545894</v>
      </c>
      <c r="AJ220" s="30" t="n">
        <f aca="false">IFERROR(AI220/Q220,"")</f>
        <v>0.940418679549114</v>
      </c>
      <c r="AK220" s="31" t="n">
        <f aca="false">IFERROR(R220/(T220/60*Q220),"")</f>
        <v>0.872944693572496</v>
      </c>
      <c r="AL220" s="26" t="n">
        <v>1</v>
      </c>
      <c r="AM220" s="26" t="n">
        <v>5</v>
      </c>
      <c r="AN220" s="26" t="n">
        <v>1</v>
      </c>
      <c r="AO220" s="26" t="n">
        <v>4</v>
      </c>
      <c r="AP220" s="26" t="n">
        <v>1</v>
      </c>
      <c r="AQ220" s="26" t="n">
        <v>1</v>
      </c>
      <c r="AR220" s="26" t="n">
        <v>1</v>
      </c>
      <c r="AS220" s="26" t="n">
        <v>1</v>
      </c>
      <c r="AT220" s="26" t="n">
        <v>2</v>
      </c>
      <c r="AU220" s="26" t="n">
        <v>5</v>
      </c>
      <c r="AV220" s="26" t="n">
        <f aca="false">SUM(AL220:AU220)</f>
        <v>22</v>
      </c>
      <c r="AW220" s="32" t="n">
        <f aca="false">IFERROR(AV220/R220*1000000,"")</f>
        <v>18835.6164383562</v>
      </c>
      <c r="AX220" s="33" t="n">
        <f aca="false">IFERROR((R220-AV220)/R220,"")</f>
        <v>0.981164383561644</v>
      </c>
      <c r="AY220" s="34" t="n">
        <f aca="false">IFERROR(AH220*AJ220*AX220,"")</f>
        <v>0.856502242152466</v>
      </c>
      <c r="AZ220" s="35"/>
    </row>
    <row r="221" customFormat="false" ht="12.75" hidden="false" customHeight="true" outlineLevel="0" collapsed="false">
      <c r="A221" s="24" t="n">
        <v>217</v>
      </c>
      <c r="B221" s="25" t="n">
        <v>46095</v>
      </c>
      <c r="C221" s="25" t="n">
        <v>12</v>
      </c>
      <c r="D221" s="26" t="s">
        <v>71</v>
      </c>
      <c r="E221" s="26" t="s">
        <v>72</v>
      </c>
      <c r="F221" s="26" t="s">
        <v>73</v>
      </c>
      <c r="G221" s="26" t="s">
        <v>8</v>
      </c>
      <c r="H221" s="27" t="n">
        <v>0.354166666666667</v>
      </c>
      <c r="I221" s="27" t="n">
        <v>0.854166666666667</v>
      </c>
      <c r="J221" s="26" t="n">
        <f aca="false">IFERROR((I221-H221)*24*60,"")</f>
        <v>720</v>
      </c>
      <c r="K221" s="26" t="s">
        <v>82</v>
      </c>
      <c r="L221" s="26" t="s">
        <v>98</v>
      </c>
      <c r="M221" s="26" t="s">
        <v>76</v>
      </c>
      <c r="N221" s="26" t="s">
        <v>77</v>
      </c>
      <c r="O221" s="26" t="n">
        <v>2</v>
      </c>
      <c r="P221" s="26" t="n">
        <v>26</v>
      </c>
      <c r="Q221" s="26" t="n">
        <f aca="false">IFERROR(3600/(P221/O221),"")</f>
        <v>276.923076923077</v>
      </c>
      <c r="R221" s="26" t="n">
        <v>2110</v>
      </c>
      <c r="S221" s="26" t="n">
        <v>42</v>
      </c>
      <c r="T221" s="26" t="n">
        <f aca="false">IFERROR(J221-S221,"")</f>
        <v>678</v>
      </c>
      <c r="U221" s="26"/>
      <c r="V221" s="26"/>
      <c r="W221" s="26"/>
      <c r="X221" s="26"/>
      <c r="Y221" s="26" t="n">
        <v>38</v>
      </c>
      <c r="Z221" s="26" t="n">
        <v>20</v>
      </c>
      <c r="AA221" s="26"/>
      <c r="AB221" s="26"/>
      <c r="AC221" s="26"/>
      <c r="AD221" s="26"/>
      <c r="AE221" s="26"/>
      <c r="AF221" s="26" t="n">
        <f aca="false">SUM(U221:AE221)</f>
        <v>58</v>
      </c>
      <c r="AG221" s="26" t="n">
        <f aca="false">T221-AF221</f>
        <v>620</v>
      </c>
      <c r="AH221" s="28" t="n">
        <f aca="false">IFERROR(AG221/T221,"")</f>
        <v>0.914454277286136</v>
      </c>
      <c r="AI221" s="29" t="n">
        <f aca="false">IFERROR(R221/AG221*60,"")</f>
        <v>204.193548387097</v>
      </c>
      <c r="AJ221" s="30" t="n">
        <f aca="false">IFERROR(AI221/Q221,"")</f>
        <v>0.73736559139785</v>
      </c>
      <c r="AK221" s="31" t="n">
        <f aca="false">IFERROR(R221/(T221/60*Q221),"")</f>
        <v>0.674287118977385</v>
      </c>
      <c r="AL221" s="26" t="n">
        <v>5</v>
      </c>
      <c r="AM221" s="26" t="n">
        <v>3</v>
      </c>
      <c r="AN221" s="26" t="n">
        <v>5</v>
      </c>
      <c r="AO221" s="26" t="n">
        <v>4</v>
      </c>
      <c r="AP221" s="26" t="n">
        <v>5</v>
      </c>
      <c r="AQ221" s="26"/>
      <c r="AR221" s="26" t="n">
        <v>6</v>
      </c>
      <c r="AS221" s="26" t="n">
        <v>5</v>
      </c>
      <c r="AT221" s="26" t="n">
        <v>9</v>
      </c>
      <c r="AU221" s="26" t="n">
        <v>5</v>
      </c>
      <c r="AV221" s="26" t="n">
        <f aca="false">SUM(AL221:AU221)</f>
        <v>47</v>
      </c>
      <c r="AW221" s="32" t="n">
        <f aca="false">IFERROR(AV221/R221*1000000,"")</f>
        <v>22274.8815165877</v>
      </c>
      <c r="AX221" s="33" t="n">
        <f aca="false">IFERROR((R221-AV221)/R221,"")</f>
        <v>0.977725118483412</v>
      </c>
      <c r="AY221" s="34" t="n">
        <f aca="false">IFERROR(AH221*AJ221*AX221,"")</f>
        <v>0.659267453294002</v>
      </c>
      <c r="AZ221" s="35" t="s">
        <v>78</v>
      </c>
    </row>
    <row r="222" customFormat="false" ht="12.75" hidden="false" customHeight="true" outlineLevel="0" collapsed="false">
      <c r="A222" s="24" t="n">
        <v>218</v>
      </c>
      <c r="B222" s="25" t="n">
        <v>46095</v>
      </c>
      <c r="C222" s="25" t="n">
        <v>12</v>
      </c>
      <c r="D222" s="26" t="s">
        <v>79</v>
      </c>
      <c r="E222" s="26" t="s">
        <v>80</v>
      </c>
      <c r="F222" s="26" t="s">
        <v>81</v>
      </c>
      <c r="G222" s="26" t="s">
        <v>9</v>
      </c>
      <c r="H222" s="27" t="n">
        <v>0.354166666666667</v>
      </c>
      <c r="I222" s="27" t="n">
        <v>0.854166666666667</v>
      </c>
      <c r="J222" s="26" t="n">
        <f aca="false">IFERROR((I222-H222)*24*60,"")</f>
        <v>720</v>
      </c>
      <c r="K222" s="26" t="s">
        <v>82</v>
      </c>
      <c r="L222" s="26" t="s">
        <v>83</v>
      </c>
      <c r="M222" s="26" t="s">
        <v>84</v>
      </c>
      <c r="N222" s="26" t="s">
        <v>85</v>
      </c>
      <c r="O222" s="26" t="n">
        <v>1</v>
      </c>
      <c r="P222" s="26" t="n">
        <v>58</v>
      </c>
      <c r="Q222" s="26" t="n">
        <f aca="false">IFERROR(3600/(P222/O222),"")</f>
        <v>62.0689655172414</v>
      </c>
      <c r="R222" s="26" t="n">
        <v>530</v>
      </c>
      <c r="S222" s="26" t="n">
        <v>40</v>
      </c>
      <c r="T222" s="26" t="n">
        <f aca="false">IFERROR(J222-S222,"")</f>
        <v>680</v>
      </c>
      <c r="U222" s="26"/>
      <c r="V222" s="26"/>
      <c r="W222" s="26"/>
      <c r="X222" s="26"/>
      <c r="Y222" s="26" t="n">
        <v>7</v>
      </c>
      <c r="Z222" s="26"/>
      <c r="AA222" s="26"/>
      <c r="AB222" s="26"/>
      <c r="AC222" s="26"/>
      <c r="AD222" s="26"/>
      <c r="AE222" s="26"/>
      <c r="AF222" s="26" t="n">
        <f aca="false">SUM(U222:AE222)</f>
        <v>7</v>
      </c>
      <c r="AG222" s="26" t="n">
        <f aca="false">T222-AF222</f>
        <v>673</v>
      </c>
      <c r="AH222" s="28" t="n">
        <f aca="false">IFERROR(AG222/T222,"")</f>
        <v>0.989705882352941</v>
      </c>
      <c r="AI222" s="29" t="n">
        <f aca="false">IFERROR(R222/AG222*60,"")</f>
        <v>47.2511144130758</v>
      </c>
      <c r="AJ222" s="30" t="n">
        <f aca="false">IFERROR(AI222/Q222,"")</f>
        <v>0.761267954432888</v>
      </c>
      <c r="AK222" s="31" t="n">
        <f aca="false">IFERROR(R222/(T222/60*Q222),"")</f>
        <v>0.75343137254902</v>
      </c>
      <c r="AL222" s="26" t="n">
        <v>2</v>
      </c>
      <c r="AM222" s="26" t="n">
        <v>2</v>
      </c>
      <c r="AN222" s="26"/>
      <c r="AO222" s="26" t="n">
        <v>2</v>
      </c>
      <c r="AP222" s="26" t="n">
        <v>1</v>
      </c>
      <c r="AQ222" s="26" t="n">
        <v>3</v>
      </c>
      <c r="AR222" s="26"/>
      <c r="AS222" s="26"/>
      <c r="AT222" s="26" t="n">
        <v>1</v>
      </c>
      <c r="AU222" s="26" t="n">
        <v>1</v>
      </c>
      <c r="AV222" s="26" t="n">
        <f aca="false">SUM(AL222:AU222)</f>
        <v>12</v>
      </c>
      <c r="AW222" s="32" t="n">
        <f aca="false">IFERROR(AV222/R222*1000000,"")</f>
        <v>22641.5094339623</v>
      </c>
      <c r="AX222" s="33" t="n">
        <f aca="false">IFERROR((R222-AV222)/R222,"")</f>
        <v>0.977358490566038</v>
      </c>
      <c r="AY222" s="34" t="n">
        <f aca="false">IFERROR(AH222*AJ222*AX222,"")</f>
        <v>0.736372549019608</v>
      </c>
      <c r="AZ222" s="35"/>
    </row>
    <row r="223" customFormat="false" ht="12.75" hidden="false" customHeight="true" outlineLevel="0" collapsed="false">
      <c r="A223" s="24" t="n">
        <v>219</v>
      </c>
      <c r="B223" s="25" t="n">
        <v>46095</v>
      </c>
      <c r="C223" s="25" t="n">
        <v>12</v>
      </c>
      <c r="D223" s="26" t="s">
        <v>87</v>
      </c>
      <c r="E223" s="26" t="s">
        <v>88</v>
      </c>
      <c r="F223" s="26" t="s">
        <v>73</v>
      </c>
      <c r="G223" s="26" t="s">
        <v>10</v>
      </c>
      <c r="H223" s="27" t="n">
        <v>0.354166666666667</v>
      </c>
      <c r="I223" s="27" t="n">
        <v>0.854166666666667</v>
      </c>
      <c r="J223" s="26" t="n">
        <f aca="false">IFERROR((I223-H223)*24*60,"")</f>
        <v>720</v>
      </c>
      <c r="K223" s="26" t="s">
        <v>105</v>
      </c>
      <c r="L223" s="26" t="s">
        <v>98</v>
      </c>
      <c r="M223" s="26" t="s">
        <v>91</v>
      </c>
      <c r="N223" s="26" t="s">
        <v>92</v>
      </c>
      <c r="O223" s="26" t="n">
        <v>4</v>
      </c>
      <c r="P223" s="26" t="n">
        <v>27</v>
      </c>
      <c r="Q223" s="26" t="n">
        <f aca="false">IFERROR(3600/(P223/O223),"")</f>
        <v>533.333333333333</v>
      </c>
      <c r="R223" s="26" t="n">
        <v>4974</v>
      </c>
      <c r="S223" s="26" t="n">
        <v>69</v>
      </c>
      <c r="T223" s="26" t="n">
        <f aca="false">IFERROR(J223-S223,"")</f>
        <v>651</v>
      </c>
      <c r="U223" s="26"/>
      <c r="V223" s="26"/>
      <c r="W223" s="26"/>
      <c r="X223" s="26" t="n">
        <v>14</v>
      </c>
      <c r="Y223" s="26"/>
      <c r="Z223" s="26"/>
      <c r="AA223" s="26"/>
      <c r="AB223" s="26"/>
      <c r="AC223" s="26"/>
      <c r="AD223" s="26"/>
      <c r="AE223" s="26"/>
      <c r="AF223" s="26" t="n">
        <f aca="false">SUM(U223:AE223)</f>
        <v>14</v>
      </c>
      <c r="AG223" s="26" t="n">
        <f aca="false">T223-AF223</f>
        <v>637</v>
      </c>
      <c r="AH223" s="28" t="n">
        <f aca="false">IFERROR(AG223/T223,"")</f>
        <v>0.978494623655914</v>
      </c>
      <c r="AI223" s="29" t="n">
        <f aca="false">IFERROR(R223/AG223*60,"")</f>
        <v>468.50863422292</v>
      </c>
      <c r="AJ223" s="30" t="n">
        <f aca="false">IFERROR(AI223/Q223,"")</f>
        <v>0.878453689167975</v>
      </c>
      <c r="AK223" s="31" t="n">
        <f aca="false">IFERROR(R223/(T223/60*Q223),"")</f>
        <v>0.859562211981567</v>
      </c>
      <c r="AL223" s="26" t="n">
        <v>11</v>
      </c>
      <c r="AM223" s="26" t="n">
        <v>11</v>
      </c>
      <c r="AN223" s="26" t="n">
        <v>16</v>
      </c>
      <c r="AO223" s="26" t="n">
        <v>10</v>
      </c>
      <c r="AP223" s="26" t="n">
        <v>9</v>
      </c>
      <c r="AQ223" s="26" t="n">
        <v>4</v>
      </c>
      <c r="AR223" s="26" t="n">
        <v>8</v>
      </c>
      <c r="AS223" s="26" t="n">
        <v>10</v>
      </c>
      <c r="AT223" s="26" t="n">
        <v>6</v>
      </c>
      <c r="AU223" s="26" t="n">
        <v>8</v>
      </c>
      <c r="AV223" s="26" t="n">
        <f aca="false">SUM(AL223:AU223)</f>
        <v>93</v>
      </c>
      <c r="AW223" s="32" t="n">
        <f aca="false">IFERROR(AV223/R223*1000000,"")</f>
        <v>18697.2255729795</v>
      </c>
      <c r="AX223" s="33" t="n">
        <f aca="false">IFERROR((R223-AV223)/R223,"")</f>
        <v>0.981302774427021</v>
      </c>
      <c r="AY223" s="34" t="n">
        <f aca="false">IFERROR(AH223*AJ223*AX223,"")</f>
        <v>0.843490783410138</v>
      </c>
      <c r="AZ223" s="35" t="s">
        <v>78</v>
      </c>
    </row>
    <row r="224" customFormat="false" ht="12.75" hidden="false" customHeight="true" outlineLevel="0" collapsed="false">
      <c r="A224" s="24" t="n">
        <v>220</v>
      </c>
      <c r="B224" s="25" t="n">
        <v>46096</v>
      </c>
      <c r="C224" s="25" t="n">
        <v>12</v>
      </c>
      <c r="D224" s="26" t="s">
        <v>71</v>
      </c>
      <c r="E224" s="26" t="s">
        <v>94</v>
      </c>
      <c r="F224" s="26" t="s">
        <v>81</v>
      </c>
      <c r="G224" s="26" t="s">
        <v>11</v>
      </c>
      <c r="H224" s="27" t="n">
        <v>0.354166666666667</v>
      </c>
      <c r="I224" s="27" t="n">
        <v>0.854166666666667</v>
      </c>
      <c r="J224" s="26" t="n">
        <f aca="false">IFERROR((I224-H224)*24*60,"")</f>
        <v>720</v>
      </c>
      <c r="K224" s="26" t="s">
        <v>82</v>
      </c>
      <c r="L224" s="26" t="s">
        <v>107</v>
      </c>
      <c r="M224" s="26" t="s">
        <v>95</v>
      </c>
      <c r="N224" s="26" t="s">
        <v>96</v>
      </c>
      <c r="O224" s="26" t="n">
        <v>2</v>
      </c>
      <c r="P224" s="26" t="n">
        <v>24</v>
      </c>
      <c r="Q224" s="26" t="n">
        <f aca="false">IFERROR(3600/(P224/O224),"")</f>
        <v>300</v>
      </c>
      <c r="R224" s="26" t="n">
        <v>3037</v>
      </c>
      <c r="S224" s="26" t="n">
        <v>62</v>
      </c>
      <c r="T224" s="26" t="n">
        <f aca="false">IFERROR(J224-S224,"")</f>
        <v>658</v>
      </c>
      <c r="U224" s="26"/>
      <c r="V224" s="26"/>
      <c r="W224" s="26"/>
      <c r="X224" s="26"/>
      <c r="Y224" s="26"/>
      <c r="Z224" s="26"/>
      <c r="AA224" s="26" t="n">
        <v>10</v>
      </c>
      <c r="AB224" s="26"/>
      <c r="AC224" s="26"/>
      <c r="AD224" s="26"/>
      <c r="AE224" s="26"/>
      <c r="AF224" s="26" t="n">
        <f aca="false">SUM(U224:AE224)</f>
        <v>10</v>
      </c>
      <c r="AG224" s="26" t="n">
        <f aca="false">T224-AF224</f>
        <v>648</v>
      </c>
      <c r="AH224" s="28" t="n">
        <f aca="false">IFERROR(AG224/T224,"")</f>
        <v>0.984802431610942</v>
      </c>
      <c r="AI224" s="29" t="n">
        <f aca="false">IFERROR(R224/AG224*60,"")</f>
        <v>281.203703703704</v>
      </c>
      <c r="AJ224" s="30" t="n">
        <f aca="false">IFERROR(AI224/Q224,"")</f>
        <v>0.937345679012346</v>
      </c>
      <c r="AK224" s="31" t="n">
        <f aca="false">IFERROR(R224/(T224/60*Q224),"")</f>
        <v>0.923100303951368</v>
      </c>
      <c r="AL224" s="26" t="n">
        <v>1</v>
      </c>
      <c r="AM224" s="26" t="n">
        <v>6</v>
      </c>
      <c r="AN224" s="26" t="n">
        <v>5</v>
      </c>
      <c r="AO224" s="26" t="n">
        <v>2</v>
      </c>
      <c r="AP224" s="26" t="n">
        <v>4</v>
      </c>
      <c r="AQ224" s="26" t="n">
        <v>5</v>
      </c>
      <c r="AR224" s="26" t="n">
        <v>3</v>
      </c>
      <c r="AS224" s="26" t="n">
        <v>1</v>
      </c>
      <c r="AT224" s="26" t="n">
        <v>1</v>
      </c>
      <c r="AU224" s="26" t="n">
        <v>4</v>
      </c>
      <c r="AV224" s="26" t="n">
        <f aca="false">SUM(AL224:AU224)</f>
        <v>32</v>
      </c>
      <c r="AW224" s="32" t="n">
        <f aca="false">IFERROR(AV224/R224*1000000,"")</f>
        <v>10536.7138623642</v>
      </c>
      <c r="AX224" s="33" t="n">
        <f aca="false">IFERROR((R224-AV224)/R224,"")</f>
        <v>0.989463286137636</v>
      </c>
      <c r="AY224" s="34" t="n">
        <f aca="false">IFERROR(AH224*AJ224*AX224,"")</f>
        <v>0.913373860182371</v>
      </c>
      <c r="AZ224" s="35" t="s">
        <v>93</v>
      </c>
    </row>
    <row r="225" customFormat="false" ht="12.75" hidden="false" customHeight="true" outlineLevel="0" collapsed="false">
      <c r="A225" s="24" t="n">
        <v>221</v>
      </c>
      <c r="B225" s="25" t="n">
        <v>46096</v>
      </c>
      <c r="C225" s="25" t="n">
        <v>12</v>
      </c>
      <c r="D225" s="26" t="s">
        <v>79</v>
      </c>
      <c r="E225" s="26" t="s">
        <v>97</v>
      </c>
      <c r="F225" s="26" t="s">
        <v>73</v>
      </c>
      <c r="G225" s="26" t="s">
        <v>12</v>
      </c>
      <c r="H225" s="27" t="n">
        <v>0.354166666666667</v>
      </c>
      <c r="I225" s="27" t="n">
        <v>0.854166666666667</v>
      </c>
      <c r="J225" s="26" t="n">
        <f aca="false">IFERROR((I225-H225)*24*60,"")</f>
        <v>720</v>
      </c>
      <c r="K225" s="26" t="s">
        <v>74</v>
      </c>
      <c r="L225" s="26" t="s">
        <v>107</v>
      </c>
      <c r="M225" s="26" t="s">
        <v>99</v>
      </c>
      <c r="N225" s="26" t="s">
        <v>100</v>
      </c>
      <c r="O225" s="26" t="n">
        <v>4</v>
      </c>
      <c r="P225" s="26" t="n">
        <v>75</v>
      </c>
      <c r="Q225" s="26" t="n">
        <f aca="false">IFERROR(3600/(P225/O225),"")</f>
        <v>192</v>
      </c>
      <c r="R225" s="26" t="n">
        <v>1963</v>
      </c>
      <c r="S225" s="26" t="n">
        <v>61</v>
      </c>
      <c r="T225" s="26" t="n">
        <f aca="false">IFERROR(J225-S225,"")</f>
        <v>659</v>
      </c>
      <c r="U225" s="26" t="n">
        <v>28</v>
      </c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 t="n">
        <f aca="false">SUM(U225:AE225)</f>
        <v>28</v>
      </c>
      <c r="AG225" s="26" t="n">
        <f aca="false">T225-AF225</f>
        <v>631</v>
      </c>
      <c r="AH225" s="28" t="n">
        <f aca="false">IFERROR(AG225/T225,"")</f>
        <v>0.957511380880121</v>
      </c>
      <c r="AI225" s="29" t="n">
        <f aca="false">IFERROR(R225/AG225*60,"")</f>
        <v>186.656101426307</v>
      </c>
      <c r="AJ225" s="30" t="n">
        <f aca="false">IFERROR(AI225/Q225,"")</f>
        <v>0.972167194928685</v>
      </c>
      <c r="AK225" s="31" t="n">
        <f aca="false">IFERROR(R225/(T225/60*Q225),"")</f>
        <v>0.930861153262519</v>
      </c>
      <c r="AL225" s="26"/>
      <c r="AM225" s="26" t="n">
        <v>4</v>
      </c>
      <c r="AN225" s="26" t="n">
        <v>7</v>
      </c>
      <c r="AO225" s="26" t="n">
        <v>2</v>
      </c>
      <c r="AP225" s="26" t="n">
        <v>1</v>
      </c>
      <c r="AQ225" s="26" t="n">
        <v>5</v>
      </c>
      <c r="AR225" s="26" t="n">
        <v>9</v>
      </c>
      <c r="AS225" s="26" t="n">
        <v>6</v>
      </c>
      <c r="AT225" s="26" t="n">
        <v>5</v>
      </c>
      <c r="AU225" s="26" t="n">
        <v>3</v>
      </c>
      <c r="AV225" s="26" t="n">
        <f aca="false">SUM(AL225:AU225)</f>
        <v>42</v>
      </c>
      <c r="AW225" s="32" t="n">
        <f aca="false">IFERROR(AV225/R225*1000000,"")</f>
        <v>21395.822720326</v>
      </c>
      <c r="AX225" s="33" t="n">
        <f aca="false">IFERROR((R225-AV225)/R225,"")</f>
        <v>0.978604177279674</v>
      </c>
      <c r="AY225" s="34" t="n">
        <f aca="false">IFERROR(AH225*AJ225*AX225,"")</f>
        <v>0.910944613050076</v>
      </c>
      <c r="AZ225" s="35" t="s">
        <v>86</v>
      </c>
    </row>
    <row r="226" customFormat="false" ht="12.75" hidden="false" customHeight="true" outlineLevel="0" collapsed="false">
      <c r="A226" s="24" t="n">
        <v>222</v>
      </c>
      <c r="B226" s="25" t="n">
        <v>46096</v>
      </c>
      <c r="C226" s="25" t="n">
        <v>12</v>
      </c>
      <c r="D226" s="26" t="s">
        <v>87</v>
      </c>
      <c r="E226" s="26" t="s">
        <v>101</v>
      </c>
      <c r="F226" s="26" t="s">
        <v>81</v>
      </c>
      <c r="G226" s="26" t="s">
        <v>13</v>
      </c>
      <c r="H226" s="27" t="n">
        <v>0.354166666666667</v>
      </c>
      <c r="I226" s="27" t="n">
        <v>0.854166666666667</v>
      </c>
      <c r="J226" s="26" t="n">
        <f aca="false">IFERROR((I226-H226)*24*60,"")</f>
        <v>720</v>
      </c>
      <c r="K226" s="26" t="s">
        <v>74</v>
      </c>
      <c r="L226" s="26" t="s">
        <v>107</v>
      </c>
      <c r="M226" s="26" t="s">
        <v>103</v>
      </c>
      <c r="N226" s="26" t="s">
        <v>104</v>
      </c>
      <c r="O226" s="26" t="n">
        <v>2</v>
      </c>
      <c r="P226" s="26" t="n">
        <v>25</v>
      </c>
      <c r="Q226" s="26" t="n">
        <f aca="false">IFERROR(3600/(P226/O226),"")</f>
        <v>288</v>
      </c>
      <c r="R226" s="26" t="n">
        <v>2647</v>
      </c>
      <c r="S226" s="26" t="n">
        <v>53</v>
      </c>
      <c r="T226" s="26" t="n">
        <f aca="false">IFERROR(J226-S226,"")</f>
        <v>667</v>
      </c>
      <c r="U226" s="26"/>
      <c r="V226" s="26" t="n">
        <v>3</v>
      </c>
      <c r="W226" s="26"/>
      <c r="X226" s="26"/>
      <c r="Y226" s="26"/>
      <c r="Z226" s="26" t="n">
        <v>3</v>
      </c>
      <c r="AA226" s="26"/>
      <c r="AB226" s="26"/>
      <c r="AC226" s="26"/>
      <c r="AD226" s="26"/>
      <c r="AE226" s="26"/>
      <c r="AF226" s="26" t="n">
        <f aca="false">SUM(U226:AE226)</f>
        <v>6</v>
      </c>
      <c r="AG226" s="26" t="n">
        <f aca="false">T226-AF226</f>
        <v>661</v>
      </c>
      <c r="AH226" s="28" t="n">
        <f aca="false">IFERROR(AG226/T226,"")</f>
        <v>0.991004497751124</v>
      </c>
      <c r="AI226" s="29" t="n">
        <f aca="false">IFERROR(R226/AG226*60,"")</f>
        <v>240.272314674735</v>
      </c>
      <c r="AJ226" s="30" t="n">
        <f aca="false">IFERROR(AI226/Q226,"")</f>
        <v>0.834278870398386</v>
      </c>
      <c r="AK226" s="31" t="n">
        <f aca="false">IFERROR(R226/(T226/60*Q226),"")</f>
        <v>0.826774112943528</v>
      </c>
      <c r="AL226" s="26" t="n">
        <v>4</v>
      </c>
      <c r="AM226" s="26" t="n">
        <v>3</v>
      </c>
      <c r="AN226" s="26" t="n">
        <v>6</v>
      </c>
      <c r="AO226" s="26" t="n">
        <v>3</v>
      </c>
      <c r="AP226" s="26" t="n">
        <v>1</v>
      </c>
      <c r="AQ226" s="26" t="n">
        <v>2</v>
      </c>
      <c r="AR226" s="26" t="n">
        <v>3</v>
      </c>
      <c r="AS226" s="26" t="n">
        <v>2</v>
      </c>
      <c r="AT226" s="26" t="n">
        <v>1</v>
      </c>
      <c r="AU226" s="26" t="n">
        <v>2</v>
      </c>
      <c r="AV226" s="26" t="n">
        <f aca="false">SUM(AL226:AU226)</f>
        <v>27</v>
      </c>
      <c r="AW226" s="32" t="n">
        <f aca="false">IFERROR(AV226/R226*1000000,"")</f>
        <v>10200.2266717038</v>
      </c>
      <c r="AX226" s="33" t="n">
        <f aca="false">IFERROR((R226-AV226)/R226,"")</f>
        <v>0.989799773328296</v>
      </c>
      <c r="AY226" s="34" t="n">
        <f aca="false">IFERROR(AH226*AJ226*AX226,"")</f>
        <v>0.818340829585207</v>
      </c>
      <c r="AZ226" s="35" t="s">
        <v>86</v>
      </c>
    </row>
    <row r="227" customFormat="false" ht="12.75" hidden="false" customHeight="true" outlineLevel="0" collapsed="false">
      <c r="A227" s="24" t="n">
        <v>223</v>
      </c>
      <c r="B227" s="25" t="n">
        <v>46097</v>
      </c>
      <c r="C227" s="25" t="n">
        <v>12</v>
      </c>
      <c r="D227" s="26" t="s">
        <v>71</v>
      </c>
      <c r="E227" s="26" t="s">
        <v>72</v>
      </c>
      <c r="F227" s="26" t="s">
        <v>73</v>
      </c>
      <c r="G227" s="26" t="s">
        <v>8</v>
      </c>
      <c r="H227" s="27" t="n">
        <v>0.354166666666667</v>
      </c>
      <c r="I227" s="27" t="n">
        <v>0.854166666666667</v>
      </c>
      <c r="J227" s="26" t="n">
        <f aca="false">IFERROR((I227-H227)*24*60,"")</f>
        <v>720</v>
      </c>
      <c r="K227" s="26" t="s">
        <v>74</v>
      </c>
      <c r="L227" s="26" t="s">
        <v>102</v>
      </c>
      <c r="M227" s="26" t="s">
        <v>76</v>
      </c>
      <c r="N227" s="26" t="s">
        <v>77</v>
      </c>
      <c r="O227" s="26" t="n">
        <v>8</v>
      </c>
      <c r="P227" s="26" t="n">
        <v>33</v>
      </c>
      <c r="Q227" s="26" t="n">
        <f aca="false">IFERROR(3600/(P227/O227),"")</f>
        <v>872.727272727273</v>
      </c>
      <c r="R227" s="26" t="n">
        <v>9549</v>
      </c>
      <c r="S227" s="26" t="n">
        <v>34</v>
      </c>
      <c r="T227" s="26" t="n">
        <f aca="false">IFERROR(J227-S227,"")</f>
        <v>686</v>
      </c>
      <c r="U227" s="26"/>
      <c r="V227" s="26"/>
      <c r="W227" s="26" t="n">
        <v>5</v>
      </c>
      <c r="X227" s="26"/>
      <c r="Y227" s="26"/>
      <c r="Z227" s="26"/>
      <c r="AA227" s="26"/>
      <c r="AB227" s="26" t="n">
        <v>3</v>
      </c>
      <c r="AC227" s="26"/>
      <c r="AD227" s="26"/>
      <c r="AE227" s="26"/>
      <c r="AF227" s="26" t="n">
        <f aca="false">SUM(U227:AE227)</f>
        <v>8</v>
      </c>
      <c r="AG227" s="26" t="n">
        <f aca="false">T227-AF227</f>
        <v>678</v>
      </c>
      <c r="AH227" s="28" t="n">
        <f aca="false">IFERROR(AG227/T227,"")</f>
        <v>0.988338192419825</v>
      </c>
      <c r="AI227" s="29" t="n">
        <f aca="false">IFERROR(R227/AG227*60,"")</f>
        <v>845.044247787611</v>
      </c>
      <c r="AJ227" s="30" t="n">
        <f aca="false">IFERROR(AI227/Q227,"")</f>
        <v>0.968279867256637</v>
      </c>
      <c r="AK227" s="31" t="n">
        <f aca="false">IFERROR(R227/(T227/60*Q227),"")</f>
        <v>0.956987973760933</v>
      </c>
      <c r="AL227" s="26" t="n">
        <v>15</v>
      </c>
      <c r="AM227" s="26" t="n">
        <v>12</v>
      </c>
      <c r="AN227" s="26" t="n">
        <v>11</v>
      </c>
      <c r="AO227" s="26" t="n">
        <v>10</v>
      </c>
      <c r="AP227" s="26" t="n">
        <v>11</v>
      </c>
      <c r="AQ227" s="26" t="n">
        <v>10</v>
      </c>
      <c r="AR227" s="26" t="n">
        <v>13</v>
      </c>
      <c r="AS227" s="26" t="n">
        <v>6</v>
      </c>
      <c r="AT227" s="26" t="n">
        <v>10</v>
      </c>
      <c r="AU227" s="26" t="n">
        <v>11</v>
      </c>
      <c r="AV227" s="26" t="n">
        <f aca="false">SUM(AL227:AU227)</f>
        <v>109</v>
      </c>
      <c r="AW227" s="32" t="n">
        <f aca="false">IFERROR(AV227/R227*1000000,"")</f>
        <v>11414.807833281</v>
      </c>
      <c r="AX227" s="33" t="n">
        <f aca="false">IFERROR((R227-AV227)/R227,"")</f>
        <v>0.988585192166719</v>
      </c>
      <c r="AY227" s="34" t="n">
        <f aca="false">IFERROR(AH227*AJ227*AX227,"")</f>
        <v>0.946064139941691</v>
      </c>
      <c r="AZ227" s="35" t="s">
        <v>78</v>
      </c>
    </row>
    <row r="228" customFormat="false" ht="12.75" hidden="false" customHeight="true" outlineLevel="0" collapsed="false">
      <c r="A228" s="24" t="n">
        <v>224</v>
      </c>
      <c r="B228" s="25" t="n">
        <v>46097</v>
      </c>
      <c r="C228" s="25" t="n">
        <v>12</v>
      </c>
      <c r="D228" s="26" t="s">
        <v>79</v>
      </c>
      <c r="E228" s="26" t="s">
        <v>80</v>
      </c>
      <c r="F228" s="26" t="s">
        <v>81</v>
      </c>
      <c r="G228" s="26" t="s">
        <v>9</v>
      </c>
      <c r="H228" s="27" t="n">
        <v>0.354166666666667</v>
      </c>
      <c r="I228" s="27" t="n">
        <v>0.854166666666667</v>
      </c>
      <c r="J228" s="26" t="n">
        <f aca="false">IFERROR((I228-H228)*24*60,"")</f>
        <v>720</v>
      </c>
      <c r="K228" s="26" t="s">
        <v>82</v>
      </c>
      <c r="L228" s="26" t="s">
        <v>106</v>
      </c>
      <c r="M228" s="26" t="s">
        <v>84</v>
      </c>
      <c r="N228" s="26" t="s">
        <v>85</v>
      </c>
      <c r="O228" s="26" t="n">
        <v>2</v>
      </c>
      <c r="P228" s="26" t="n">
        <v>37</v>
      </c>
      <c r="Q228" s="26" t="n">
        <f aca="false">IFERROR(3600/(P228/O228),"")</f>
        <v>194.594594594595</v>
      </c>
      <c r="R228" s="26" t="n">
        <v>2012</v>
      </c>
      <c r="S228" s="26" t="n">
        <v>70</v>
      </c>
      <c r="T228" s="26" t="n">
        <f aca="false">IFERROR(J228-S228,"")</f>
        <v>650</v>
      </c>
      <c r="U228" s="26"/>
      <c r="V228" s="26"/>
      <c r="W228" s="26" t="n">
        <v>5</v>
      </c>
      <c r="X228" s="26"/>
      <c r="Y228" s="26"/>
      <c r="Z228" s="26"/>
      <c r="AA228" s="26"/>
      <c r="AB228" s="26"/>
      <c r="AC228" s="26" t="n">
        <v>7</v>
      </c>
      <c r="AD228" s="26" t="n">
        <v>9</v>
      </c>
      <c r="AE228" s="26"/>
      <c r="AF228" s="26" t="n">
        <f aca="false">SUM(U228:AE228)</f>
        <v>21</v>
      </c>
      <c r="AG228" s="26" t="n">
        <f aca="false">T228-AF228</f>
        <v>629</v>
      </c>
      <c r="AH228" s="28" t="n">
        <f aca="false">IFERROR(AG228/T228,"")</f>
        <v>0.967692307692308</v>
      </c>
      <c r="AI228" s="29" t="n">
        <f aca="false">IFERROR(R228/AG228*60,"")</f>
        <v>191.923688394277</v>
      </c>
      <c r="AJ228" s="30" t="n">
        <f aca="false">IFERROR(AI228/Q228,"")</f>
        <v>0.986274509803922</v>
      </c>
      <c r="AK228" s="31" t="n">
        <f aca="false">IFERROR(R228/(T228/60*Q228),"")</f>
        <v>0.954410256410257</v>
      </c>
      <c r="AL228" s="26" t="n">
        <v>2</v>
      </c>
      <c r="AM228" s="26" t="n">
        <v>5</v>
      </c>
      <c r="AN228" s="26" t="n">
        <v>5</v>
      </c>
      <c r="AO228" s="26" t="n">
        <v>2</v>
      </c>
      <c r="AP228" s="26" t="n">
        <v>4</v>
      </c>
      <c r="AQ228" s="26" t="n">
        <v>4</v>
      </c>
      <c r="AR228" s="26" t="n">
        <v>2</v>
      </c>
      <c r="AS228" s="26" t="n">
        <v>4</v>
      </c>
      <c r="AT228" s="26" t="n">
        <v>1</v>
      </c>
      <c r="AU228" s="26" t="n">
        <v>5</v>
      </c>
      <c r="AV228" s="26" t="n">
        <f aca="false">SUM(AL228:AU228)</f>
        <v>34</v>
      </c>
      <c r="AW228" s="32" t="n">
        <f aca="false">IFERROR(AV228/R228*1000000,"")</f>
        <v>16898.6083499006</v>
      </c>
      <c r="AX228" s="33" t="n">
        <f aca="false">IFERROR((R228-AV228)/R228,"")</f>
        <v>0.983101391650099</v>
      </c>
      <c r="AY228" s="34" t="n">
        <f aca="false">IFERROR(AH228*AJ228*AX228,"")</f>
        <v>0.938282051282051</v>
      </c>
      <c r="AZ228" s="35" t="s">
        <v>78</v>
      </c>
    </row>
    <row r="229" customFormat="false" ht="12.75" hidden="false" customHeight="true" outlineLevel="0" collapsed="false">
      <c r="A229" s="24" t="n">
        <v>225</v>
      </c>
      <c r="B229" s="25" t="n">
        <v>46097</v>
      </c>
      <c r="C229" s="25" t="n">
        <v>12</v>
      </c>
      <c r="D229" s="26" t="s">
        <v>87</v>
      </c>
      <c r="E229" s="26" t="s">
        <v>88</v>
      </c>
      <c r="F229" s="26" t="s">
        <v>73</v>
      </c>
      <c r="G229" s="26" t="s">
        <v>10</v>
      </c>
      <c r="H229" s="27" t="n">
        <v>0.354166666666667</v>
      </c>
      <c r="I229" s="27" t="n">
        <v>0.854166666666667</v>
      </c>
      <c r="J229" s="26" t="n">
        <f aca="false">IFERROR((I229-H229)*24*60,"")</f>
        <v>720</v>
      </c>
      <c r="K229" s="26" t="s">
        <v>89</v>
      </c>
      <c r="L229" s="26" t="s">
        <v>107</v>
      </c>
      <c r="M229" s="26" t="s">
        <v>91</v>
      </c>
      <c r="N229" s="26" t="s">
        <v>92</v>
      </c>
      <c r="O229" s="26" t="n">
        <v>8</v>
      </c>
      <c r="P229" s="26" t="n">
        <v>40</v>
      </c>
      <c r="Q229" s="26" t="n">
        <f aca="false">IFERROR(3600/(P229/O229),"")</f>
        <v>720</v>
      </c>
      <c r="R229" s="26" t="n">
        <v>8204</v>
      </c>
      <c r="S229" s="26" t="n">
        <v>34</v>
      </c>
      <c r="T229" s="26" t="n">
        <f aca="false">IFERROR(J229-S229,"")</f>
        <v>686</v>
      </c>
      <c r="U229" s="26"/>
      <c r="V229" s="26"/>
      <c r="W229" s="26" t="n">
        <v>8</v>
      </c>
      <c r="X229" s="26"/>
      <c r="Y229" s="26"/>
      <c r="Z229" s="26"/>
      <c r="AA229" s="26"/>
      <c r="AB229" s="26" t="n">
        <v>15</v>
      </c>
      <c r="AC229" s="26"/>
      <c r="AD229" s="26"/>
      <c r="AE229" s="26"/>
      <c r="AF229" s="26" t="n">
        <f aca="false">SUM(U229:AE229)</f>
        <v>23</v>
      </c>
      <c r="AG229" s="26" t="n">
        <f aca="false">T229-AF229</f>
        <v>663</v>
      </c>
      <c r="AH229" s="28" t="n">
        <f aca="false">IFERROR(AG229/T229,"")</f>
        <v>0.966472303206997</v>
      </c>
      <c r="AI229" s="29" t="n">
        <f aca="false">IFERROR(R229/AG229*60,"")</f>
        <v>742.443438914027</v>
      </c>
      <c r="AJ229" s="30" t="n">
        <f aca="false">IFERROR(AI229/Q229,"")</f>
        <v>1.03117144293615</v>
      </c>
      <c r="AK229" s="31" t="n">
        <f aca="false">IFERROR(R229/(T229/60*Q229),"")</f>
        <v>0.996598639455782</v>
      </c>
      <c r="AL229" s="26" t="n">
        <v>17</v>
      </c>
      <c r="AM229" s="26" t="n">
        <v>22</v>
      </c>
      <c r="AN229" s="26" t="n">
        <v>19</v>
      </c>
      <c r="AO229" s="26" t="n">
        <v>15</v>
      </c>
      <c r="AP229" s="26" t="n">
        <v>15</v>
      </c>
      <c r="AQ229" s="26" t="n">
        <v>23</v>
      </c>
      <c r="AR229" s="26" t="n">
        <v>28</v>
      </c>
      <c r="AS229" s="26" t="n">
        <v>22</v>
      </c>
      <c r="AT229" s="26" t="n">
        <v>15</v>
      </c>
      <c r="AU229" s="26" t="n">
        <v>17</v>
      </c>
      <c r="AV229" s="26" t="n">
        <f aca="false">SUM(AL229:AU229)</f>
        <v>193</v>
      </c>
      <c r="AW229" s="32" t="n">
        <f aca="false">IFERROR(AV229/R229*1000000,"")</f>
        <v>23525.1097025841</v>
      </c>
      <c r="AX229" s="33" t="n">
        <f aca="false">IFERROR((R229-AV229)/R229,"")</f>
        <v>0.976474890297416</v>
      </c>
      <c r="AY229" s="34" t="n">
        <f aca="false">IFERROR(AH229*AJ229*AX229,"")</f>
        <v>0.973153547133139</v>
      </c>
      <c r="AZ229" s="35"/>
    </row>
    <row r="230" customFormat="false" ht="12.75" hidden="false" customHeight="true" outlineLevel="0" collapsed="false">
      <c r="A230" s="24" t="n">
        <v>226</v>
      </c>
      <c r="B230" s="25" t="n">
        <v>46098</v>
      </c>
      <c r="C230" s="25" t="n">
        <v>12</v>
      </c>
      <c r="D230" s="26" t="s">
        <v>71</v>
      </c>
      <c r="E230" s="26" t="s">
        <v>94</v>
      </c>
      <c r="F230" s="26" t="s">
        <v>81</v>
      </c>
      <c r="G230" s="26" t="s">
        <v>11</v>
      </c>
      <c r="H230" s="27" t="n">
        <v>0.354166666666667</v>
      </c>
      <c r="I230" s="27" t="n">
        <v>0.854166666666667</v>
      </c>
      <c r="J230" s="26" t="n">
        <f aca="false">IFERROR((I230-H230)*24*60,"")</f>
        <v>720</v>
      </c>
      <c r="K230" s="26" t="s">
        <v>105</v>
      </c>
      <c r="L230" s="26" t="s">
        <v>75</v>
      </c>
      <c r="M230" s="26" t="s">
        <v>95</v>
      </c>
      <c r="N230" s="26" t="s">
        <v>96</v>
      </c>
      <c r="O230" s="26" t="n">
        <v>1</v>
      </c>
      <c r="P230" s="26" t="n">
        <v>64</v>
      </c>
      <c r="Q230" s="26" t="n">
        <f aca="false">IFERROR(3600/(P230/O230),"")</f>
        <v>56.25</v>
      </c>
      <c r="R230" s="26" t="n">
        <v>464</v>
      </c>
      <c r="S230" s="26" t="n">
        <v>69</v>
      </c>
      <c r="T230" s="26" t="n">
        <f aca="false">IFERROR(J230-S230,"")</f>
        <v>651</v>
      </c>
      <c r="U230" s="26"/>
      <c r="V230" s="26"/>
      <c r="W230" s="26"/>
      <c r="X230" s="26" t="n">
        <v>53</v>
      </c>
      <c r="Y230" s="26"/>
      <c r="Z230" s="26"/>
      <c r="AA230" s="26" t="n">
        <v>21</v>
      </c>
      <c r="AB230" s="26"/>
      <c r="AC230" s="26"/>
      <c r="AD230" s="26"/>
      <c r="AE230" s="26" t="n">
        <v>5</v>
      </c>
      <c r="AF230" s="26" t="n">
        <f aca="false">SUM(U230:AE230)</f>
        <v>79</v>
      </c>
      <c r="AG230" s="26" t="n">
        <f aca="false">T230-AF230</f>
        <v>572</v>
      </c>
      <c r="AH230" s="28" t="n">
        <f aca="false">IFERROR(AG230/T230,"")</f>
        <v>0.878648233486943</v>
      </c>
      <c r="AI230" s="29" t="n">
        <f aca="false">IFERROR(R230/AG230*60,"")</f>
        <v>48.6713286713287</v>
      </c>
      <c r="AJ230" s="30" t="n">
        <f aca="false">IFERROR(AI230/Q230,"")</f>
        <v>0.865268065268065</v>
      </c>
      <c r="AK230" s="31" t="n">
        <f aca="false">IFERROR(R230/(T230/60*Q230),"")</f>
        <v>0.760266257040451</v>
      </c>
      <c r="AL230" s="26"/>
      <c r="AM230" s="26"/>
      <c r="AN230" s="26"/>
      <c r="AO230" s="26"/>
      <c r="AP230" s="26"/>
      <c r="AQ230" s="26"/>
      <c r="AR230" s="26" t="n">
        <v>1</v>
      </c>
      <c r="AS230" s="26" t="n">
        <v>1</v>
      </c>
      <c r="AT230" s="26" t="n">
        <v>1</v>
      </c>
      <c r="AU230" s="26"/>
      <c r="AV230" s="26" t="n">
        <f aca="false">SUM(AL230:AU230)</f>
        <v>3</v>
      </c>
      <c r="AW230" s="32" t="n">
        <f aca="false">IFERROR(AV230/R230*1000000,"")</f>
        <v>6465.51724137931</v>
      </c>
      <c r="AX230" s="33" t="n">
        <f aca="false">IFERROR((R230-AV230)/R230,"")</f>
        <v>0.993534482758621</v>
      </c>
      <c r="AY230" s="34" t="n">
        <f aca="false">IFERROR(AH230*AJ230*AX230,"")</f>
        <v>0.755350742447517</v>
      </c>
      <c r="AZ230" s="35"/>
    </row>
    <row r="231" customFormat="false" ht="12.75" hidden="false" customHeight="true" outlineLevel="0" collapsed="false">
      <c r="A231" s="24" t="n">
        <v>227</v>
      </c>
      <c r="B231" s="25" t="n">
        <v>46098</v>
      </c>
      <c r="C231" s="25" t="n">
        <v>12</v>
      </c>
      <c r="D231" s="26" t="s">
        <v>79</v>
      </c>
      <c r="E231" s="26" t="s">
        <v>97</v>
      </c>
      <c r="F231" s="26" t="s">
        <v>73</v>
      </c>
      <c r="G231" s="26" t="s">
        <v>12</v>
      </c>
      <c r="H231" s="27" t="n">
        <v>0.354166666666667</v>
      </c>
      <c r="I231" s="27" t="n">
        <v>0.854166666666667</v>
      </c>
      <c r="J231" s="26" t="n">
        <f aca="false">IFERROR((I231-H231)*24*60,"")</f>
        <v>720</v>
      </c>
      <c r="K231" s="26" t="s">
        <v>105</v>
      </c>
      <c r="L231" s="26" t="s">
        <v>107</v>
      </c>
      <c r="M231" s="26" t="s">
        <v>99</v>
      </c>
      <c r="N231" s="26" t="s">
        <v>100</v>
      </c>
      <c r="O231" s="26" t="n">
        <v>8</v>
      </c>
      <c r="P231" s="26" t="n">
        <v>50</v>
      </c>
      <c r="Q231" s="26" t="n">
        <f aca="false">IFERROR(3600/(P231/O231),"")</f>
        <v>576</v>
      </c>
      <c r="R231" s="26" t="n">
        <v>6156</v>
      </c>
      <c r="S231" s="26" t="n">
        <v>37</v>
      </c>
      <c r="T231" s="26" t="n">
        <f aca="false">IFERROR(J231-S231,"")</f>
        <v>683</v>
      </c>
      <c r="U231" s="26"/>
      <c r="V231" s="26"/>
      <c r="W231" s="26"/>
      <c r="X231" s="26" t="n">
        <v>26</v>
      </c>
      <c r="Y231" s="26"/>
      <c r="Z231" s="26" t="n">
        <v>3</v>
      </c>
      <c r="AA231" s="26" t="n">
        <v>25</v>
      </c>
      <c r="AB231" s="26"/>
      <c r="AC231" s="26"/>
      <c r="AD231" s="26"/>
      <c r="AE231" s="26"/>
      <c r="AF231" s="26" t="n">
        <f aca="false">SUM(U231:AE231)</f>
        <v>54</v>
      </c>
      <c r="AG231" s="26" t="n">
        <f aca="false">T231-AF231</f>
        <v>629</v>
      </c>
      <c r="AH231" s="28" t="n">
        <f aca="false">IFERROR(AG231/T231,"")</f>
        <v>0.920937042459737</v>
      </c>
      <c r="AI231" s="29" t="n">
        <f aca="false">IFERROR(R231/AG231*60,"")</f>
        <v>587.217806041336</v>
      </c>
      <c r="AJ231" s="30" t="n">
        <f aca="false">IFERROR(AI231/Q231,"")</f>
        <v>1.01947535771065</v>
      </c>
      <c r="AK231" s="31" t="n">
        <f aca="false">IFERROR(R231/(T231/60*Q231),"")</f>
        <v>0.93887262079063</v>
      </c>
      <c r="AL231" s="26" t="n">
        <v>11</v>
      </c>
      <c r="AM231" s="26" t="n">
        <v>8</v>
      </c>
      <c r="AN231" s="26" t="n">
        <v>11</v>
      </c>
      <c r="AO231" s="26" t="n">
        <v>9</v>
      </c>
      <c r="AP231" s="26" t="n">
        <v>7</v>
      </c>
      <c r="AQ231" s="26" t="n">
        <v>6</v>
      </c>
      <c r="AR231" s="26" t="n">
        <v>13</v>
      </c>
      <c r="AS231" s="26" t="n">
        <v>2</v>
      </c>
      <c r="AT231" s="26" t="n">
        <v>7</v>
      </c>
      <c r="AU231" s="26" t="n">
        <v>10</v>
      </c>
      <c r="AV231" s="26" t="n">
        <f aca="false">SUM(AL231:AU231)</f>
        <v>84</v>
      </c>
      <c r="AW231" s="32" t="n">
        <f aca="false">IFERROR(AV231/R231*1000000,"")</f>
        <v>13645.22417154</v>
      </c>
      <c r="AX231" s="33" t="n">
        <f aca="false">IFERROR((R231-AV231)/R231,"")</f>
        <v>0.98635477582846</v>
      </c>
      <c r="AY231" s="34" t="n">
        <f aca="false">IFERROR(AH231*AJ231*AX231,"")</f>
        <v>0.92606149341142</v>
      </c>
      <c r="AZ231" s="35" t="s">
        <v>86</v>
      </c>
    </row>
    <row r="232" customFormat="false" ht="12.75" hidden="false" customHeight="true" outlineLevel="0" collapsed="false">
      <c r="A232" s="24" t="n">
        <v>228</v>
      </c>
      <c r="B232" s="25" t="n">
        <v>46098</v>
      </c>
      <c r="C232" s="25" t="n">
        <v>12</v>
      </c>
      <c r="D232" s="26" t="s">
        <v>87</v>
      </c>
      <c r="E232" s="26" t="s">
        <v>101</v>
      </c>
      <c r="F232" s="26" t="s">
        <v>81</v>
      </c>
      <c r="G232" s="26" t="s">
        <v>13</v>
      </c>
      <c r="H232" s="27" t="n">
        <v>0.354166666666667</v>
      </c>
      <c r="I232" s="27" t="n">
        <v>0.854166666666667</v>
      </c>
      <c r="J232" s="26" t="n">
        <f aca="false">IFERROR((I232-H232)*24*60,"")</f>
        <v>720</v>
      </c>
      <c r="K232" s="26" t="s">
        <v>105</v>
      </c>
      <c r="L232" s="26" t="s">
        <v>75</v>
      </c>
      <c r="M232" s="26" t="s">
        <v>103</v>
      </c>
      <c r="N232" s="26" t="s">
        <v>104</v>
      </c>
      <c r="O232" s="26" t="n">
        <v>2</v>
      </c>
      <c r="P232" s="26" t="n">
        <v>29</v>
      </c>
      <c r="Q232" s="26" t="n">
        <f aca="false">IFERROR(3600/(P232/O232),"")</f>
        <v>248.275862068966</v>
      </c>
      <c r="R232" s="26" t="n">
        <v>1940</v>
      </c>
      <c r="S232" s="26" t="n">
        <v>48</v>
      </c>
      <c r="T232" s="26" t="n">
        <f aca="false">IFERROR(J232-S232,"")</f>
        <v>672</v>
      </c>
      <c r="U232" s="26"/>
      <c r="V232" s="26"/>
      <c r="W232" s="26"/>
      <c r="X232" s="26"/>
      <c r="Y232" s="26"/>
      <c r="Z232" s="26"/>
      <c r="AA232" s="26" t="n">
        <v>9</v>
      </c>
      <c r="AB232" s="26" t="n">
        <v>4</v>
      </c>
      <c r="AC232" s="26"/>
      <c r="AD232" s="26"/>
      <c r="AE232" s="26"/>
      <c r="AF232" s="26" t="n">
        <f aca="false">SUM(U232:AE232)</f>
        <v>13</v>
      </c>
      <c r="AG232" s="26" t="n">
        <f aca="false">T232-AF232</f>
        <v>659</v>
      </c>
      <c r="AH232" s="28" t="n">
        <f aca="false">IFERROR(AG232/T232,"")</f>
        <v>0.980654761904762</v>
      </c>
      <c r="AI232" s="29" t="n">
        <f aca="false">IFERROR(R232/AG232*60,"")</f>
        <v>176.631259484067</v>
      </c>
      <c r="AJ232" s="30" t="n">
        <f aca="false">IFERROR(AI232/Q232,"")</f>
        <v>0.711431461810824</v>
      </c>
      <c r="AK232" s="31" t="n">
        <f aca="false">IFERROR(R232/(T232/60*Q232),"")</f>
        <v>0.697668650793651</v>
      </c>
      <c r="AL232" s="26" t="n">
        <v>5</v>
      </c>
      <c r="AM232" s="26" t="n">
        <v>4</v>
      </c>
      <c r="AN232" s="26" t="n">
        <v>5</v>
      </c>
      <c r="AO232" s="26" t="n">
        <v>3</v>
      </c>
      <c r="AP232" s="26" t="n">
        <v>2</v>
      </c>
      <c r="AQ232" s="26" t="n">
        <v>4</v>
      </c>
      <c r="AR232" s="26" t="n">
        <v>3</v>
      </c>
      <c r="AS232" s="26" t="n">
        <v>3</v>
      </c>
      <c r="AT232" s="26" t="n">
        <v>5</v>
      </c>
      <c r="AU232" s="26" t="n">
        <v>5</v>
      </c>
      <c r="AV232" s="26" t="n">
        <f aca="false">SUM(AL232:AU232)</f>
        <v>39</v>
      </c>
      <c r="AW232" s="32" t="n">
        <f aca="false">IFERROR(AV232/R232*1000000,"")</f>
        <v>20103.0927835052</v>
      </c>
      <c r="AX232" s="33" t="n">
        <f aca="false">IFERROR((R232-AV232)/R232,"")</f>
        <v>0.979896907216495</v>
      </c>
      <c r="AY232" s="34" t="n">
        <f aca="false">IFERROR(AH232*AJ232*AX232,"")</f>
        <v>0.683643353174603</v>
      </c>
      <c r="AZ232" s="35" t="s">
        <v>78</v>
      </c>
    </row>
    <row r="233" customFormat="false" ht="12.75" hidden="false" customHeight="true" outlineLevel="0" collapsed="false">
      <c r="A233" s="24" t="n">
        <v>229</v>
      </c>
      <c r="B233" s="25" t="n">
        <v>46099</v>
      </c>
      <c r="C233" s="25" t="n">
        <v>12</v>
      </c>
      <c r="D233" s="26" t="s">
        <v>71</v>
      </c>
      <c r="E233" s="26" t="s">
        <v>72</v>
      </c>
      <c r="F233" s="26" t="s">
        <v>73</v>
      </c>
      <c r="G233" s="26" t="s">
        <v>8</v>
      </c>
      <c r="H233" s="27" t="n">
        <v>0.354166666666667</v>
      </c>
      <c r="I233" s="27" t="n">
        <v>0.854166666666667</v>
      </c>
      <c r="J233" s="26" t="n">
        <f aca="false">IFERROR((I233-H233)*24*60,"")</f>
        <v>720</v>
      </c>
      <c r="K233" s="26" t="s">
        <v>74</v>
      </c>
      <c r="L233" s="26" t="s">
        <v>106</v>
      </c>
      <c r="M233" s="26" t="s">
        <v>76</v>
      </c>
      <c r="N233" s="26" t="s">
        <v>77</v>
      </c>
      <c r="O233" s="26" t="n">
        <v>2</v>
      </c>
      <c r="P233" s="26" t="n">
        <v>29</v>
      </c>
      <c r="Q233" s="26" t="n">
        <f aca="false">IFERROR(3600/(P233/O233),"")</f>
        <v>248.275862068966</v>
      </c>
      <c r="R233" s="26" t="n">
        <v>2554</v>
      </c>
      <c r="S233" s="26" t="n">
        <v>50</v>
      </c>
      <c r="T233" s="26" t="n">
        <f aca="false">IFERROR(J233-S233,"")</f>
        <v>670</v>
      </c>
      <c r="U233" s="26"/>
      <c r="V233" s="26"/>
      <c r="W233" s="26"/>
      <c r="X233" s="26"/>
      <c r="Y233" s="26" t="n">
        <v>7</v>
      </c>
      <c r="Z233" s="26"/>
      <c r="AA233" s="26"/>
      <c r="AB233" s="26"/>
      <c r="AC233" s="26"/>
      <c r="AD233" s="26"/>
      <c r="AE233" s="26"/>
      <c r="AF233" s="26" t="n">
        <f aca="false">SUM(U233:AE233)</f>
        <v>7</v>
      </c>
      <c r="AG233" s="26" t="n">
        <f aca="false">T233-AF233</f>
        <v>663</v>
      </c>
      <c r="AH233" s="28" t="n">
        <f aca="false">IFERROR(AG233/T233,"")</f>
        <v>0.98955223880597</v>
      </c>
      <c r="AI233" s="29" t="n">
        <f aca="false">IFERROR(R233/AG233*60,"")</f>
        <v>231.131221719457</v>
      </c>
      <c r="AJ233" s="30" t="n">
        <f aca="false">IFERROR(AI233/Q233,"")</f>
        <v>0.930945198592257</v>
      </c>
      <c r="AK233" s="31" t="n">
        <f aca="false">IFERROR(R233/(T233/60*Q233),"")</f>
        <v>0.921218905472637</v>
      </c>
      <c r="AL233" s="26"/>
      <c r="AM233" s="26" t="n">
        <v>3</v>
      </c>
      <c r="AN233" s="26" t="n">
        <v>2</v>
      </c>
      <c r="AO233" s="26" t="n">
        <v>3</v>
      </c>
      <c r="AP233" s="26" t="n">
        <v>5</v>
      </c>
      <c r="AQ233" s="26" t="n">
        <v>2</v>
      </c>
      <c r="AR233" s="26" t="n">
        <v>7</v>
      </c>
      <c r="AS233" s="26" t="n">
        <v>4</v>
      </c>
      <c r="AT233" s="26" t="n">
        <v>2</v>
      </c>
      <c r="AU233" s="26" t="n">
        <v>5</v>
      </c>
      <c r="AV233" s="26" t="n">
        <f aca="false">SUM(AL233:AU233)</f>
        <v>33</v>
      </c>
      <c r="AW233" s="32" t="n">
        <f aca="false">IFERROR(AV233/R233*1000000,"")</f>
        <v>12920.9083790133</v>
      </c>
      <c r="AX233" s="33" t="n">
        <f aca="false">IFERROR((R233-AV233)/R233,"")</f>
        <v>0.987079091620987</v>
      </c>
      <c r="AY233" s="34" t="n">
        <f aca="false">IFERROR(AH233*AJ233*AX233,"")</f>
        <v>0.90931592039801</v>
      </c>
      <c r="AZ233" s="35" t="s">
        <v>93</v>
      </c>
    </row>
    <row r="234" customFormat="false" ht="12.75" hidden="false" customHeight="true" outlineLevel="0" collapsed="false">
      <c r="A234" s="24" t="n">
        <v>230</v>
      </c>
      <c r="B234" s="25" t="n">
        <v>46099</v>
      </c>
      <c r="C234" s="25" t="n">
        <v>12</v>
      </c>
      <c r="D234" s="26" t="s">
        <v>79</v>
      </c>
      <c r="E234" s="26" t="s">
        <v>80</v>
      </c>
      <c r="F234" s="26" t="s">
        <v>81</v>
      </c>
      <c r="G234" s="26" t="s">
        <v>9</v>
      </c>
      <c r="H234" s="27" t="n">
        <v>0.354166666666667</v>
      </c>
      <c r="I234" s="27" t="n">
        <v>0.854166666666667</v>
      </c>
      <c r="J234" s="26" t="n">
        <f aca="false">IFERROR((I234-H234)*24*60,"")</f>
        <v>720</v>
      </c>
      <c r="K234" s="26" t="s">
        <v>74</v>
      </c>
      <c r="L234" s="26" t="s">
        <v>107</v>
      </c>
      <c r="M234" s="26" t="s">
        <v>84</v>
      </c>
      <c r="N234" s="26" t="s">
        <v>85</v>
      </c>
      <c r="O234" s="26" t="n">
        <v>8</v>
      </c>
      <c r="P234" s="26" t="n">
        <v>34</v>
      </c>
      <c r="Q234" s="26" t="n">
        <f aca="false">IFERROR(3600/(P234/O234),"")</f>
        <v>847.058823529412</v>
      </c>
      <c r="R234" s="26" t="n">
        <v>9042</v>
      </c>
      <c r="S234" s="26" t="n">
        <v>70</v>
      </c>
      <c r="T234" s="26" t="n">
        <f aca="false">IFERROR(J234-S234,"")</f>
        <v>650</v>
      </c>
      <c r="U234" s="26"/>
      <c r="V234" s="26"/>
      <c r="W234" s="26"/>
      <c r="X234" s="26"/>
      <c r="Y234" s="26" t="n">
        <v>6</v>
      </c>
      <c r="Z234" s="26"/>
      <c r="AA234" s="26"/>
      <c r="AB234" s="26"/>
      <c r="AC234" s="26"/>
      <c r="AD234" s="26" t="n">
        <v>12</v>
      </c>
      <c r="AE234" s="26"/>
      <c r="AF234" s="26" t="n">
        <f aca="false">SUM(U234:AE234)</f>
        <v>18</v>
      </c>
      <c r="AG234" s="26" t="n">
        <f aca="false">T234-AF234</f>
        <v>632</v>
      </c>
      <c r="AH234" s="28" t="n">
        <f aca="false">IFERROR(AG234/T234,"")</f>
        <v>0.972307692307692</v>
      </c>
      <c r="AI234" s="29" t="n">
        <f aca="false">IFERROR(R234/AG234*60,"")</f>
        <v>858.417721518987</v>
      </c>
      <c r="AJ234" s="30" t="n">
        <f aca="false">IFERROR(AI234/Q234,"")</f>
        <v>1.01340981012658</v>
      </c>
      <c r="AK234" s="31" t="n">
        <f aca="false">IFERROR(R234/(T234/60*Q234),"")</f>
        <v>0.985346153846154</v>
      </c>
      <c r="AL234" s="26" t="n">
        <v>21</v>
      </c>
      <c r="AM234" s="26" t="n">
        <v>25</v>
      </c>
      <c r="AN234" s="26" t="n">
        <v>13</v>
      </c>
      <c r="AO234" s="26" t="n">
        <v>22</v>
      </c>
      <c r="AP234" s="26" t="n">
        <v>16</v>
      </c>
      <c r="AQ234" s="26" t="n">
        <v>26</v>
      </c>
      <c r="AR234" s="26" t="n">
        <v>17</v>
      </c>
      <c r="AS234" s="26" t="n">
        <v>19</v>
      </c>
      <c r="AT234" s="26" t="n">
        <v>15</v>
      </c>
      <c r="AU234" s="26" t="n">
        <v>16</v>
      </c>
      <c r="AV234" s="26" t="n">
        <f aca="false">SUM(AL234:AU234)</f>
        <v>190</v>
      </c>
      <c r="AW234" s="32" t="n">
        <f aca="false">IFERROR(AV234/R234*1000000,"")</f>
        <v>21013.0502101305</v>
      </c>
      <c r="AX234" s="33" t="n">
        <f aca="false">IFERROR((R234-AV234)/R234,"")</f>
        <v>0.978986949789869</v>
      </c>
      <c r="AY234" s="34" t="n">
        <f aca="false">IFERROR(AH234*AJ234*AX234,"")</f>
        <v>0.964641025641026</v>
      </c>
      <c r="AZ234" s="35" t="s">
        <v>93</v>
      </c>
    </row>
    <row r="235" customFormat="false" ht="12.75" hidden="false" customHeight="true" outlineLevel="0" collapsed="false">
      <c r="A235" s="24" t="n">
        <v>231</v>
      </c>
      <c r="B235" s="25" t="n">
        <v>46099</v>
      </c>
      <c r="C235" s="25" t="n">
        <v>12</v>
      </c>
      <c r="D235" s="26" t="s">
        <v>87</v>
      </c>
      <c r="E235" s="26" t="s">
        <v>88</v>
      </c>
      <c r="F235" s="26" t="s">
        <v>73</v>
      </c>
      <c r="G235" s="26" t="s">
        <v>10</v>
      </c>
      <c r="H235" s="27" t="n">
        <v>0.354166666666667</v>
      </c>
      <c r="I235" s="27" t="n">
        <v>0.854166666666667</v>
      </c>
      <c r="J235" s="26" t="n">
        <f aca="false">IFERROR((I235-H235)*24*60,"")</f>
        <v>720</v>
      </c>
      <c r="K235" s="26" t="s">
        <v>74</v>
      </c>
      <c r="L235" s="26" t="s">
        <v>107</v>
      </c>
      <c r="M235" s="26" t="s">
        <v>91</v>
      </c>
      <c r="N235" s="26" t="s">
        <v>92</v>
      </c>
      <c r="O235" s="26" t="n">
        <v>4</v>
      </c>
      <c r="P235" s="26" t="n">
        <v>60</v>
      </c>
      <c r="Q235" s="26" t="n">
        <f aca="false">IFERROR(3600/(P235/O235),"")</f>
        <v>240</v>
      </c>
      <c r="R235" s="26" t="n">
        <v>2361</v>
      </c>
      <c r="S235" s="26" t="n">
        <v>57</v>
      </c>
      <c r="T235" s="26" t="n">
        <f aca="false">IFERROR(J235-S235,"")</f>
        <v>663</v>
      </c>
      <c r="U235" s="26"/>
      <c r="V235" s="26" t="n">
        <v>10</v>
      </c>
      <c r="W235" s="26"/>
      <c r="X235" s="26"/>
      <c r="Y235" s="26"/>
      <c r="Z235" s="26"/>
      <c r="AA235" s="26"/>
      <c r="AB235" s="26"/>
      <c r="AC235" s="26"/>
      <c r="AD235" s="26"/>
      <c r="AE235" s="26"/>
      <c r="AF235" s="26" t="n">
        <f aca="false">SUM(U235:AE235)</f>
        <v>10</v>
      </c>
      <c r="AG235" s="26" t="n">
        <f aca="false">T235-AF235</f>
        <v>653</v>
      </c>
      <c r="AH235" s="28" t="n">
        <f aca="false">IFERROR(AG235/T235,"")</f>
        <v>0.984917043740573</v>
      </c>
      <c r="AI235" s="29" t="n">
        <f aca="false">IFERROR(R235/AG235*60,"")</f>
        <v>216.937212863706</v>
      </c>
      <c r="AJ235" s="30" t="n">
        <f aca="false">IFERROR(AI235/Q235,"")</f>
        <v>0.903905053598775</v>
      </c>
      <c r="AK235" s="31" t="n">
        <f aca="false">IFERROR(R235/(T235/60*Q235),"")</f>
        <v>0.89027149321267</v>
      </c>
      <c r="AL235" s="26" t="n">
        <v>5</v>
      </c>
      <c r="AM235" s="26" t="n">
        <v>4</v>
      </c>
      <c r="AN235" s="26" t="n">
        <v>3</v>
      </c>
      <c r="AO235" s="26" t="n">
        <v>4</v>
      </c>
      <c r="AP235" s="26" t="n">
        <v>5</v>
      </c>
      <c r="AQ235" s="26" t="n">
        <v>4</v>
      </c>
      <c r="AR235" s="26" t="n">
        <v>7</v>
      </c>
      <c r="AS235" s="26" t="n">
        <v>5</v>
      </c>
      <c r="AT235" s="26" t="n">
        <v>6</v>
      </c>
      <c r="AU235" s="26" t="n">
        <v>2</v>
      </c>
      <c r="AV235" s="26" t="n">
        <f aca="false">SUM(AL235:AU235)</f>
        <v>45</v>
      </c>
      <c r="AW235" s="32" t="n">
        <f aca="false">IFERROR(AV235/R235*1000000,"")</f>
        <v>19059.7204574333</v>
      </c>
      <c r="AX235" s="33" t="n">
        <f aca="false">IFERROR((R235-AV235)/R235,"")</f>
        <v>0.980940279542567</v>
      </c>
      <c r="AY235" s="34" t="n">
        <f aca="false">IFERROR(AH235*AJ235*AX235,"")</f>
        <v>0.873303167420815</v>
      </c>
      <c r="AZ235" s="35" t="s">
        <v>86</v>
      </c>
    </row>
    <row r="236" customFormat="false" ht="12.75" hidden="false" customHeight="true" outlineLevel="0" collapsed="false">
      <c r="A236" s="24" t="n">
        <v>232</v>
      </c>
      <c r="B236" s="25" t="n">
        <v>46100</v>
      </c>
      <c r="C236" s="25" t="n">
        <v>12</v>
      </c>
      <c r="D236" s="26" t="s">
        <v>71</v>
      </c>
      <c r="E236" s="26" t="s">
        <v>94</v>
      </c>
      <c r="F236" s="26" t="s">
        <v>81</v>
      </c>
      <c r="G236" s="26" t="s">
        <v>11</v>
      </c>
      <c r="H236" s="27" t="n">
        <v>0.354166666666667</v>
      </c>
      <c r="I236" s="27" t="n">
        <v>0.854166666666667</v>
      </c>
      <c r="J236" s="26" t="n">
        <f aca="false">IFERROR((I236-H236)*24*60,"")</f>
        <v>720</v>
      </c>
      <c r="K236" s="26" t="s">
        <v>105</v>
      </c>
      <c r="L236" s="26" t="s">
        <v>75</v>
      </c>
      <c r="M236" s="26" t="s">
        <v>95</v>
      </c>
      <c r="N236" s="26" t="s">
        <v>96</v>
      </c>
      <c r="O236" s="26" t="n">
        <v>1</v>
      </c>
      <c r="P236" s="26" t="n">
        <v>60</v>
      </c>
      <c r="Q236" s="26" t="n">
        <f aca="false">IFERROR(3600/(P236/O236),"")</f>
        <v>60</v>
      </c>
      <c r="R236" s="26" t="n">
        <v>538</v>
      </c>
      <c r="S236" s="26" t="n">
        <v>37</v>
      </c>
      <c r="T236" s="26" t="n">
        <f aca="false">IFERROR(J236-S236,"")</f>
        <v>683</v>
      </c>
      <c r="U236" s="26"/>
      <c r="V236" s="26" t="n">
        <v>7</v>
      </c>
      <c r="W236" s="26"/>
      <c r="X236" s="26"/>
      <c r="Y236" s="26"/>
      <c r="Z236" s="26"/>
      <c r="AA236" s="26"/>
      <c r="AB236" s="26"/>
      <c r="AC236" s="26"/>
      <c r="AD236" s="26"/>
      <c r="AE236" s="26"/>
      <c r="AF236" s="26" t="n">
        <f aca="false">SUM(U236:AE236)</f>
        <v>7</v>
      </c>
      <c r="AG236" s="26" t="n">
        <f aca="false">T236-AF236</f>
        <v>676</v>
      </c>
      <c r="AH236" s="28" t="n">
        <f aca="false">IFERROR(AG236/T236,"")</f>
        <v>0.989751098096633</v>
      </c>
      <c r="AI236" s="29" t="n">
        <f aca="false">IFERROR(R236/AG236*60,"")</f>
        <v>47.7514792899408</v>
      </c>
      <c r="AJ236" s="30" t="n">
        <f aca="false">IFERROR(AI236/Q236,"")</f>
        <v>0.79585798816568</v>
      </c>
      <c r="AK236" s="31" t="n">
        <f aca="false">IFERROR(R236/(T236/60*Q236),"")</f>
        <v>0.787701317715959</v>
      </c>
      <c r="AL236" s="26"/>
      <c r="AM236" s="26"/>
      <c r="AN236" s="26"/>
      <c r="AO236" s="26"/>
      <c r="AP236" s="26"/>
      <c r="AQ236" s="26"/>
      <c r="AR236" s="26" t="n">
        <v>3</v>
      </c>
      <c r="AS236" s="26"/>
      <c r="AT236" s="26"/>
      <c r="AU236" s="26" t="n">
        <v>1</v>
      </c>
      <c r="AV236" s="26" t="n">
        <f aca="false">SUM(AL236:AU236)</f>
        <v>4</v>
      </c>
      <c r="AW236" s="32" t="n">
        <f aca="false">IFERROR(AV236/R236*1000000,"")</f>
        <v>7434.94423791822</v>
      </c>
      <c r="AX236" s="33" t="n">
        <f aca="false">IFERROR((R236-AV236)/R236,"")</f>
        <v>0.992565055762082</v>
      </c>
      <c r="AY236" s="34" t="n">
        <f aca="false">IFERROR(AH236*AJ236*AX236,"")</f>
        <v>0.781844802342606</v>
      </c>
      <c r="AZ236" s="35" t="s">
        <v>93</v>
      </c>
    </row>
    <row r="237" customFormat="false" ht="12.75" hidden="false" customHeight="true" outlineLevel="0" collapsed="false">
      <c r="A237" s="24" t="n">
        <v>233</v>
      </c>
      <c r="B237" s="25" t="n">
        <v>46100</v>
      </c>
      <c r="C237" s="25" t="n">
        <v>12</v>
      </c>
      <c r="D237" s="26" t="s">
        <v>79</v>
      </c>
      <c r="E237" s="26" t="s">
        <v>97</v>
      </c>
      <c r="F237" s="26" t="s">
        <v>73</v>
      </c>
      <c r="G237" s="26" t="s">
        <v>12</v>
      </c>
      <c r="H237" s="27" t="n">
        <v>0.354166666666667</v>
      </c>
      <c r="I237" s="27" t="n">
        <v>0.854166666666667</v>
      </c>
      <c r="J237" s="26" t="n">
        <f aca="false">IFERROR((I237-H237)*24*60,"")</f>
        <v>720</v>
      </c>
      <c r="K237" s="26" t="s">
        <v>74</v>
      </c>
      <c r="L237" s="26" t="s">
        <v>106</v>
      </c>
      <c r="M237" s="26" t="s">
        <v>99</v>
      </c>
      <c r="N237" s="26" t="s">
        <v>100</v>
      </c>
      <c r="O237" s="26" t="n">
        <v>2</v>
      </c>
      <c r="P237" s="26" t="n">
        <v>74</v>
      </c>
      <c r="Q237" s="26" t="n">
        <f aca="false">IFERROR(3600/(P237/O237),"")</f>
        <v>97.2972972972973</v>
      </c>
      <c r="R237" s="26" t="n">
        <v>795</v>
      </c>
      <c r="S237" s="26" t="n">
        <v>61</v>
      </c>
      <c r="T237" s="26" t="n">
        <f aca="false">IFERROR(J237-S237,"")</f>
        <v>659</v>
      </c>
      <c r="U237" s="26" t="n">
        <v>7</v>
      </c>
      <c r="V237" s="26" t="n">
        <v>17</v>
      </c>
      <c r="W237" s="26"/>
      <c r="X237" s="26"/>
      <c r="Y237" s="26"/>
      <c r="Z237" s="26"/>
      <c r="AA237" s="26"/>
      <c r="AB237" s="26"/>
      <c r="AC237" s="26"/>
      <c r="AD237" s="26" t="n">
        <v>12</v>
      </c>
      <c r="AE237" s="26"/>
      <c r="AF237" s="26" t="n">
        <f aca="false">SUM(U237:AE237)</f>
        <v>36</v>
      </c>
      <c r="AG237" s="26" t="n">
        <f aca="false">T237-AF237</f>
        <v>623</v>
      </c>
      <c r="AH237" s="28" t="n">
        <f aca="false">IFERROR(AG237/T237,"")</f>
        <v>0.945371775417299</v>
      </c>
      <c r="AI237" s="29" t="n">
        <f aca="false">IFERROR(R237/AG237*60,"")</f>
        <v>76.5650080256822</v>
      </c>
      <c r="AJ237" s="30" t="n">
        <f aca="false">IFERROR(AI237/Q237,"")</f>
        <v>0.786918138041734</v>
      </c>
      <c r="AK237" s="31" t="n">
        <f aca="false">IFERROR(R237/(T237/60*Q237),"")</f>
        <v>0.743930197268589</v>
      </c>
      <c r="AL237" s="26"/>
      <c r="AM237" s="26"/>
      <c r="AN237" s="26"/>
      <c r="AO237" s="26" t="n">
        <v>1</v>
      </c>
      <c r="AP237" s="26" t="n">
        <v>1</v>
      </c>
      <c r="AQ237" s="26"/>
      <c r="AR237" s="26"/>
      <c r="AS237" s="26" t="n">
        <v>1</v>
      </c>
      <c r="AT237" s="26"/>
      <c r="AU237" s="26" t="n">
        <v>1</v>
      </c>
      <c r="AV237" s="26" t="n">
        <f aca="false">SUM(AL237:AU237)</f>
        <v>4</v>
      </c>
      <c r="AW237" s="32" t="n">
        <f aca="false">IFERROR(AV237/R237*1000000,"")</f>
        <v>5031.4465408805</v>
      </c>
      <c r="AX237" s="33" t="n">
        <f aca="false">IFERROR((R237-AV237)/R237,"")</f>
        <v>0.99496855345912</v>
      </c>
      <c r="AY237" s="34" t="n">
        <f aca="false">IFERROR(AH237*AJ237*AX237,"")</f>
        <v>0.740187152250885</v>
      </c>
      <c r="AZ237" s="35" t="s">
        <v>78</v>
      </c>
    </row>
    <row r="238" customFormat="false" ht="12.75" hidden="false" customHeight="true" outlineLevel="0" collapsed="false">
      <c r="A238" s="24" t="n">
        <v>234</v>
      </c>
      <c r="B238" s="25" t="n">
        <v>46100</v>
      </c>
      <c r="C238" s="25" t="n">
        <v>12</v>
      </c>
      <c r="D238" s="26" t="s">
        <v>87</v>
      </c>
      <c r="E238" s="26" t="s">
        <v>101</v>
      </c>
      <c r="F238" s="26" t="s">
        <v>81</v>
      </c>
      <c r="G238" s="26" t="s">
        <v>13</v>
      </c>
      <c r="H238" s="27" t="n">
        <v>0.354166666666667</v>
      </c>
      <c r="I238" s="27" t="n">
        <v>0.854166666666667</v>
      </c>
      <c r="J238" s="26" t="n">
        <f aca="false">IFERROR((I238-H238)*24*60,"")</f>
        <v>720</v>
      </c>
      <c r="K238" s="26" t="s">
        <v>82</v>
      </c>
      <c r="L238" s="26" t="s">
        <v>106</v>
      </c>
      <c r="M238" s="26" t="s">
        <v>103</v>
      </c>
      <c r="N238" s="26" t="s">
        <v>104</v>
      </c>
      <c r="O238" s="26" t="n">
        <v>4</v>
      </c>
      <c r="P238" s="26" t="n">
        <v>53</v>
      </c>
      <c r="Q238" s="26" t="n">
        <f aca="false">IFERROR(3600/(P238/O238),"")</f>
        <v>271.698113207547</v>
      </c>
      <c r="R238" s="26" t="n">
        <v>2246</v>
      </c>
      <c r="S238" s="26" t="n">
        <v>40</v>
      </c>
      <c r="T238" s="26" t="n">
        <f aca="false">IFERROR(J238-S238,"")</f>
        <v>680</v>
      </c>
      <c r="U238" s="26"/>
      <c r="V238" s="26"/>
      <c r="W238" s="26"/>
      <c r="X238" s="26"/>
      <c r="Y238" s="26"/>
      <c r="Z238" s="26"/>
      <c r="AA238" s="26"/>
      <c r="AB238" s="26" t="n">
        <v>13</v>
      </c>
      <c r="AC238" s="26"/>
      <c r="AD238" s="26"/>
      <c r="AE238" s="26"/>
      <c r="AF238" s="26" t="n">
        <f aca="false">SUM(U238:AE238)</f>
        <v>13</v>
      </c>
      <c r="AG238" s="26" t="n">
        <f aca="false">T238-AF238</f>
        <v>667</v>
      </c>
      <c r="AH238" s="28" t="n">
        <f aca="false">IFERROR(AG238/T238,"")</f>
        <v>0.980882352941176</v>
      </c>
      <c r="AI238" s="29" t="n">
        <f aca="false">IFERROR(R238/AG238*60,"")</f>
        <v>202.038980509745</v>
      </c>
      <c r="AJ238" s="30" t="n">
        <f aca="false">IFERROR(AI238/Q238,"")</f>
        <v>0.743615692153923</v>
      </c>
      <c r="AK238" s="31" t="n">
        <f aca="false">IFERROR(R238/(T238/60*Q238),"")</f>
        <v>0.729399509803922</v>
      </c>
      <c r="AL238" s="26" t="n">
        <v>5</v>
      </c>
      <c r="AM238" s="26" t="n">
        <v>4</v>
      </c>
      <c r="AN238" s="26" t="n">
        <v>4</v>
      </c>
      <c r="AO238" s="26" t="n">
        <v>2</v>
      </c>
      <c r="AP238" s="26" t="n">
        <v>2</v>
      </c>
      <c r="AQ238" s="26" t="n">
        <v>1</v>
      </c>
      <c r="AR238" s="26"/>
      <c r="AS238" s="26" t="n">
        <v>3</v>
      </c>
      <c r="AT238" s="26" t="n">
        <v>2</v>
      </c>
      <c r="AU238" s="26" t="n">
        <v>3</v>
      </c>
      <c r="AV238" s="26" t="n">
        <f aca="false">SUM(AL238:AU238)</f>
        <v>26</v>
      </c>
      <c r="AW238" s="32" t="n">
        <f aca="false">IFERROR(AV238/R238*1000000,"")</f>
        <v>11576.1353517364</v>
      </c>
      <c r="AX238" s="33" t="n">
        <f aca="false">IFERROR((R238-AV238)/R238,"")</f>
        <v>0.988423864648264</v>
      </c>
      <c r="AY238" s="34" t="n">
        <f aca="false">IFERROR(AH238*AJ238*AX238,"")</f>
        <v>0.720955882352941</v>
      </c>
      <c r="AZ238" s="35"/>
    </row>
    <row r="239" customFormat="false" ht="12.75" hidden="false" customHeight="true" outlineLevel="0" collapsed="false">
      <c r="A239" s="24" t="n">
        <v>235</v>
      </c>
      <c r="B239" s="25" t="n">
        <v>46101</v>
      </c>
      <c r="C239" s="25" t="n">
        <v>12</v>
      </c>
      <c r="D239" s="26" t="s">
        <v>71</v>
      </c>
      <c r="E239" s="26" t="s">
        <v>72</v>
      </c>
      <c r="F239" s="26" t="s">
        <v>73</v>
      </c>
      <c r="G239" s="26" t="s">
        <v>8</v>
      </c>
      <c r="H239" s="27" t="n">
        <v>0.354166666666667</v>
      </c>
      <c r="I239" s="27" t="n">
        <v>0.854166666666667</v>
      </c>
      <c r="J239" s="26" t="n">
        <f aca="false">IFERROR((I239-H239)*24*60,"")</f>
        <v>720</v>
      </c>
      <c r="K239" s="26" t="s">
        <v>82</v>
      </c>
      <c r="L239" s="26" t="s">
        <v>75</v>
      </c>
      <c r="M239" s="26" t="s">
        <v>76</v>
      </c>
      <c r="N239" s="26" t="s">
        <v>77</v>
      </c>
      <c r="O239" s="26" t="n">
        <v>4</v>
      </c>
      <c r="P239" s="26" t="n">
        <v>66</v>
      </c>
      <c r="Q239" s="26" t="n">
        <f aca="false">IFERROR(3600/(P239/O239),"")</f>
        <v>218.181818181818</v>
      </c>
      <c r="R239" s="26" t="n">
        <v>1937</v>
      </c>
      <c r="S239" s="26" t="n">
        <v>61</v>
      </c>
      <c r="T239" s="26" t="n">
        <f aca="false">IFERROR(J239-S239,"")</f>
        <v>659</v>
      </c>
      <c r="U239" s="26" t="n">
        <v>17</v>
      </c>
      <c r="V239" s="26"/>
      <c r="W239" s="26"/>
      <c r="X239" s="26"/>
      <c r="Y239" s="26" t="n">
        <v>14</v>
      </c>
      <c r="Z239" s="26"/>
      <c r="AA239" s="26"/>
      <c r="AB239" s="26"/>
      <c r="AC239" s="26"/>
      <c r="AD239" s="26"/>
      <c r="AE239" s="26"/>
      <c r="AF239" s="26" t="n">
        <f aca="false">SUM(U239:AE239)</f>
        <v>31</v>
      </c>
      <c r="AG239" s="26" t="n">
        <f aca="false">T239-AF239</f>
        <v>628</v>
      </c>
      <c r="AH239" s="28" t="n">
        <f aca="false">IFERROR(AG239/T239,"")</f>
        <v>0.952959028831563</v>
      </c>
      <c r="AI239" s="29" t="n">
        <f aca="false">IFERROR(R239/AG239*60,"")</f>
        <v>185.063694267516</v>
      </c>
      <c r="AJ239" s="30" t="n">
        <f aca="false">IFERROR(AI239/Q239,"")</f>
        <v>0.848208598726115</v>
      </c>
      <c r="AK239" s="31" t="n">
        <f aca="false">IFERROR(R239/(T239/60*Q239),"")</f>
        <v>0.808308042488619</v>
      </c>
      <c r="AL239" s="26" t="n">
        <v>2</v>
      </c>
      <c r="AM239" s="26" t="n">
        <v>3</v>
      </c>
      <c r="AN239" s="26" t="n">
        <v>3</v>
      </c>
      <c r="AO239" s="26" t="n">
        <v>4</v>
      </c>
      <c r="AP239" s="26" t="n">
        <v>4</v>
      </c>
      <c r="AQ239" s="26" t="n">
        <v>4</v>
      </c>
      <c r="AR239" s="26" t="n">
        <v>5</v>
      </c>
      <c r="AS239" s="26" t="n">
        <v>3</v>
      </c>
      <c r="AT239" s="26" t="n">
        <v>4</v>
      </c>
      <c r="AU239" s="26" t="n">
        <v>3</v>
      </c>
      <c r="AV239" s="26" t="n">
        <f aca="false">SUM(AL239:AU239)</f>
        <v>35</v>
      </c>
      <c r="AW239" s="32" t="n">
        <f aca="false">IFERROR(AV239/R239*1000000,"")</f>
        <v>18069.1791430046</v>
      </c>
      <c r="AX239" s="33" t="n">
        <f aca="false">IFERROR((R239-AV239)/R239,"")</f>
        <v>0.981930820856995</v>
      </c>
      <c r="AY239" s="34" t="n">
        <f aca="false">IFERROR(AH239*AJ239*AX239,"")</f>
        <v>0.793702579666161</v>
      </c>
      <c r="AZ239" s="35" t="s">
        <v>78</v>
      </c>
    </row>
    <row r="240" customFormat="false" ht="12.75" hidden="false" customHeight="true" outlineLevel="0" collapsed="false">
      <c r="A240" s="24" t="n">
        <v>236</v>
      </c>
      <c r="B240" s="25" t="n">
        <v>46101</v>
      </c>
      <c r="C240" s="25" t="n">
        <v>12</v>
      </c>
      <c r="D240" s="26" t="s">
        <v>79</v>
      </c>
      <c r="E240" s="26" t="s">
        <v>80</v>
      </c>
      <c r="F240" s="26" t="s">
        <v>81</v>
      </c>
      <c r="G240" s="26" t="s">
        <v>9</v>
      </c>
      <c r="H240" s="27" t="n">
        <v>0.354166666666667</v>
      </c>
      <c r="I240" s="27" t="n">
        <v>0.854166666666667</v>
      </c>
      <c r="J240" s="26" t="n">
        <f aca="false">IFERROR((I240-H240)*24*60,"")</f>
        <v>720</v>
      </c>
      <c r="K240" s="26" t="s">
        <v>82</v>
      </c>
      <c r="L240" s="26" t="s">
        <v>90</v>
      </c>
      <c r="M240" s="26" t="s">
        <v>84</v>
      </c>
      <c r="N240" s="26" t="s">
        <v>85</v>
      </c>
      <c r="O240" s="26" t="n">
        <v>4</v>
      </c>
      <c r="P240" s="26" t="n">
        <v>63</v>
      </c>
      <c r="Q240" s="26" t="n">
        <f aca="false">IFERROR(3600/(P240/O240),"")</f>
        <v>228.571428571429</v>
      </c>
      <c r="R240" s="26" t="n">
        <v>1671</v>
      </c>
      <c r="S240" s="26" t="n">
        <v>67</v>
      </c>
      <c r="T240" s="26" t="n">
        <f aca="false">IFERROR(J240-S240,"")</f>
        <v>653</v>
      </c>
      <c r="U240" s="26" t="n">
        <v>6</v>
      </c>
      <c r="V240" s="26"/>
      <c r="W240" s="26"/>
      <c r="X240" s="26"/>
      <c r="Y240" s="26" t="n">
        <v>25</v>
      </c>
      <c r="Z240" s="26"/>
      <c r="AA240" s="26"/>
      <c r="AB240" s="26"/>
      <c r="AC240" s="26"/>
      <c r="AD240" s="26"/>
      <c r="AE240" s="26"/>
      <c r="AF240" s="26" t="n">
        <f aca="false">SUM(U240:AE240)</f>
        <v>31</v>
      </c>
      <c r="AG240" s="26" t="n">
        <f aca="false">T240-AF240</f>
        <v>622</v>
      </c>
      <c r="AH240" s="28" t="n">
        <f aca="false">IFERROR(AG240/T240,"")</f>
        <v>0.952526799387443</v>
      </c>
      <c r="AI240" s="29" t="n">
        <f aca="false">IFERROR(R240/AG240*60,"")</f>
        <v>161.189710610932</v>
      </c>
      <c r="AJ240" s="30" t="n">
        <f aca="false">IFERROR(AI240/Q240,"")</f>
        <v>0.70520498392283</v>
      </c>
      <c r="AK240" s="31" t="n">
        <f aca="false">IFERROR(R240/(T240/60*Q240),"")</f>
        <v>0.671726646248086</v>
      </c>
      <c r="AL240" s="26" t="n">
        <v>3</v>
      </c>
      <c r="AM240" s="26" t="n">
        <v>2</v>
      </c>
      <c r="AN240" s="26" t="n">
        <v>3</v>
      </c>
      <c r="AO240" s="26" t="n">
        <v>1</v>
      </c>
      <c r="AP240" s="26" t="n">
        <v>5</v>
      </c>
      <c r="AQ240" s="26"/>
      <c r="AR240" s="26"/>
      <c r="AS240" s="26" t="n">
        <v>4</v>
      </c>
      <c r="AT240" s="26" t="n">
        <v>2</v>
      </c>
      <c r="AU240" s="26" t="n">
        <v>2</v>
      </c>
      <c r="AV240" s="26" t="n">
        <f aca="false">SUM(AL240:AU240)</f>
        <v>22</v>
      </c>
      <c r="AW240" s="32" t="n">
        <f aca="false">IFERROR(AV240/R240*1000000,"")</f>
        <v>13165.7690005984</v>
      </c>
      <c r="AX240" s="33" t="n">
        <f aca="false">IFERROR((R240-AV240)/R240,"")</f>
        <v>0.986834230999402</v>
      </c>
      <c r="AY240" s="34" t="n">
        <f aca="false">IFERROR(AH240*AJ240*AX240,"")</f>
        <v>0.662882848392037</v>
      </c>
      <c r="AZ240" s="35"/>
    </row>
    <row r="241" customFormat="false" ht="12.75" hidden="false" customHeight="true" outlineLevel="0" collapsed="false">
      <c r="A241" s="24" t="n">
        <v>237</v>
      </c>
      <c r="B241" s="25" t="n">
        <v>46101</v>
      </c>
      <c r="C241" s="25" t="n">
        <v>12</v>
      </c>
      <c r="D241" s="26" t="s">
        <v>87</v>
      </c>
      <c r="E241" s="26" t="s">
        <v>88</v>
      </c>
      <c r="F241" s="26" t="s">
        <v>73</v>
      </c>
      <c r="G241" s="26" t="s">
        <v>10</v>
      </c>
      <c r="H241" s="27" t="n">
        <v>0.354166666666667</v>
      </c>
      <c r="I241" s="27" t="n">
        <v>0.854166666666667</v>
      </c>
      <c r="J241" s="26" t="n">
        <f aca="false">IFERROR((I241-H241)*24*60,"")</f>
        <v>720</v>
      </c>
      <c r="K241" s="26" t="s">
        <v>89</v>
      </c>
      <c r="L241" s="26" t="s">
        <v>107</v>
      </c>
      <c r="M241" s="26" t="s">
        <v>91</v>
      </c>
      <c r="N241" s="26" t="s">
        <v>92</v>
      </c>
      <c r="O241" s="26" t="n">
        <v>1</v>
      </c>
      <c r="P241" s="26" t="n">
        <v>40</v>
      </c>
      <c r="Q241" s="26" t="n">
        <f aca="false">IFERROR(3600/(P241/O241),"")</f>
        <v>90</v>
      </c>
      <c r="R241" s="26" t="n">
        <v>755</v>
      </c>
      <c r="S241" s="26" t="n">
        <v>52</v>
      </c>
      <c r="T241" s="26" t="n">
        <f aca="false">IFERROR(J241-S241,"")</f>
        <v>668</v>
      </c>
      <c r="U241" s="26"/>
      <c r="V241" s="26" t="n">
        <v>3</v>
      </c>
      <c r="W241" s="26"/>
      <c r="X241" s="26"/>
      <c r="Y241" s="26"/>
      <c r="Z241" s="26"/>
      <c r="AA241" s="26"/>
      <c r="AB241" s="26"/>
      <c r="AC241" s="26"/>
      <c r="AD241" s="26"/>
      <c r="AE241" s="26" t="n">
        <v>5</v>
      </c>
      <c r="AF241" s="26" t="n">
        <f aca="false">SUM(U241:AE241)</f>
        <v>8</v>
      </c>
      <c r="AG241" s="26" t="n">
        <f aca="false">T241-AF241</f>
        <v>660</v>
      </c>
      <c r="AH241" s="28" t="n">
        <f aca="false">IFERROR(AG241/T241,"")</f>
        <v>0.988023952095808</v>
      </c>
      <c r="AI241" s="29" t="n">
        <f aca="false">IFERROR(R241/AG241*60,"")</f>
        <v>68.6363636363636</v>
      </c>
      <c r="AJ241" s="30" t="n">
        <f aca="false">IFERROR(AI241/Q241,"")</f>
        <v>0.762626262626263</v>
      </c>
      <c r="AK241" s="31" t="n">
        <f aca="false">IFERROR(R241/(T241/60*Q241),"")</f>
        <v>0.753493013972056</v>
      </c>
      <c r="AL241" s="26" t="n">
        <v>1</v>
      </c>
      <c r="AM241" s="26" t="n">
        <v>1</v>
      </c>
      <c r="AN241" s="26" t="n">
        <v>1</v>
      </c>
      <c r="AO241" s="26" t="n">
        <v>3</v>
      </c>
      <c r="AP241" s="26" t="n">
        <v>1</v>
      </c>
      <c r="AQ241" s="26" t="n">
        <v>1</v>
      </c>
      <c r="AR241" s="26" t="n">
        <v>3</v>
      </c>
      <c r="AS241" s="26" t="n">
        <v>1</v>
      </c>
      <c r="AT241" s="26"/>
      <c r="AU241" s="26" t="n">
        <v>1</v>
      </c>
      <c r="AV241" s="26" t="n">
        <f aca="false">SUM(AL241:AU241)</f>
        <v>13</v>
      </c>
      <c r="AW241" s="32" t="n">
        <f aca="false">IFERROR(AV241/R241*1000000,"")</f>
        <v>17218.5430463576</v>
      </c>
      <c r="AX241" s="33" t="n">
        <f aca="false">IFERROR((R241-AV241)/R241,"")</f>
        <v>0.982781456953642</v>
      </c>
      <c r="AY241" s="34" t="n">
        <f aca="false">IFERROR(AH241*AJ241*AX241,"")</f>
        <v>0.740518962075848</v>
      </c>
      <c r="AZ241" s="35" t="s">
        <v>93</v>
      </c>
    </row>
    <row r="242" customFormat="false" ht="12.75" hidden="false" customHeight="true" outlineLevel="0" collapsed="false">
      <c r="A242" s="24" t="n">
        <v>238</v>
      </c>
      <c r="B242" s="25" t="n">
        <v>46102</v>
      </c>
      <c r="C242" s="25" t="n">
        <v>12</v>
      </c>
      <c r="D242" s="26" t="s">
        <v>71</v>
      </c>
      <c r="E242" s="26" t="s">
        <v>94</v>
      </c>
      <c r="F242" s="26" t="s">
        <v>81</v>
      </c>
      <c r="G242" s="26" t="s">
        <v>11</v>
      </c>
      <c r="H242" s="27" t="n">
        <v>0.354166666666667</v>
      </c>
      <c r="I242" s="27" t="n">
        <v>0.854166666666667</v>
      </c>
      <c r="J242" s="26" t="n">
        <f aca="false">IFERROR((I242-H242)*24*60,"")</f>
        <v>720</v>
      </c>
      <c r="K242" s="26" t="s">
        <v>89</v>
      </c>
      <c r="L242" s="26" t="s">
        <v>83</v>
      </c>
      <c r="M242" s="26" t="s">
        <v>95</v>
      </c>
      <c r="N242" s="26" t="s">
        <v>96</v>
      </c>
      <c r="O242" s="26" t="n">
        <v>2</v>
      </c>
      <c r="P242" s="26" t="n">
        <v>60</v>
      </c>
      <c r="Q242" s="26" t="n">
        <f aca="false">IFERROR(3600/(P242/O242),"")</f>
        <v>120</v>
      </c>
      <c r="R242" s="26" t="n">
        <v>1074</v>
      </c>
      <c r="S242" s="26" t="n">
        <v>49</v>
      </c>
      <c r="T242" s="26" t="n">
        <f aca="false">IFERROR(J242-S242,"")</f>
        <v>671</v>
      </c>
      <c r="U242" s="26"/>
      <c r="V242" s="26"/>
      <c r="W242" s="26" t="n">
        <v>21</v>
      </c>
      <c r="X242" s="26" t="n">
        <v>13</v>
      </c>
      <c r="Y242" s="26"/>
      <c r="Z242" s="26"/>
      <c r="AA242" s="26"/>
      <c r="AB242" s="26"/>
      <c r="AC242" s="26"/>
      <c r="AD242" s="26"/>
      <c r="AE242" s="26"/>
      <c r="AF242" s="26" t="n">
        <f aca="false">SUM(U242:AE242)</f>
        <v>34</v>
      </c>
      <c r="AG242" s="26" t="n">
        <f aca="false">T242-AF242</f>
        <v>637</v>
      </c>
      <c r="AH242" s="28" t="n">
        <f aca="false">IFERROR(AG242/T242,"")</f>
        <v>0.949329359165425</v>
      </c>
      <c r="AI242" s="29" t="n">
        <f aca="false">IFERROR(R242/AG242*60,"")</f>
        <v>101.16169544741</v>
      </c>
      <c r="AJ242" s="30" t="n">
        <f aca="false">IFERROR(AI242/Q242,"")</f>
        <v>0.843014128728414</v>
      </c>
      <c r="AK242" s="31" t="n">
        <f aca="false">IFERROR(R242/(T242/60*Q242),"")</f>
        <v>0.800298062593145</v>
      </c>
      <c r="AL242" s="26"/>
      <c r="AM242" s="26" t="n">
        <v>1</v>
      </c>
      <c r="AN242" s="26"/>
      <c r="AO242" s="26" t="n">
        <v>1</v>
      </c>
      <c r="AP242" s="26" t="n">
        <v>3</v>
      </c>
      <c r="AQ242" s="26"/>
      <c r="AR242" s="26" t="n">
        <v>1</v>
      </c>
      <c r="AS242" s="26"/>
      <c r="AT242" s="26" t="n">
        <v>1</v>
      </c>
      <c r="AU242" s="26" t="n">
        <v>1</v>
      </c>
      <c r="AV242" s="26" t="n">
        <f aca="false">SUM(AL242:AU242)</f>
        <v>8</v>
      </c>
      <c r="AW242" s="32" t="n">
        <f aca="false">IFERROR(AV242/R242*1000000,"")</f>
        <v>7448.7895716946</v>
      </c>
      <c r="AX242" s="33" t="n">
        <f aca="false">IFERROR((R242-AV242)/R242,"")</f>
        <v>0.992551210428305</v>
      </c>
      <c r="AY242" s="34" t="n">
        <f aca="false">IFERROR(AH242*AJ242*AX242,"")</f>
        <v>0.794336810730253</v>
      </c>
      <c r="AZ242" s="35"/>
    </row>
    <row r="243" customFormat="false" ht="12.75" hidden="false" customHeight="true" outlineLevel="0" collapsed="false">
      <c r="A243" s="24" t="n">
        <v>239</v>
      </c>
      <c r="B243" s="25" t="n">
        <v>46102</v>
      </c>
      <c r="C243" s="25" t="n">
        <v>12</v>
      </c>
      <c r="D243" s="26" t="s">
        <v>79</v>
      </c>
      <c r="E243" s="26" t="s">
        <v>97</v>
      </c>
      <c r="F243" s="26" t="s">
        <v>73</v>
      </c>
      <c r="G243" s="26" t="s">
        <v>12</v>
      </c>
      <c r="H243" s="27" t="n">
        <v>0.354166666666667</v>
      </c>
      <c r="I243" s="27" t="n">
        <v>0.854166666666667</v>
      </c>
      <c r="J243" s="26" t="n">
        <f aca="false">IFERROR((I243-H243)*24*60,"")</f>
        <v>720</v>
      </c>
      <c r="K243" s="26" t="s">
        <v>82</v>
      </c>
      <c r="L243" s="26" t="s">
        <v>83</v>
      </c>
      <c r="M243" s="26" t="s">
        <v>99</v>
      </c>
      <c r="N243" s="26" t="s">
        <v>100</v>
      </c>
      <c r="O243" s="26" t="n">
        <v>2</v>
      </c>
      <c r="P243" s="26" t="n">
        <v>57</v>
      </c>
      <c r="Q243" s="26" t="n">
        <f aca="false">IFERROR(3600/(P243/O243),"")</f>
        <v>126.315789473684</v>
      </c>
      <c r="R243" s="26" t="n">
        <v>1168</v>
      </c>
      <c r="S243" s="26" t="n">
        <v>57</v>
      </c>
      <c r="T243" s="26" t="n">
        <f aca="false">IFERROR(J243-S243,"")</f>
        <v>663</v>
      </c>
      <c r="U243" s="26"/>
      <c r="V243" s="26"/>
      <c r="W243" s="26"/>
      <c r="X243" s="26"/>
      <c r="Y243" s="26"/>
      <c r="Z243" s="26" t="n">
        <v>5</v>
      </c>
      <c r="AA243" s="26"/>
      <c r="AB243" s="26"/>
      <c r="AC243" s="26"/>
      <c r="AD243" s="26"/>
      <c r="AE243" s="26" t="n">
        <v>11</v>
      </c>
      <c r="AF243" s="26" t="n">
        <f aca="false">SUM(U243:AE243)</f>
        <v>16</v>
      </c>
      <c r="AG243" s="26" t="n">
        <f aca="false">T243-AF243</f>
        <v>647</v>
      </c>
      <c r="AH243" s="28" t="n">
        <f aca="false">IFERROR(AG243/T243,"")</f>
        <v>0.975867269984917</v>
      </c>
      <c r="AI243" s="29" t="n">
        <f aca="false">IFERROR(R243/AG243*60,"")</f>
        <v>108.315301391036</v>
      </c>
      <c r="AJ243" s="30" t="n">
        <f aca="false">IFERROR(AI243/Q243,"")</f>
        <v>0.857496136012365</v>
      </c>
      <c r="AK243" s="31" t="n">
        <f aca="false">IFERROR(R243/(T243/60*Q243),"")</f>
        <v>0.836802413273001</v>
      </c>
      <c r="AL243" s="26" t="n">
        <v>2</v>
      </c>
      <c r="AM243" s="26" t="n">
        <v>1</v>
      </c>
      <c r="AN243" s="26" t="n">
        <v>1</v>
      </c>
      <c r="AO243" s="26" t="n">
        <v>1</v>
      </c>
      <c r="AP243" s="26" t="n">
        <v>1</v>
      </c>
      <c r="AQ243" s="26"/>
      <c r="AR243" s="26" t="n">
        <v>4</v>
      </c>
      <c r="AS243" s="26" t="n">
        <v>2</v>
      </c>
      <c r="AT243" s="26" t="n">
        <v>1</v>
      </c>
      <c r="AU243" s="26" t="n">
        <v>1</v>
      </c>
      <c r="AV243" s="26" t="n">
        <f aca="false">SUM(AL243:AU243)</f>
        <v>14</v>
      </c>
      <c r="AW243" s="32" t="n">
        <f aca="false">IFERROR(AV243/R243*1000000,"")</f>
        <v>11986.301369863</v>
      </c>
      <c r="AX243" s="33" t="n">
        <f aca="false">IFERROR((R243-AV243)/R243,"")</f>
        <v>0.988013698630137</v>
      </c>
      <c r="AY243" s="34" t="n">
        <f aca="false">IFERROR(AH243*AJ243*AX243,"")</f>
        <v>0.826772247360483</v>
      </c>
      <c r="AZ243" s="35" t="s">
        <v>93</v>
      </c>
    </row>
    <row r="244" customFormat="false" ht="12.75" hidden="false" customHeight="true" outlineLevel="0" collapsed="false">
      <c r="A244" s="24" t="n">
        <v>240</v>
      </c>
      <c r="B244" s="25" t="n">
        <v>46102</v>
      </c>
      <c r="C244" s="25" t="n">
        <v>12</v>
      </c>
      <c r="D244" s="26" t="s">
        <v>87</v>
      </c>
      <c r="E244" s="26" t="s">
        <v>101</v>
      </c>
      <c r="F244" s="26" t="s">
        <v>81</v>
      </c>
      <c r="G244" s="26" t="s">
        <v>13</v>
      </c>
      <c r="H244" s="27" t="n">
        <v>0.354166666666667</v>
      </c>
      <c r="I244" s="27" t="n">
        <v>0.854166666666667</v>
      </c>
      <c r="J244" s="26" t="n">
        <f aca="false">IFERROR((I244-H244)*24*60,"")</f>
        <v>720</v>
      </c>
      <c r="K244" s="26" t="s">
        <v>82</v>
      </c>
      <c r="L244" s="26" t="s">
        <v>102</v>
      </c>
      <c r="M244" s="26" t="s">
        <v>103</v>
      </c>
      <c r="N244" s="26" t="s">
        <v>104</v>
      </c>
      <c r="O244" s="26" t="n">
        <v>2</v>
      </c>
      <c r="P244" s="26" t="n">
        <v>49</v>
      </c>
      <c r="Q244" s="26" t="n">
        <f aca="false">IFERROR(3600/(P244/O244),"")</f>
        <v>146.938775510204</v>
      </c>
      <c r="R244" s="26" t="n">
        <v>1445</v>
      </c>
      <c r="S244" s="26" t="n">
        <v>33</v>
      </c>
      <c r="T244" s="26" t="n">
        <f aca="false">IFERROR(J244-S244,"")</f>
        <v>687</v>
      </c>
      <c r="U244" s="26" t="n">
        <v>10</v>
      </c>
      <c r="V244" s="26"/>
      <c r="W244" s="26"/>
      <c r="X244" s="26"/>
      <c r="Y244" s="26"/>
      <c r="Z244" s="26"/>
      <c r="AA244" s="26"/>
      <c r="AB244" s="26"/>
      <c r="AC244" s="26" t="n">
        <v>28</v>
      </c>
      <c r="AD244" s="26"/>
      <c r="AE244" s="26"/>
      <c r="AF244" s="26" t="n">
        <f aca="false">SUM(U244:AE244)</f>
        <v>38</v>
      </c>
      <c r="AG244" s="26" t="n">
        <f aca="false">T244-AF244</f>
        <v>649</v>
      </c>
      <c r="AH244" s="28" t="n">
        <f aca="false">IFERROR(AG244/T244,"")</f>
        <v>0.944687045123726</v>
      </c>
      <c r="AI244" s="29" t="n">
        <f aca="false">IFERROR(R244/AG244*60,"")</f>
        <v>133.590138674884</v>
      </c>
      <c r="AJ244" s="30" t="n">
        <f aca="false">IFERROR(AI244/Q244,"")</f>
        <v>0.909155110426297</v>
      </c>
      <c r="AK244" s="31" t="n">
        <f aca="false">IFERROR(R244/(T244/60*Q244),"")</f>
        <v>0.858867054827754</v>
      </c>
      <c r="AL244" s="26"/>
      <c r="AM244" s="26" t="n">
        <v>2</v>
      </c>
      <c r="AN244" s="26"/>
      <c r="AO244" s="26"/>
      <c r="AP244" s="26" t="n">
        <v>1</v>
      </c>
      <c r="AQ244" s="26" t="n">
        <v>1</v>
      </c>
      <c r="AR244" s="26"/>
      <c r="AS244" s="26"/>
      <c r="AT244" s="26"/>
      <c r="AU244" s="26" t="n">
        <v>1</v>
      </c>
      <c r="AV244" s="26" t="n">
        <f aca="false">SUM(AL244:AU244)</f>
        <v>5</v>
      </c>
      <c r="AW244" s="32" t="n">
        <f aca="false">IFERROR(AV244/R244*1000000,"")</f>
        <v>3460.20761245675</v>
      </c>
      <c r="AX244" s="33" t="n">
        <f aca="false">IFERROR((R244-AV244)/R244,"")</f>
        <v>0.996539792387543</v>
      </c>
      <c r="AY244" s="34" t="n">
        <f aca="false">IFERROR(AH244*AJ244*AX244,"")</f>
        <v>0.85589519650655</v>
      </c>
      <c r="AZ244" s="35" t="s">
        <v>93</v>
      </c>
    </row>
    <row r="245" customFormat="false" ht="12.75" hidden="false" customHeight="true" outlineLevel="0" collapsed="false">
      <c r="A245" s="24" t="n">
        <v>241</v>
      </c>
      <c r="B245" s="25" t="n">
        <v>46103</v>
      </c>
      <c r="C245" s="25" t="n">
        <v>12</v>
      </c>
      <c r="D245" s="26" t="s">
        <v>71</v>
      </c>
      <c r="E245" s="26" t="s">
        <v>72</v>
      </c>
      <c r="F245" s="26" t="s">
        <v>73</v>
      </c>
      <c r="G245" s="26" t="s">
        <v>8</v>
      </c>
      <c r="H245" s="27" t="n">
        <v>0.354166666666667</v>
      </c>
      <c r="I245" s="27" t="n">
        <v>0.854166666666667</v>
      </c>
      <c r="J245" s="26" t="n">
        <f aca="false">IFERROR((I245-H245)*24*60,"")</f>
        <v>720</v>
      </c>
      <c r="K245" s="26" t="s">
        <v>82</v>
      </c>
      <c r="L245" s="26" t="s">
        <v>90</v>
      </c>
      <c r="M245" s="26" t="s">
        <v>76</v>
      </c>
      <c r="N245" s="26" t="s">
        <v>77</v>
      </c>
      <c r="O245" s="26" t="n">
        <v>1</v>
      </c>
      <c r="P245" s="26" t="n">
        <v>68</v>
      </c>
      <c r="Q245" s="26" t="n">
        <f aca="false">IFERROR(3600/(P245/O245),"")</f>
        <v>52.9411764705882</v>
      </c>
      <c r="R245" s="26" t="n">
        <v>460</v>
      </c>
      <c r="S245" s="26" t="n">
        <v>33</v>
      </c>
      <c r="T245" s="26" t="n">
        <f aca="false">IFERROR(J245-S245,"")</f>
        <v>687</v>
      </c>
      <c r="U245" s="26"/>
      <c r="V245" s="26"/>
      <c r="W245" s="26"/>
      <c r="X245" s="26"/>
      <c r="Y245" s="26"/>
      <c r="Z245" s="26"/>
      <c r="AA245" s="26"/>
      <c r="AB245" s="26" t="n">
        <v>11</v>
      </c>
      <c r="AC245" s="26"/>
      <c r="AD245" s="26"/>
      <c r="AE245" s="26"/>
      <c r="AF245" s="26" t="n">
        <f aca="false">SUM(U245:AE245)</f>
        <v>11</v>
      </c>
      <c r="AG245" s="26" t="n">
        <f aca="false">T245-AF245</f>
        <v>676</v>
      </c>
      <c r="AH245" s="28" t="n">
        <f aca="false">IFERROR(AG245/T245,"")</f>
        <v>0.983988355167395</v>
      </c>
      <c r="AI245" s="29" t="n">
        <f aca="false">IFERROR(R245/AG245*60,"")</f>
        <v>40.8284023668639</v>
      </c>
      <c r="AJ245" s="30" t="n">
        <f aca="false">IFERROR(AI245/Q245,"")</f>
        <v>0.771203155818541</v>
      </c>
      <c r="AK245" s="31" t="n">
        <f aca="false">IFERROR(R245/(T245/60*Q245),"")</f>
        <v>0.75885492479379</v>
      </c>
      <c r="AL245" s="26"/>
      <c r="AM245" s="26"/>
      <c r="AN245" s="26" t="n">
        <v>1</v>
      </c>
      <c r="AO245" s="26"/>
      <c r="AP245" s="26" t="n">
        <v>1</v>
      </c>
      <c r="AQ245" s="26"/>
      <c r="AR245" s="26"/>
      <c r="AS245" s="26"/>
      <c r="AT245" s="26"/>
      <c r="AU245" s="26"/>
      <c r="AV245" s="26" t="n">
        <f aca="false">SUM(AL245:AU245)</f>
        <v>2</v>
      </c>
      <c r="AW245" s="32" t="n">
        <f aca="false">IFERROR(AV245/R245*1000000,"")</f>
        <v>4347.82608695652</v>
      </c>
      <c r="AX245" s="33" t="n">
        <f aca="false">IFERROR((R245-AV245)/R245,"")</f>
        <v>0.995652173913044</v>
      </c>
      <c r="AY245" s="34" t="n">
        <f aca="false">IFERROR(AH245*AJ245*AX245,"")</f>
        <v>0.755555555555556</v>
      </c>
      <c r="AZ245" s="35"/>
    </row>
    <row r="246" customFormat="false" ht="12.75" hidden="false" customHeight="true" outlineLevel="0" collapsed="false">
      <c r="A246" s="24" t="n">
        <v>242</v>
      </c>
      <c r="B246" s="25" t="n">
        <v>46103</v>
      </c>
      <c r="C246" s="25" t="n">
        <v>12</v>
      </c>
      <c r="D246" s="26" t="s">
        <v>79</v>
      </c>
      <c r="E246" s="26" t="s">
        <v>80</v>
      </c>
      <c r="F246" s="26" t="s">
        <v>81</v>
      </c>
      <c r="G246" s="26" t="s">
        <v>9</v>
      </c>
      <c r="H246" s="27" t="n">
        <v>0.354166666666667</v>
      </c>
      <c r="I246" s="27" t="n">
        <v>0.854166666666667</v>
      </c>
      <c r="J246" s="26" t="n">
        <f aca="false">IFERROR((I246-H246)*24*60,"")</f>
        <v>720</v>
      </c>
      <c r="K246" s="26" t="s">
        <v>105</v>
      </c>
      <c r="L246" s="26" t="s">
        <v>98</v>
      </c>
      <c r="M246" s="26" t="s">
        <v>84</v>
      </c>
      <c r="N246" s="26" t="s">
        <v>85</v>
      </c>
      <c r="O246" s="26" t="n">
        <v>1</v>
      </c>
      <c r="P246" s="26" t="n">
        <v>28</v>
      </c>
      <c r="Q246" s="26" t="n">
        <f aca="false">IFERROR(3600/(P246/O246),"")</f>
        <v>128.571428571429</v>
      </c>
      <c r="R246" s="26" t="n">
        <v>950</v>
      </c>
      <c r="S246" s="26" t="n">
        <v>69</v>
      </c>
      <c r="T246" s="26" t="n">
        <f aca="false">IFERROR(J246-S246,"")</f>
        <v>651</v>
      </c>
      <c r="U246" s="26"/>
      <c r="V246" s="26" t="n">
        <v>24</v>
      </c>
      <c r="W246" s="26"/>
      <c r="X246" s="26" t="n">
        <v>11</v>
      </c>
      <c r="Y246" s="26"/>
      <c r="Z246" s="26"/>
      <c r="AA246" s="26"/>
      <c r="AB246" s="26"/>
      <c r="AC246" s="26"/>
      <c r="AD246" s="26"/>
      <c r="AE246" s="26"/>
      <c r="AF246" s="26" t="n">
        <f aca="false">SUM(U246:AE246)</f>
        <v>35</v>
      </c>
      <c r="AG246" s="26" t="n">
        <f aca="false">T246-AF246</f>
        <v>616</v>
      </c>
      <c r="AH246" s="28" t="n">
        <f aca="false">IFERROR(AG246/T246,"")</f>
        <v>0.946236559139785</v>
      </c>
      <c r="AI246" s="29" t="n">
        <f aca="false">IFERROR(R246/AG246*60,"")</f>
        <v>92.5324675324675</v>
      </c>
      <c r="AJ246" s="30" t="n">
        <f aca="false">IFERROR(AI246/Q246,"")</f>
        <v>0.71969696969697</v>
      </c>
      <c r="AK246" s="31" t="n">
        <f aca="false">IFERROR(R246/(T246/60*Q246),"")</f>
        <v>0.681003584229391</v>
      </c>
      <c r="AL246" s="26" t="n">
        <v>2</v>
      </c>
      <c r="AM246" s="26"/>
      <c r="AN246" s="26"/>
      <c r="AO246" s="26"/>
      <c r="AP246" s="26"/>
      <c r="AQ246" s="26"/>
      <c r="AR246" s="26" t="n">
        <v>1</v>
      </c>
      <c r="AS246" s="26" t="n">
        <v>2</v>
      </c>
      <c r="AT246" s="26" t="n">
        <v>1</v>
      </c>
      <c r="AU246" s="26"/>
      <c r="AV246" s="26" t="n">
        <f aca="false">SUM(AL246:AU246)</f>
        <v>6</v>
      </c>
      <c r="AW246" s="32" t="n">
        <f aca="false">IFERROR(AV246/R246*1000000,"")</f>
        <v>6315.78947368421</v>
      </c>
      <c r="AX246" s="33" t="n">
        <f aca="false">IFERROR((R246-AV246)/R246,"")</f>
        <v>0.993684210526316</v>
      </c>
      <c r="AY246" s="34" t="n">
        <f aca="false">IFERROR(AH246*AJ246*AX246,"")</f>
        <v>0.676702508960574</v>
      </c>
      <c r="AZ246" s="35"/>
    </row>
    <row r="247" customFormat="false" ht="12.75" hidden="false" customHeight="true" outlineLevel="0" collapsed="false">
      <c r="A247" s="24" t="n">
        <v>243</v>
      </c>
      <c r="B247" s="25" t="n">
        <v>46103</v>
      </c>
      <c r="C247" s="25" t="n">
        <v>12</v>
      </c>
      <c r="D247" s="26" t="s">
        <v>87</v>
      </c>
      <c r="E247" s="26" t="s">
        <v>88</v>
      </c>
      <c r="F247" s="26" t="s">
        <v>73</v>
      </c>
      <c r="G247" s="26" t="s">
        <v>10</v>
      </c>
      <c r="H247" s="27" t="n">
        <v>0.354166666666667</v>
      </c>
      <c r="I247" s="27" t="n">
        <v>0.854166666666667</v>
      </c>
      <c r="J247" s="26" t="n">
        <f aca="false">IFERROR((I247-H247)*24*60,"")</f>
        <v>720</v>
      </c>
      <c r="K247" s="26" t="s">
        <v>89</v>
      </c>
      <c r="L247" s="26" t="s">
        <v>107</v>
      </c>
      <c r="M247" s="26" t="s">
        <v>91</v>
      </c>
      <c r="N247" s="26" t="s">
        <v>92</v>
      </c>
      <c r="O247" s="26" t="n">
        <v>2</v>
      </c>
      <c r="P247" s="26" t="n">
        <v>58</v>
      </c>
      <c r="Q247" s="26" t="n">
        <f aca="false">IFERROR(3600/(P247/O247),"")</f>
        <v>124.137931034483</v>
      </c>
      <c r="R247" s="26" t="n">
        <v>1045</v>
      </c>
      <c r="S247" s="26" t="n">
        <v>60</v>
      </c>
      <c r="T247" s="26" t="n">
        <f aca="false">IFERROR(J247-S247,"")</f>
        <v>660</v>
      </c>
      <c r="U247" s="26"/>
      <c r="V247" s="26"/>
      <c r="W247" s="26" t="n">
        <v>16</v>
      </c>
      <c r="X247" s="26"/>
      <c r="Y247" s="26"/>
      <c r="Z247" s="26"/>
      <c r="AA247" s="26" t="n">
        <v>4</v>
      </c>
      <c r="AB247" s="26" t="n">
        <v>13</v>
      </c>
      <c r="AC247" s="26"/>
      <c r="AD247" s="26"/>
      <c r="AE247" s="26"/>
      <c r="AF247" s="26" t="n">
        <f aca="false">SUM(U247:AE247)</f>
        <v>33</v>
      </c>
      <c r="AG247" s="26" t="n">
        <f aca="false">T247-AF247</f>
        <v>627</v>
      </c>
      <c r="AH247" s="28" t="n">
        <f aca="false">IFERROR(AG247/T247,"")</f>
        <v>0.95</v>
      </c>
      <c r="AI247" s="29" t="n">
        <f aca="false">IFERROR(R247/AG247*60,"")</f>
        <v>100</v>
      </c>
      <c r="AJ247" s="30" t="n">
        <f aca="false">IFERROR(AI247/Q247,"")</f>
        <v>0.805555555555556</v>
      </c>
      <c r="AK247" s="31" t="n">
        <f aca="false">IFERROR(R247/(T247/60*Q247),"")</f>
        <v>0.765277777777778</v>
      </c>
      <c r="AL247" s="26"/>
      <c r="AM247" s="26" t="n">
        <v>1</v>
      </c>
      <c r="AN247" s="26" t="n">
        <v>3</v>
      </c>
      <c r="AO247" s="26" t="n">
        <v>2</v>
      </c>
      <c r="AP247" s="26" t="n">
        <v>3</v>
      </c>
      <c r="AQ247" s="26" t="n">
        <v>1</v>
      </c>
      <c r="AR247" s="26" t="n">
        <v>1</v>
      </c>
      <c r="AS247" s="26" t="n">
        <v>3</v>
      </c>
      <c r="AT247" s="26" t="n">
        <v>2</v>
      </c>
      <c r="AU247" s="26" t="n">
        <v>1</v>
      </c>
      <c r="AV247" s="26" t="n">
        <f aca="false">SUM(AL247:AU247)</f>
        <v>17</v>
      </c>
      <c r="AW247" s="32" t="n">
        <f aca="false">IFERROR(AV247/R247*1000000,"")</f>
        <v>16267.9425837321</v>
      </c>
      <c r="AX247" s="33" t="n">
        <f aca="false">IFERROR((R247-AV247)/R247,"")</f>
        <v>0.983732057416268</v>
      </c>
      <c r="AY247" s="34" t="n">
        <f aca="false">IFERROR(AH247*AJ247*AX247,"")</f>
        <v>0.752828282828283</v>
      </c>
      <c r="AZ247" s="35"/>
    </row>
    <row r="248" customFormat="false" ht="12.75" hidden="false" customHeight="true" outlineLevel="0" collapsed="false">
      <c r="A248" s="24" t="n">
        <v>244</v>
      </c>
      <c r="B248" s="25" t="n">
        <v>46104</v>
      </c>
      <c r="C248" s="25" t="n">
        <v>12</v>
      </c>
      <c r="D248" s="26" t="s">
        <v>71</v>
      </c>
      <c r="E248" s="26" t="s">
        <v>94</v>
      </c>
      <c r="F248" s="26" t="s">
        <v>81</v>
      </c>
      <c r="G248" s="26" t="s">
        <v>11</v>
      </c>
      <c r="H248" s="27" t="n">
        <v>0.354166666666667</v>
      </c>
      <c r="I248" s="27" t="n">
        <v>0.854166666666667</v>
      </c>
      <c r="J248" s="26" t="n">
        <f aca="false">IFERROR((I248-H248)*24*60,"")</f>
        <v>720</v>
      </c>
      <c r="K248" s="26" t="s">
        <v>82</v>
      </c>
      <c r="L248" s="26" t="s">
        <v>83</v>
      </c>
      <c r="M248" s="26" t="s">
        <v>95</v>
      </c>
      <c r="N248" s="26" t="s">
        <v>96</v>
      </c>
      <c r="O248" s="26" t="n">
        <v>2</v>
      </c>
      <c r="P248" s="26" t="n">
        <v>25</v>
      </c>
      <c r="Q248" s="26" t="n">
        <f aca="false">IFERROR(3600/(P248/O248),"")</f>
        <v>288</v>
      </c>
      <c r="R248" s="26" t="n">
        <v>2342</v>
      </c>
      <c r="S248" s="26" t="n">
        <v>56</v>
      </c>
      <c r="T248" s="26" t="n">
        <f aca="false">IFERROR(J248-S248,"")</f>
        <v>664</v>
      </c>
      <c r="U248" s="26"/>
      <c r="V248" s="26"/>
      <c r="W248" s="26"/>
      <c r="X248" s="26"/>
      <c r="Y248" s="26"/>
      <c r="Z248" s="26"/>
      <c r="AA248" s="26" t="n">
        <v>21</v>
      </c>
      <c r="AB248" s="26"/>
      <c r="AC248" s="26"/>
      <c r="AD248" s="26"/>
      <c r="AE248" s="26"/>
      <c r="AF248" s="26" t="n">
        <f aca="false">SUM(U248:AE248)</f>
        <v>21</v>
      </c>
      <c r="AG248" s="26" t="n">
        <f aca="false">T248-AF248</f>
        <v>643</v>
      </c>
      <c r="AH248" s="28" t="n">
        <f aca="false">IFERROR(AG248/T248,"")</f>
        <v>0.968373493975904</v>
      </c>
      <c r="AI248" s="29" t="n">
        <f aca="false">IFERROR(R248/AG248*60,"")</f>
        <v>218.538102643857</v>
      </c>
      <c r="AJ248" s="30" t="n">
        <f aca="false">IFERROR(AI248/Q248,"")</f>
        <v>0.758812856402281</v>
      </c>
      <c r="AK248" s="31" t="n">
        <f aca="false">IFERROR(R248/(T248/60*Q248),"")</f>
        <v>0.734814257028113</v>
      </c>
      <c r="AL248" s="26" t="n">
        <v>2</v>
      </c>
      <c r="AM248" s="26"/>
      <c r="AN248" s="26"/>
      <c r="AO248" s="26"/>
      <c r="AP248" s="26" t="n">
        <v>1</v>
      </c>
      <c r="AQ248" s="26"/>
      <c r="AR248" s="26"/>
      <c r="AS248" s="26" t="n">
        <v>1</v>
      </c>
      <c r="AT248" s="26"/>
      <c r="AU248" s="26" t="n">
        <v>1</v>
      </c>
      <c r="AV248" s="26" t="n">
        <f aca="false">SUM(AL248:AU248)</f>
        <v>5</v>
      </c>
      <c r="AW248" s="32" t="n">
        <f aca="false">IFERROR(AV248/R248*1000000,"")</f>
        <v>2134.92741246798</v>
      </c>
      <c r="AX248" s="33" t="n">
        <f aca="false">IFERROR((R248-AV248)/R248,"")</f>
        <v>0.997865072587532</v>
      </c>
      <c r="AY248" s="34" t="n">
        <f aca="false">IFERROR(AH248*AJ248*AX248,"")</f>
        <v>0.733245481927711</v>
      </c>
      <c r="AZ248" s="35"/>
    </row>
    <row r="249" customFormat="false" ht="12.75" hidden="false" customHeight="true" outlineLevel="0" collapsed="false">
      <c r="A249" s="24" t="n">
        <v>245</v>
      </c>
      <c r="B249" s="25" t="n">
        <v>46104</v>
      </c>
      <c r="C249" s="25" t="n">
        <v>12</v>
      </c>
      <c r="D249" s="26" t="s">
        <v>79</v>
      </c>
      <c r="E249" s="26" t="s">
        <v>97</v>
      </c>
      <c r="F249" s="26" t="s">
        <v>73</v>
      </c>
      <c r="G249" s="26" t="s">
        <v>12</v>
      </c>
      <c r="H249" s="27" t="n">
        <v>0.354166666666667</v>
      </c>
      <c r="I249" s="27" t="n">
        <v>0.854166666666667</v>
      </c>
      <c r="J249" s="26" t="n">
        <f aca="false">IFERROR((I249-H249)*24*60,"")</f>
        <v>720</v>
      </c>
      <c r="K249" s="26" t="s">
        <v>74</v>
      </c>
      <c r="L249" s="26" t="s">
        <v>98</v>
      </c>
      <c r="M249" s="26" t="s">
        <v>99</v>
      </c>
      <c r="N249" s="26" t="s">
        <v>100</v>
      </c>
      <c r="O249" s="26" t="n">
        <v>1</v>
      </c>
      <c r="P249" s="26" t="n">
        <v>34</v>
      </c>
      <c r="Q249" s="26" t="n">
        <f aca="false">IFERROR(3600/(P249/O249),"")</f>
        <v>105.882352941176</v>
      </c>
      <c r="R249" s="26" t="n">
        <v>911</v>
      </c>
      <c r="S249" s="26" t="n">
        <v>59</v>
      </c>
      <c r="T249" s="26" t="n">
        <f aca="false">IFERROR(J249-S249,"")</f>
        <v>661</v>
      </c>
      <c r="U249" s="26"/>
      <c r="V249" s="26" t="n">
        <v>21</v>
      </c>
      <c r="W249" s="26"/>
      <c r="X249" s="26"/>
      <c r="Y249" s="26"/>
      <c r="Z249" s="26" t="n">
        <v>9</v>
      </c>
      <c r="AA249" s="26"/>
      <c r="AB249" s="26"/>
      <c r="AC249" s="26" t="n">
        <v>15</v>
      </c>
      <c r="AD249" s="26"/>
      <c r="AE249" s="26"/>
      <c r="AF249" s="26" t="n">
        <f aca="false">SUM(U249:AE249)</f>
        <v>45</v>
      </c>
      <c r="AG249" s="26" t="n">
        <f aca="false">T249-AF249</f>
        <v>616</v>
      </c>
      <c r="AH249" s="28" t="n">
        <f aca="false">IFERROR(AG249/T249,"")</f>
        <v>0.931921331316188</v>
      </c>
      <c r="AI249" s="29" t="n">
        <f aca="false">IFERROR(R249/AG249*60,"")</f>
        <v>88.7337662337662</v>
      </c>
      <c r="AJ249" s="30" t="n">
        <f aca="false">IFERROR(AI249/Q249,"")</f>
        <v>0.838041125541126</v>
      </c>
      <c r="AK249" s="31" t="n">
        <f aca="false">IFERROR(R249/(T249/60*Q249),"")</f>
        <v>0.780988401412002</v>
      </c>
      <c r="AL249" s="26"/>
      <c r="AM249" s="26"/>
      <c r="AN249" s="26" t="n">
        <v>1</v>
      </c>
      <c r="AO249" s="26"/>
      <c r="AP249" s="26"/>
      <c r="AQ249" s="26" t="n">
        <v>2</v>
      </c>
      <c r="AR249" s="26"/>
      <c r="AS249" s="26" t="n">
        <v>1</v>
      </c>
      <c r="AT249" s="26"/>
      <c r="AU249" s="26" t="n">
        <v>1</v>
      </c>
      <c r="AV249" s="26" t="n">
        <f aca="false">SUM(AL249:AU249)</f>
        <v>5</v>
      </c>
      <c r="AW249" s="32" t="n">
        <f aca="false">IFERROR(AV249/R249*1000000,"")</f>
        <v>5488.47420417124</v>
      </c>
      <c r="AX249" s="33" t="n">
        <f aca="false">IFERROR((R249-AV249)/R249,"")</f>
        <v>0.994511525795829</v>
      </c>
      <c r="AY249" s="34" t="n">
        <f aca="false">IFERROR(AH249*AJ249*AX249,"")</f>
        <v>0.776701966717095</v>
      </c>
      <c r="AZ249" s="35" t="s">
        <v>93</v>
      </c>
    </row>
    <row r="250" customFormat="false" ht="12.75" hidden="false" customHeight="true" outlineLevel="0" collapsed="false">
      <c r="A250" s="24" t="n">
        <v>246</v>
      </c>
      <c r="B250" s="25" t="n">
        <v>46104</v>
      </c>
      <c r="C250" s="25" t="n">
        <v>12</v>
      </c>
      <c r="D250" s="26" t="s">
        <v>87</v>
      </c>
      <c r="E250" s="26" t="s">
        <v>101</v>
      </c>
      <c r="F250" s="26" t="s">
        <v>81</v>
      </c>
      <c r="G250" s="26" t="s">
        <v>13</v>
      </c>
      <c r="H250" s="27" t="n">
        <v>0.354166666666667</v>
      </c>
      <c r="I250" s="27" t="n">
        <v>0.854166666666667</v>
      </c>
      <c r="J250" s="26" t="n">
        <f aca="false">IFERROR((I250-H250)*24*60,"")</f>
        <v>720</v>
      </c>
      <c r="K250" s="26" t="s">
        <v>89</v>
      </c>
      <c r="L250" s="26" t="s">
        <v>75</v>
      </c>
      <c r="M250" s="26" t="s">
        <v>103</v>
      </c>
      <c r="N250" s="26" t="s">
        <v>104</v>
      </c>
      <c r="O250" s="26" t="n">
        <v>8</v>
      </c>
      <c r="P250" s="26" t="n">
        <v>48</v>
      </c>
      <c r="Q250" s="26" t="n">
        <f aca="false">IFERROR(3600/(P250/O250),"")</f>
        <v>600</v>
      </c>
      <c r="R250" s="26" t="n">
        <v>6713</v>
      </c>
      <c r="S250" s="26" t="n">
        <v>55</v>
      </c>
      <c r="T250" s="26" t="n">
        <f aca="false">IFERROR(J250-S250,"")</f>
        <v>665</v>
      </c>
      <c r="U250" s="26"/>
      <c r="V250" s="26"/>
      <c r="W250" s="26" t="n">
        <v>8</v>
      </c>
      <c r="X250" s="26"/>
      <c r="Y250" s="26"/>
      <c r="Z250" s="26"/>
      <c r="AA250" s="26"/>
      <c r="AB250" s="26"/>
      <c r="AC250" s="26" t="n">
        <v>5</v>
      </c>
      <c r="AD250" s="26"/>
      <c r="AE250" s="26" t="n">
        <v>5</v>
      </c>
      <c r="AF250" s="26" t="n">
        <f aca="false">SUM(U250:AE250)</f>
        <v>18</v>
      </c>
      <c r="AG250" s="26" t="n">
        <f aca="false">T250-AF250</f>
        <v>647</v>
      </c>
      <c r="AH250" s="28" t="n">
        <f aca="false">IFERROR(AG250/T250,"")</f>
        <v>0.972932330827068</v>
      </c>
      <c r="AI250" s="29" t="n">
        <f aca="false">IFERROR(R250/AG250*60,"")</f>
        <v>622.534775888717</v>
      </c>
      <c r="AJ250" s="30" t="n">
        <f aca="false">IFERROR(AI250/Q250,"")</f>
        <v>1.03755795981453</v>
      </c>
      <c r="AK250" s="31" t="n">
        <f aca="false">IFERROR(R250/(T250/60*Q250),"")</f>
        <v>1.00947368421053</v>
      </c>
      <c r="AL250" s="26" t="n">
        <v>8</v>
      </c>
      <c r="AM250" s="26" t="n">
        <v>16</v>
      </c>
      <c r="AN250" s="26" t="n">
        <v>10</v>
      </c>
      <c r="AO250" s="26" t="n">
        <v>11</v>
      </c>
      <c r="AP250" s="26" t="n">
        <v>4</v>
      </c>
      <c r="AQ250" s="26" t="n">
        <v>9</v>
      </c>
      <c r="AR250" s="26" t="n">
        <v>8</v>
      </c>
      <c r="AS250" s="26" t="n">
        <v>9</v>
      </c>
      <c r="AT250" s="26" t="n">
        <v>7</v>
      </c>
      <c r="AU250" s="26" t="n">
        <v>12</v>
      </c>
      <c r="AV250" s="26" t="n">
        <f aca="false">SUM(AL250:AU250)</f>
        <v>94</v>
      </c>
      <c r="AW250" s="32" t="n">
        <f aca="false">IFERROR(AV250/R250*1000000,"")</f>
        <v>14002.6813645166</v>
      </c>
      <c r="AX250" s="33" t="n">
        <f aca="false">IFERROR((R250-AV250)/R250,"")</f>
        <v>0.985997318635483</v>
      </c>
      <c r="AY250" s="34" t="n">
        <f aca="false">IFERROR(AH250*AJ250*AX250,"")</f>
        <v>0.995338345864662</v>
      </c>
      <c r="AZ250" s="35" t="s">
        <v>78</v>
      </c>
    </row>
    <row r="251" customFormat="false" ht="12.75" hidden="false" customHeight="true" outlineLevel="0" collapsed="false">
      <c r="A251" s="24" t="n">
        <v>247</v>
      </c>
      <c r="B251" s="25" t="n">
        <v>46105</v>
      </c>
      <c r="C251" s="25" t="n">
        <v>12</v>
      </c>
      <c r="D251" s="26" t="s">
        <v>71</v>
      </c>
      <c r="E251" s="26" t="s">
        <v>72</v>
      </c>
      <c r="F251" s="26" t="s">
        <v>73</v>
      </c>
      <c r="G251" s="26" t="s">
        <v>8</v>
      </c>
      <c r="H251" s="27" t="n">
        <v>0.354166666666667</v>
      </c>
      <c r="I251" s="27" t="n">
        <v>0.854166666666667</v>
      </c>
      <c r="J251" s="26" t="n">
        <f aca="false">IFERROR((I251-H251)*24*60,"")</f>
        <v>720</v>
      </c>
      <c r="K251" s="26" t="s">
        <v>89</v>
      </c>
      <c r="L251" s="26" t="s">
        <v>98</v>
      </c>
      <c r="M251" s="26" t="s">
        <v>76</v>
      </c>
      <c r="N251" s="26" t="s">
        <v>77</v>
      </c>
      <c r="O251" s="26" t="n">
        <v>4</v>
      </c>
      <c r="P251" s="26" t="n">
        <v>25</v>
      </c>
      <c r="Q251" s="26" t="n">
        <f aca="false">IFERROR(3600/(P251/O251),"")</f>
        <v>576</v>
      </c>
      <c r="R251" s="26" t="n">
        <v>4367</v>
      </c>
      <c r="S251" s="26" t="n">
        <v>68</v>
      </c>
      <c r="T251" s="26" t="n">
        <f aca="false">IFERROR(J251-S251,"")</f>
        <v>652</v>
      </c>
      <c r="U251" s="26"/>
      <c r="V251" s="26"/>
      <c r="W251" s="26"/>
      <c r="X251" s="26"/>
      <c r="Y251" s="26"/>
      <c r="Z251" s="26" t="n">
        <v>25</v>
      </c>
      <c r="AA251" s="26" t="n">
        <v>19</v>
      </c>
      <c r="AB251" s="26"/>
      <c r="AC251" s="26"/>
      <c r="AD251" s="26"/>
      <c r="AE251" s="26"/>
      <c r="AF251" s="26" t="n">
        <f aca="false">SUM(U251:AE251)</f>
        <v>44</v>
      </c>
      <c r="AG251" s="26" t="n">
        <f aca="false">T251-AF251</f>
        <v>608</v>
      </c>
      <c r="AH251" s="28" t="n">
        <f aca="false">IFERROR(AG251/T251,"")</f>
        <v>0.932515337423313</v>
      </c>
      <c r="AI251" s="29" t="n">
        <f aca="false">IFERROR(R251/AG251*60,"")</f>
        <v>430.953947368421</v>
      </c>
      <c r="AJ251" s="30" t="n">
        <f aca="false">IFERROR(AI251/Q251,"")</f>
        <v>0.748183936403509</v>
      </c>
      <c r="AK251" s="31" t="n">
        <f aca="false">IFERROR(R251/(T251/60*Q251),"")</f>
        <v>0.69769299591002</v>
      </c>
      <c r="AL251" s="26" t="n">
        <v>1</v>
      </c>
      <c r="AM251" s="26" t="n">
        <v>2</v>
      </c>
      <c r="AN251" s="26" t="n">
        <v>1</v>
      </c>
      <c r="AO251" s="26" t="n">
        <v>1</v>
      </c>
      <c r="AP251" s="26" t="n">
        <v>2</v>
      </c>
      <c r="AQ251" s="26"/>
      <c r="AR251" s="26" t="n">
        <v>1</v>
      </c>
      <c r="AS251" s="26"/>
      <c r="AT251" s="26" t="n">
        <v>4</v>
      </c>
      <c r="AU251" s="26" t="n">
        <v>3</v>
      </c>
      <c r="AV251" s="26" t="n">
        <f aca="false">SUM(AL251:AU251)</f>
        <v>15</v>
      </c>
      <c r="AW251" s="32" t="n">
        <f aca="false">IFERROR(AV251/R251*1000000,"")</f>
        <v>3434.85230135104</v>
      </c>
      <c r="AX251" s="33" t="n">
        <f aca="false">IFERROR((R251-AV251)/R251,"")</f>
        <v>0.996565147698649</v>
      </c>
      <c r="AY251" s="34" t="n">
        <f aca="false">IFERROR(AH251*AJ251*AX251,"")</f>
        <v>0.695296523517383</v>
      </c>
      <c r="AZ251" s="35" t="s">
        <v>78</v>
      </c>
    </row>
    <row r="252" customFormat="false" ht="12.75" hidden="false" customHeight="true" outlineLevel="0" collapsed="false">
      <c r="A252" s="24" t="n">
        <v>248</v>
      </c>
      <c r="B252" s="25" t="n">
        <v>46105</v>
      </c>
      <c r="C252" s="25" t="n">
        <v>12</v>
      </c>
      <c r="D252" s="26" t="s">
        <v>79</v>
      </c>
      <c r="E252" s="26" t="s">
        <v>80</v>
      </c>
      <c r="F252" s="26" t="s">
        <v>81</v>
      </c>
      <c r="G252" s="26" t="s">
        <v>9</v>
      </c>
      <c r="H252" s="27" t="n">
        <v>0.354166666666667</v>
      </c>
      <c r="I252" s="27" t="n">
        <v>0.854166666666667</v>
      </c>
      <c r="J252" s="26" t="n">
        <f aca="false">IFERROR((I252-H252)*24*60,"")</f>
        <v>720</v>
      </c>
      <c r="K252" s="26" t="s">
        <v>105</v>
      </c>
      <c r="L252" s="26" t="s">
        <v>107</v>
      </c>
      <c r="M252" s="26" t="s">
        <v>84</v>
      </c>
      <c r="N252" s="26" t="s">
        <v>85</v>
      </c>
      <c r="O252" s="26" t="n">
        <v>8</v>
      </c>
      <c r="P252" s="26" t="n">
        <v>40</v>
      </c>
      <c r="Q252" s="26" t="n">
        <f aca="false">IFERROR(3600/(P252/O252),"")</f>
        <v>720</v>
      </c>
      <c r="R252" s="26" t="n">
        <v>5990</v>
      </c>
      <c r="S252" s="26" t="n">
        <v>32</v>
      </c>
      <c r="T252" s="26" t="n">
        <f aca="false">IFERROR(J252-S252,"")</f>
        <v>688</v>
      </c>
      <c r="U252" s="26"/>
      <c r="V252" s="26"/>
      <c r="W252" s="26"/>
      <c r="X252" s="26" t="n">
        <v>7</v>
      </c>
      <c r="Y252" s="26"/>
      <c r="Z252" s="26"/>
      <c r="AA252" s="26"/>
      <c r="AB252" s="26"/>
      <c r="AC252" s="26"/>
      <c r="AD252" s="26"/>
      <c r="AE252" s="26"/>
      <c r="AF252" s="26" t="n">
        <f aca="false">SUM(U252:AE252)</f>
        <v>7</v>
      </c>
      <c r="AG252" s="26" t="n">
        <f aca="false">T252-AF252</f>
        <v>681</v>
      </c>
      <c r="AH252" s="28" t="n">
        <f aca="false">IFERROR(AG252/T252,"")</f>
        <v>0.989825581395349</v>
      </c>
      <c r="AI252" s="29" t="n">
        <f aca="false">IFERROR(R252/AG252*60,"")</f>
        <v>527.753303964758</v>
      </c>
      <c r="AJ252" s="30" t="n">
        <f aca="false">IFERROR(AI252/Q252,"")</f>
        <v>0.732990699951052</v>
      </c>
      <c r="AK252" s="31" t="n">
        <f aca="false">IFERROR(R252/(T252/60*Q252),"")</f>
        <v>0.725532945736434</v>
      </c>
      <c r="AL252" s="26" t="n">
        <v>16</v>
      </c>
      <c r="AM252" s="26" t="n">
        <v>9</v>
      </c>
      <c r="AN252" s="26" t="n">
        <v>6</v>
      </c>
      <c r="AO252" s="26" t="n">
        <v>10</v>
      </c>
      <c r="AP252" s="26" t="n">
        <v>4</v>
      </c>
      <c r="AQ252" s="26" t="n">
        <v>8</v>
      </c>
      <c r="AR252" s="26" t="n">
        <v>10</v>
      </c>
      <c r="AS252" s="26" t="n">
        <v>8</v>
      </c>
      <c r="AT252" s="26" t="n">
        <v>6</v>
      </c>
      <c r="AU252" s="26" t="n">
        <v>10</v>
      </c>
      <c r="AV252" s="26" t="n">
        <f aca="false">SUM(AL252:AU252)</f>
        <v>87</v>
      </c>
      <c r="AW252" s="32" t="n">
        <f aca="false">IFERROR(AV252/R252*1000000,"")</f>
        <v>14524.2070116861</v>
      </c>
      <c r="AX252" s="33" t="n">
        <f aca="false">IFERROR((R252-AV252)/R252,"")</f>
        <v>0.985475792988314</v>
      </c>
      <c r="AY252" s="34" t="n">
        <f aca="false">IFERROR(AH252*AJ252*AX252,"")</f>
        <v>0.71499515503876</v>
      </c>
      <c r="AZ252" s="35" t="s">
        <v>93</v>
      </c>
    </row>
    <row r="253" customFormat="false" ht="12.75" hidden="false" customHeight="true" outlineLevel="0" collapsed="false">
      <c r="A253" s="24" t="n">
        <v>249</v>
      </c>
      <c r="B253" s="25" t="n">
        <v>46105</v>
      </c>
      <c r="C253" s="25" t="n">
        <v>12</v>
      </c>
      <c r="D253" s="26" t="s">
        <v>87</v>
      </c>
      <c r="E253" s="26" t="s">
        <v>88</v>
      </c>
      <c r="F253" s="26" t="s">
        <v>73</v>
      </c>
      <c r="G253" s="26" t="s">
        <v>10</v>
      </c>
      <c r="H253" s="27" t="n">
        <v>0.354166666666667</v>
      </c>
      <c r="I253" s="27" t="n">
        <v>0.854166666666667</v>
      </c>
      <c r="J253" s="26" t="n">
        <f aca="false">IFERROR((I253-H253)*24*60,"")</f>
        <v>720</v>
      </c>
      <c r="K253" s="26" t="s">
        <v>82</v>
      </c>
      <c r="L253" s="26" t="s">
        <v>83</v>
      </c>
      <c r="M253" s="26" t="s">
        <v>91</v>
      </c>
      <c r="N253" s="26" t="s">
        <v>92</v>
      </c>
      <c r="O253" s="26" t="n">
        <v>8</v>
      </c>
      <c r="P253" s="26" t="n">
        <v>69</v>
      </c>
      <c r="Q253" s="26" t="n">
        <f aca="false">IFERROR(3600/(P253/O253),"")</f>
        <v>417.391304347826</v>
      </c>
      <c r="R253" s="26" t="n">
        <v>4151</v>
      </c>
      <c r="S253" s="26" t="n">
        <v>64</v>
      </c>
      <c r="T253" s="26" t="n">
        <f aca="false">IFERROR(J253-S253,"")</f>
        <v>656</v>
      </c>
      <c r="U253" s="26"/>
      <c r="V253" s="26"/>
      <c r="W253" s="26"/>
      <c r="X253" s="26"/>
      <c r="Y253" s="26"/>
      <c r="Z253" s="26" t="n">
        <v>7</v>
      </c>
      <c r="AA253" s="26"/>
      <c r="AB253" s="26" t="n">
        <v>10</v>
      </c>
      <c r="AC253" s="26"/>
      <c r="AD253" s="26"/>
      <c r="AE253" s="26"/>
      <c r="AF253" s="26" t="n">
        <f aca="false">SUM(U253:AE253)</f>
        <v>17</v>
      </c>
      <c r="AG253" s="26" t="n">
        <f aca="false">T253-AF253</f>
        <v>639</v>
      </c>
      <c r="AH253" s="28" t="n">
        <f aca="false">IFERROR(AG253/T253,"")</f>
        <v>0.974085365853659</v>
      </c>
      <c r="AI253" s="29" t="n">
        <f aca="false">IFERROR(R253/AG253*60,"")</f>
        <v>389.765258215962</v>
      </c>
      <c r="AJ253" s="30" t="n">
        <f aca="false">IFERROR(AI253/Q253,"")</f>
        <v>0.933812597809077</v>
      </c>
      <c r="AK253" s="31" t="n">
        <f aca="false">IFERROR(R253/(T253/60*Q253),"")</f>
        <v>0.90961318597561</v>
      </c>
      <c r="AL253" s="26" t="n">
        <v>12</v>
      </c>
      <c r="AM253" s="26" t="n">
        <v>6</v>
      </c>
      <c r="AN253" s="26" t="n">
        <v>3</v>
      </c>
      <c r="AO253" s="26" t="n">
        <v>8</v>
      </c>
      <c r="AP253" s="26" t="n">
        <v>11</v>
      </c>
      <c r="AQ253" s="26" t="n">
        <v>6</v>
      </c>
      <c r="AR253" s="26" t="n">
        <v>11</v>
      </c>
      <c r="AS253" s="26" t="n">
        <v>7</v>
      </c>
      <c r="AT253" s="26" t="n">
        <v>10</v>
      </c>
      <c r="AU253" s="26" t="n">
        <v>8</v>
      </c>
      <c r="AV253" s="26" t="n">
        <f aca="false">SUM(AL253:AU253)</f>
        <v>82</v>
      </c>
      <c r="AW253" s="32" t="n">
        <f aca="false">IFERROR(AV253/R253*1000000,"")</f>
        <v>19754.2760780535</v>
      </c>
      <c r="AX253" s="33" t="n">
        <f aca="false">IFERROR((R253-AV253)/R253,"")</f>
        <v>0.980245723921947</v>
      </c>
      <c r="AY253" s="34" t="n">
        <f aca="false">IFERROR(AH253*AJ253*AX253,"")</f>
        <v>0.89164443597561</v>
      </c>
      <c r="AZ253" s="35"/>
    </row>
    <row r="254" customFormat="false" ht="12.75" hidden="false" customHeight="true" outlineLevel="0" collapsed="false">
      <c r="A254" s="24" t="n">
        <v>250</v>
      </c>
      <c r="B254" s="25" t="n">
        <v>46106</v>
      </c>
      <c r="C254" s="25" t="n">
        <v>12</v>
      </c>
      <c r="D254" s="26" t="s">
        <v>71</v>
      </c>
      <c r="E254" s="26" t="s">
        <v>94</v>
      </c>
      <c r="F254" s="26" t="s">
        <v>81</v>
      </c>
      <c r="G254" s="26" t="s">
        <v>11</v>
      </c>
      <c r="H254" s="27" t="n">
        <v>0.354166666666667</v>
      </c>
      <c r="I254" s="27" t="n">
        <v>0.854166666666667</v>
      </c>
      <c r="J254" s="26" t="n">
        <f aca="false">IFERROR((I254-H254)*24*60,"")</f>
        <v>720</v>
      </c>
      <c r="K254" s="26" t="s">
        <v>74</v>
      </c>
      <c r="L254" s="26" t="s">
        <v>108</v>
      </c>
      <c r="M254" s="26" t="s">
        <v>95</v>
      </c>
      <c r="N254" s="26" t="s">
        <v>96</v>
      </c>
      <c r="O254" s="26" t="n">
        <v>2</v>
      </c>
      <c r="P254" s="26" t="n">
        <v>24</v>
      </c>
      <c r="Q254" s="26" t="n">
        <f aca="false">IFERROR(3600/(P254/O254),"")</f>
        <v>300</v>
      </c>
      <c r="R254" s="26" t="n">
        <v>2523</v>
      </c>
      <c r="S254" s="26" t="n">
        <v>59</v>
      </c>
      <c r="T254" s="26" t="n">
        <f aca="false">IFERROR(J254-S254,"")</f>
        <v>661</v>
      </c>
      <c r="U254" s="26"/>
      <c r="V254" s="26" t="n">
        <v>11</v>
      </c>
      <c r="W254" s="26"/>
      <c r="X254" s="26"/>
      <c r="Y254" s="26" t="n">
        <v>23</v>
      </c>
      <c r="Z254" s="26"/>
      <c r="AA254" s="26"/>
      <c r="AB254" s="26"/>
      <c r="AC254" s="26" t="n">
        <v>6</v>
      </c>
      <c r="AD254" s="26"/>
      <c r="AE254" s="26"/>
      <c r="AF254" s="26" t="n">
        <f aca="false">SUM(U254:AE254)</f>
        <v>40</v>
      </c>
      <c r="AG254" s="26" t="n">
        <f aca="false">T254-AF254</f>
        <v>621</v>
      </c>
      <c r="AH254" s="28" t="n">
        <f aca="false">IFERROR(AG254/T254,"")</f>
        <v>0.939485627836611</v>
      </c>
      <c r="AI254" s="29" t="n">
        <f aca="false">IFERROR(R254/AG254*60,"")</f>
        <v>243.768115942029</v>
      </c>
      <c r="AJ254" s="30" t="n">
        <f aca="false">IFERROR(AI254/Q254,"")</f>
        <v>0.81256038647343</v>
      </c>
      <c r="AK254" s="31" t="n">
        <f aca="false">IFERROR(R254/(T254/60*Q254),"")</f>
        <v>0.76338880484115</v>
      </c>
      <c r="AL254" s="26" t="n">
        <v>5</v>
      </c>
      <c r="AM254" s="26" t="n">
        <v>1</v>
      </c>
      <c r="AN254" s="26" t="n">
        <v>1</v>
      </c>
      <c r="AO254" s="26"/>
      <c r="AP254" s="26" t="n">
        <v>5</v>
      </c>
      <c r="AQ254" s="26" t="n">
        <v>3</v>
      </c>
      <c r="AR254" s="26" t="n">
        <v>1</v>
      </c>
      <c r="AS254" s="26" t="n">
        <v>5</v>
      </c>
      <c r="AT254" s="26"/>
      <c r="AU254" s="26" t="n">
        <v>3</v>
      </c>
      <c r="AV254" s="26" t="n">
        <f aca="false">SUM(AL254:AU254)</f>
        <v>24</v>
      </c>
      <c r="AW254" s="32" t="n">
        <f aca="false">IFERROR(AV254/R254*1000000,"")</f>
        <v>9512.48513674197</v>
      </c>
      <c r="AX254" s="33" t="n">
        <f aca="false">IFERROR((R254-AV254)/R254,"")</f>
        <v>0.990487514863258</v>
      </c>
      <c r="AY254" s="34" t="n">
        <f aca="false">IFERROR(AH254*AJ254*AX254,"")</f>
        <v>0.756127080181543</v>
      </c>
      <c r="AZ254" s="35" t="s">
        <v>78</v>
      </c>
    </row>
    <row r="255" customFormat="false" ht="12.75" hidden="false" customHeight="true" outlineLevel="0" collapsed="false">
      <c r="A255" s="24" t="n">
        <v>251</v>
      </c>
      <c r="B255" s="25" t="n">
        <v>46106</v>
      </c>
      <c r="C255" s="25" t="n">
        <v>12</v>
      </c>
      <c r="D255" s="26" t="s">
        <v>79</v>
      </c>
      <c r="E255" s="26" t="s">
        <v>97</v>
      </c>
      <c r="F255" s="26" t="s">
        <v>73</v>
      </c>
      <c r="G255" s="26" t="s">
        <v>12</v>
      </c>
      <c r="H255" s="27" t="n">
        <v>0.354166666666667</v>
      </c>
      <c r="I255" s="27" t="n">
        <v>0.854166666666667</v>
      </c>
      <c r="J255" s="26" t="n">
        <f aca="false">IFERROR((I255-H255)*24*60,"")</f>
        <v>720</v>
      </c>
      <c r="K255" s="26" t="s">
        <v>105</v>
      </c>
      <c r="L255" s="26" t="s">
        <v>75</v>
      </c>
      <c r="M255" s="26" t="s">
        <v>99</v>
      </c>
      <c r="N255" s="26" t="s">
        <v>100</v>
      </c>
      <c r="O255" s="26" t="n">
        <v>4</v>
      </c>
      <c r="P255" s="26" t="n">
        <v>63</v>
      </c>
      <c r="Q255" s="26" t="n">
        <f aca="false">IFERROR(3600/(P255/O255),"")</f>
        <v>228.571428571429</v>
      </c>
      <c r="R255" s="26" t="n">
        <v>2175</v>
      </c>
      <c r="S255" s="26" t="n">
        <v>67</v>
      </c>
      <c r="T255" s="26" t="n">
        <f aca="false">IFERROR(J255-S255,"")</f>
        <v>653</v>
      </c>
      <c r="U255" s="26"/>
      <c r="V255" s="26"/>
      <c r="W255" s="26" t="n">
        <v>10</v>
      </c>
      <c r="X255" s="26"/>
      <c r="Y255" s="26"/>
      <c r="Z255" s="26"/>
      <c r="AA255" s="26"/>
      <c r="AB255" s="26"/>
      <c r="AC255" s="26"/>
      <c r="AD255" s="26"/>
      <c r="AE255" s="26"/>
      <c r="AF255" s="26" t="n">
        <f aca="false">SUM(U255:AE255)</f>
        <v>10</v>
      </c>
      <c r="AG255" s="26" t="n">
        <f aca="false">T255-AF255</f>
        <v>643</v>
      </c>
      <c r="AH255" s="28" t="n">
        <f aca="false">IFERROR(AG255/T255,"")</f>
        <v>0.98468606431853</v>
      </c>
      <c r="AI255" s="29" t="n">
        <f aca="false">IFERROR(R255/AG255*60,"")</f>
        <v>202.954898911353</v>
      </c>
      <c r="AJ255" s="30" t="n">
        <f aca="false">IFERROR(AI255/Q255,"")</f>
        <v>0.887927682737169</v>
      </c>
      <c r="AK255" s="31" t="n">
        <f aca="false">IFERROR(R255/(T255/60*Q255),"")</f>
        <v>0.874330015313936</v>
      </c>
      <c r="AL255" s="26" t="n">
        <v>2</v>
      </c>
      <c r="AM255" s="26" t="n">
        <v>1</v>
      </c>
      <c r="AN255" s="26" t="n">
        <v>4</v>
      </c>
      <c r="AO255" s="26" t="n">
        <v>2</v>
      </c>
      <c r="AP255" s="26" t="n">
        <v>2</v>
      </c>
      <c r="AQ255" s="26" t="n">
        <v>1</v>
      </c>
      <c r="AR255" s="26"/>
      <c r="AS255" s="26" t="n">
        <v>2</v>
      </c>
      <c r="AT255" s="26" t="n">
        <v>1</v>
      </c>
      <c r="AU255" s="26" t="n">
        <v>2</v>
      </c>
      <c r="AV255" s="26" t="n">
        <f aca="false">SUM(AL255:AU255)</f>
        <v>17</v>
      </c>
      <c r="AW255" s="32" t="n">
        <f aca="false">IFERROR(AV255/R255*1000000,"")</f>
        <v>7816.09195402299</v>
      </c>
      <c r="AX255" s="33" t="n">
        <f aca="false">IFERROR((R255-AV255)/R255,"")</f>
        <v>0.992183908045977</v>
      </c>
      <c r="AY255" s="34" t="n">
        <f aca="false">IFERROR(AH255*AJ255*AX255,"")</f>
        <v>0.86749617151608</v>
      </c>
      <c r="AZ255" s="35" t="s">
        <v>78</v>
      </c>
    </row>
    <row r="256" customFormat="false" ht="12.75" hidden="false" customHeight="true" outlineLevel="0" collapsed="false">
      <c r="A256" s="24" t="n">
        <v>252</v>
      </c>
      <c r="B256" s="25" t="n">
        <v>46106</v>
      </c>
      <c r="C256" s="25" t="n">
        <v>12</v>
      </c>
      <c r="D256" s="26" t="s">
        <v>87</v>
      </c>
      <c r="E256" s="26" t="s">
        <v>101</v>
      </c>
      <c r="F256" s="26" t="s">
        <v>81</v>
      </c>
      <c r="G256" s="26" t="s">
        <v>13</v>
      </c>
      <c r="H256" s="27" t="n">
        <v>0.354166666666667</v>
      </c>
      <c r="I256" s="27" t="n">
        <v>0.854166666666667</v>
      </c>
      <c r="J256" s="26" t="n">
        <f aca="false">IFERROR((I256-H256)*24*60,"")</f>
        <v>720</v>
      </c>
      <c r="K256" s="26" t="s">
        <v>105</v>
      </c>
      <c r="L256" s="26" t="s">
        <v>83</v>
      </c>
      <c r="M256" s="26" t="s">
        <v>103</v>
      </c>
      <c r="N256" s="26" t="s">
        <v>104</v>
      </c>
      <c r="O256" s="26" t="n">
        <v>4</v>
      </c>
      <c r="P256" s="26" t="n">
        <v>25</v>
      </c>
      <c r="Q256" s="26" t="n">
        <f aca="false">IFERROR(3600/(P256/O256),"")</f>
        <v>576</v>
      </c>
      <c r="R256" s="26" t="n">
        <v>5454</v>
      </c>
      <c r="S256" s="26" t="n">
        <v>75</v>
      </c>
      <c r="T256" s="26" t="n">
        <f aca="false">IFERROR(J256-S256,"")</f>
        <v>645</v>
      </c>
      <c r="U256" s="26" t="n">
        <v>20</v>
      </c>
      <c r="V256" s="26"/>
      <c r="W256" s="26"/>
      <c r="X256" s="26"/>
      <c r="Y256" s="26"/>
      <c r="Z256" s="26" t="n">
        <v>6</v>
      </c>
      <c r="AA256" s="26"/>
      <c r="AB256" s="26"/>
      <c r="AC256" s="26"/>
      <c r="AD256" s="26"/>
      <c r="AE256" s="26"/>
      <c r="AF256" s="26" t="n">
        <f aca="false">SUM(U256:AE256)</f>
        <v>26</v>
      </c>
      <c r="AG256" s="26" t="n">
        <f aca="false">T256-AF256</f>
        <v>619</v>
      </c>
      <c r="AH256" s="28" t="n">
        <f aca="false">IFERROR(AG256/T256,"")</f>
        <v>0.95968992248062</v>
      </c>
      <c r="AI256" s="29" t="n">
        <f aca="false">IFERROR(R256/AG256*60,"")</f>
        <v>528.659127625202</v>
      </c>
      <c r="AJ256" s="30" t="n">
        <f aca="false">IFERROR(AI256/Q256,"")</f>
        <v>0.91781098546042</v>
      </c>
      <c r="AK256" s="31" t="n">
        <f aca="false">IFERROR(R256/(T256/60*Q256),"")</f>
        <v>0.880813953488372</v>
      </c>
      <c r="AL256" s="26" t="n">
        <v>1</v>
      </c>
      <c r="AM256" s="26" t="n">
        <v>3</v>
      </c>
      <c r="AN256" s="26" t="n">
        <v>1</v>
      </c>
      <c r="AO256" s="26" t="n">
        <v>2</v>
      </c>
      <c r="AP256" s="26" t="n">
        <v>2</v>
      </c>
      <c r="AQ256" s="26" t="n">
        <v>6</v>
      </c>
      <c r="AR256" s="26" t="n">
        <v>3</v>
      </c>
      <c r="AS256" s="26" t="n">
        <v>2</v>
      </c>
      <c r="AT256" s="26" t="n">
        <v>2</v>
      </c>
      <c r="AU256" s="26" t="n">
        <v>2</v>
      </c>
      <c r="AV256" s="26" t="n">
        <f aca="false">SUM(AL256:AU256)</f>
        <v>24</v>
      </c>
      <c r="AW256" s="32" t="n">
        <f aca="false">IFERROR(AV256/R256*1000000,"")</f>
        <v>4400.4400440044</v>
      </c>
      <c r="AX256" s="33" t="n">
        <f aca="false">IFERROR((R256-AV256)/R256,"")</f>
        <v>0.995599559955996</v>
      </c>
      <c r="AY256" s="34" t="n">
        <f aca="false">IFERROR(AH256*AJ256*AX256,"")</f>
        <v>0.876937984496124</v>
      </c>
      <c r="AZ256" s="35" t="s">
        <v>93</v>
      </c>
    </row>
    <row r="257" customFormat="false" ht="12.75" hidden="false" customHeight="true" outlineLevel="0" collapsed="false">
      <c r="A257" s="24" t="n">
        <v>253</v>
      </c>
      <c r="B257" s="25" t="n">
        <v>46107</v>
      </c>
      <c r="C257" s="25" t="n">
        <v>12</v>
      </c>
      <c r="D257" s="26" t="s">
        <v>71</v>
      </c>
      <c r="E257" s="26" t="s">
        <v>72</v>
      </c>
      <c r="F257" s="26" t="s">
        <v>73</v>
      </c>
      <c r="G257" s="26" t="s">
        <v>8</v>
      </c>
      <c r="H257" s="27" t="n">
        <v>0.354166666666667</v>
      </c>
      <c r="I257" s="27" t="n">
        <v>0.854166666666667</v>
      </c>
      <c r="J257" s="26" t="n">
        <f aca="false">IFERROR((I257-H257)*24*60,"")</f>
        <v>720</v>
      </c>
      <c r="K257" s="26" t="s">
        <v>105</v>
      </c>
      <c r="L257" s="26" t="s">
        <v>102</v>
      </c>
      <c r="M257" s="26" t="s">
        <v>76</v>
      </c>
      <c r="N257" s="26" t="s">
        <v>77</v>
      </c>
      <c r="O257" s="26" t="n">
        <v>2</v>
      </c>
      <c r="P257" s="26" t="n">
        <v>61</v>
      </c>
      <c r="Q257" s="26" t="n">
        <f aca="false">IFERROR(3600/(P257/O257),"")</f>
        <v>118.032786885246</v>
      </c>
      <c r="R257" s="26" t="n">
        <v>918</v>
      </c>
      <c r="S257" s="26" t="n">
        <v>32</v>
      </c>
      <c r="T257" s="26" t="n">
        <f aca="false">IFERROR(J257-S257,"")</f>
        <v>688</v>
      </c>
      <c r="U257" s="26"/>
      <c r="V257" s="26"/>
      <c r="W257" s="26"/>
      <c r="X257" s="26"/>
      <c r="Y257" s="26"/>
      <c r="Z257" s="26" t="n">
        <v>9</v>
      </c>
      <c r="AA257" s="26"/>
      <c r="AB257" s="26"/>
      <c r="AC257" s="26" t="n">
        <v>19</v>
      </c>
      <c r="AD257" s="26" t="n">
        <v>19</v>
      </c>
      <c r="AE257" s="26"/>
      <c r="AF257" s="26" t="n">
        <f aca="false">SUM(U257:AE257)</f>
        <v>47</v>
      </c>
      <c r="AG257" s="26" t="n">
        <f aca="false">T257-AF257</f>
        <v>641</v>
      </c>
      <c r="AH257" s="28" t="n">
        <f aca="false">IFERROR(AG257/T257,"")</f>
        <v>0.931686046511628</v>
      </c>
      <c r="AI257" s="29" t="n">
        <f aca="false">IFERROR(R257/AG257*60,"")</f>
        <v>85.9282371294852</v>
      </c>
      <c r="AJ257" s="30" t="n">
        <f aca="false">IFERROR(AI257/Q257,"")</f>
        <v>0.728003120124805</v>
      </c>
      <c r="AK257" s="31" t="n">
        <f aca="false">IFERROR(R257/(T257/60*Q257),"")</f>
        <v>0.678270348837209</v>
      </c>
      <c r="AL257" s="26" t="n">
        <v>1</v>
      </c>
      <c r="AM257" s="26" t="n">
        <v>3</v>
      </c>
      <c r="AN257" s="26" t="n">
        <v>1</v>
      </c>
      <c r="AO257" s="26" t="n">
        <v>2</v>
      </c>
      <c r="AP257" s="26"/>
      <c r="AQ257" s="26"/>
      <c r="AR257" s="26" t="n">
        <v>3</v>
      </c>
      <c r="AS257" s="26"/>
      <c r="AT257" s="26" t="n">
        <v>3</v>
      </c>
      <c r="AU257" s="26" t="n">
        <v>3</v>
      </c>
      <c r="AV257" s="26" t="n">
        <f aca="false">SUM(AL257:AU257)</f>
        <v>16</v>
      </c>
      <c r="AW257" s="32" t="n">
        <f aca="false">IFERROR(AV257/R257*1000000,"")</f>
        <v>17429.1938997821</v>
      </c>
      <c r="AX257" s="33" t="n">
        <f aca="false">IFERROR((R257-AV257)/R257,"")</f>
        <v>0.982570806100218</v>
      </c>
      <c r="AY257" s="34" t="n">
        <f aca="false">IFERROR(AH257*AJ257*AX257,"")</f>
        <v>0.666448643410853</v>
      </c>
      <c r="AZ257" s="35"/>
    </row>
    <row r="258" customFormat="false" ht="12.75" hidden="false" customHeight="true" outlineLevel="0" collapsed="false">
      <c r="A258" s="24" t="n">
        <v>254</v>
      </c>
      <c r="B258" s="25" t="n">
        <v>46107</v>
      </c>
      <c r="C258" s="25" t="n">
        <v>12</v>
      </c>
      <c r="D258" s="26" t="s">
        <v>79</v>
      </c>
      <c r="E258" s="26" t="s">
        <v>80</v>
      </c>
      <c r="F258" s="26" t="s">
        <v>81</v>
      </c>
      <c r="G258" s="26" t="s">
        <v>9</v>
      </c>
      <c r="H258" s="27" t="n">
        <v>0.354166666666667</v>
      </c>
      <c r="I258" s="27" t="n">
        <v>0.854166666666667</v>
      </c>
      <c r="J258" s="26" t="n">
        <f aca="false">IFERROR((I258-H258)*24*60,"")</f>
        <v>720</v>
      </c>
      <c r="K258" s="26" t="s">
        <v>74</v>
      </c>
      <c r="L258" s="26" t="s">
        <v>83</v>
      </c>
      <c r="M258" s="26" t="s">
        <v>84</v>
      </c>
      <c r="N258" s="26" t="s">
        <v>85</v>
      </c>
      <c r="O258" s="26" t="n">
        <v>2</v>
      </c>
      <c r="P258" s="26" t="n">
        <v>60</v>
      </c>
      <c r="Q258" s="26" t="n">
        <f aca="false">IFERROR(3600/(P258/O258),"")</f>
        <v>120</v>
      </c>
      <c r="R258" s="26" t="n">
        <v>1022</v>
      </c>
      <c r="S258" s="26" t="n">
        <v>50</v>
      </c>
      <c r="T258" s="26" t="n">
        <f aca="false">IFERROR(J258-S258,"")</f>
        <v>670</v>
      </c>
      <c r="U258" s="26"/>
      <c r="V258" s="26"/>
      <c r="W258" s="26"/>
      <c r="X258" s="26" t="n">
        <v>13</v>
      </c>
      <c r="Y258" s="26"/>
      <c r="Z258" s="26"/>
      <c r="AA258" s="26"/>
      <c r="AB258" s="26"/>
      <c r="AC258" s="26"/>
      <c r="AD258" s="26"/>
      <c r="AE258" s="26"/>
      <c r="AF258" s="26" t="n">
        <f aca="false">SUM(U258:AE258)</f>
        <v>13</v>
      </c>
      <c r="AG258" s="26" t="n">
        <f aca="false">T258-AF258</f>
        <v>657</v>
      </c>
      <c r="AH258" s="28" t="n">
        <f aca="false">IFERROR(AG258/T258,"")</f>
        <v>0.980597014925373</v>
      </c>
      <c r="AI258" s="29" t="n">
        <f aca="false">IFERROR(R258/AG258*60,"")</f>
        <v>93.3333333333333</v>
      </c>
      <c r="AJ258" s="30" t="n">
        <f aca="false">IFERROR(AI258/Q258,"")</f>
        <v>0.777777777777778</v>
      </c>
      <c r="AK258" s="31" t="n">
        <f aca="false">IFERROR(R258/(T258/60*Q258),"")</f>
        <v>0.762686567164179</v>
      </c>
      <c r="AL258" s="26"/>
      <c r="AM258" s="26" t="n">
        <v>3</v>
      </c>
      <c r="AN258" s="26"/>
      <c r="AO258" s="26" t="n">
        <v>3</v>
      </c>
      <c r="AP258" s="26"/>
      <c r="AQ258" s="26" t="n">
        <v>5</v>
      </c>
      <c r="AR258" s="26" t="n">
        <v>2</v>
      </c>
      <c r="AS258" s="26" t="n">
        <v>4</v>
      </c>
      <c r="AT258" s="26" t="n">
        <v>2</v>
      </c>
      <c r="AU258" s="26" t="n">
        <v>1</v>
      </c>
      <c r="AV258" s="26" t="n">
        <f aca="false">SUM(AL258:AU258)</f>
        <v>20</v>
      </c>
      <c r="AW258" s="32" t="n">
        <f aca="false">IFERROR(AV258/R258*1000000,"")</f>
        <v>19569.4716242661</v>
      </c>
      <c r="AX258" s="33" t="n">
        <f aca="false">IFERROR((R258-AV258)/R258,"")</f>
        <v>0.980430528375734</v>
      </c>
      <c r="AY258" s="34" t="n">
        <f aca="false">IFERROR(AH258*AJ258*AX258,"")</f>
        <v>0.747761194029851</v>
      </c>
      <c r="AZ258" s="35" t="s">
        <v>86</v>
      </c>
    </row>
    <row r="259" customFormat="false" ht="12.75" hidden="false" customHeight="true" outlineLevel="0" collapsed="false">
      <c r="A259" s="24" t="n">
        <v>255</v>
      </c>
      <c r="B259" s="25" t="n">
        <v>46107</v>
      </c>
      <c r="C259" s="25" t="n">
        <v>12</v>
      </c>
      <c r="D259" s="26" t="s">
        <v>87</v>
      </c>
      <c r="E259" s="26" t="s">
        <v>88</v>
      </c>
      <c r="F259" s="26" t="s">
        <v>73</v>
      </c>
      <c r="G259" s="26" t="s">
        <v>10</v>
      </c>
      <c r="H259" s="27" t="n">
        <v>0.354166666666667</v>
      </c>
      <c r="I259" s="27" t="n">
        <v>0.854166666666667</v>
      </c>
      <c r="J259" s="26" t="n">
        <f aca="false">IFERROR((I259-H259)*24*60,"")</f>
        <v>720</v>
      </c>
      <c r="K259" s="26" t="s">
        <v>89</v>
      </c>
      <c r="L259" s="26" t="s">
        <v>108</v>
      </c>
      <c r="M259" s="26" t="s">
        <v>91</v>
      </c>
      <c r="N259" s="26" t="s">
        <v>92</v>
      </c>
      <c r="O259" s="26" t="n">
        <v>4</v>
      </c>
      <c r="P259" s="26" t="n">
        <v>74</v>
      </c>
      <c r="Q259" s="26" t="n">
        <f aca="false">IFERROR(3600/(P259/O259),"")</f>
        <v>194.594594594595</v>
      </c>
      <c r="R259" s="26" t="n">
        <v>1683</v>
      </c>
      <c r="S259" s="26" t="n">
        <v>56</v>
      </c>
      <c r="T259" s="26" t="n">
        <f aca="false">IFERROR(J259-S259,"")</f>
        <v>664</v>
      </c>
      <c r="U259" s="26"/>
      <c r="V259" s="26" t="n">
        <v>4</v>
      </c>
      <c r="W259" s="26"/>
      <c r="X259" s="26"/>
      <c r="Y259" s="26"/>
      <c r="Z259" s="26"/>
      <c r="AA259" s="26" t="n">
        <v>9</v>
      </c>
      <c r="AB259" s="26"/>
      <c r="AC259" s="26"/>
      <c r="AD259" s="26"/>
      <c r="AE259" s="26"/>
      <c r="AF259" s="26" t="n">
        <f aca="false">SUM(U259:AE259)</f>
        <v>13</v>
      </c>
      <c r="AG259" s="26" t="n">
        <f aca="false">T259-AF259</f>
        <v>651</v>
      </c>
      <c r="AH259" s="28" t="n">
        <f aca="false">IFERROR(AG259/T259,"")</f>
        <v>0.980421686746988</v>
      </c>
      <c r="AI259" s="29" t="n">
        <f aca="false">IFERROR(R259/AG259*60,"")</f>
        <v>155.115207373272</v>
      </c>
      <c r="AJ259" s="30" t="n">
        <f aca="false">IFERROR(AI259/Q259,"")</f>
        <v>0.797119815668203</v>
      </c>
      <c r="AK259" s="31" t="n">
        <f aca="false">IFERROR(R259/(T259/60*Q259),"")</f>
        <v>0.781513554216868</v>
      </c>
      <c r="AL259" s="26" t="n">
        <v>3</v>
      </c>
      <c r="AM259" s="26" t="n">
        <v>3</v>
      </c>
      <c r="AN259" s="26" t="n">
        <v>6</v>
      </c>
      <c r="AO259" s="26" t="n">
        <v>1</v>
      </c>
      <c r="AP259" s="26" t="n">
        <v>1</v>
      </c>
      <c r="AQ259" s="26"/>
      <c r="AR259" s="26" t="n">
        <v>2</v>
      </c>
      <c r="AS259" s="26" t="n">
        <v>3</v>
      </c>
      <c r="AT259" s="26" t="n">
        <v>2</v>
      </c>
      <c r="AU259" s="26" t="n">
        <v>1</v>
      </c>
      <c r="AV259" s="26" t="n">
        <f aca="false">SUM(AL259:AU259)</f>
        <v>22</v>
      </c>
      <c r="AW259" s="32" t="n">
        <f aca="false">IFERROR(AV259/R259*1000000,"")</f>
        <v>13071.8954248366</v>
      </c>
      <c r="AX259" s="33" t="n">
        <f aca="false">IFERROR((R259-AV259)/R259,"")</f>
        <v>0.986928104575163</v>
      </c>
      <c r="AY259" s="34" t="n">
        <f aca="false">IFERROR(AH259*AJ259*AX259,"")</f>
        <v>0.771297690763052</v>
      </c>
      <c r="AZ259" s="35" t="s">
        <v>93</v>
      </c>
    </row>
    <row r="260" customFormat="false" ht="12.75" hidden="false" customHeight="true" outlineLevel="0" collapsed="false">
      <c r="A260" s="24" t="n">
        <v>256</v>
      </c>
      <c r="B260" s="25" t="n">
        <v>46108</v>
      </c>
      <c r="C260" s="25" t="n">
        <v>12</v>
      </c>
      <c r="D260" s="26" t="s">
        <v>71</v>
      </c>
      <c r="E260" s="26" t="s">
        <v>94</v>
      </c>
      <c r="F260" s="26" t="s">
        <v>81</v>
      </c>
      <c r="G260" s="26" t="s">
        <v>11</v>
      </c>
      <c r="H260" s="27" t="n">
        <v>0.354166666666667</v>
      </c>
      <c r="I260" s="27" t="n">
        <v>0.854166666666667</v>
      </c>
      <c r="J260" s="26" t="n">
        <f aca="false">IFERROR((I260-H260)*24*60,"")</f>
        <v>720</v>
      </c>
      <c r="K260" s="26" t="s">
        <v>74</v>
      </c>
      <c r="L260" s="26" t="s">
        <v>90</v>
      </c>
      <c r="M260" s="26" t="s">
        <v>95</v>
      </c>
      <c r="N260" s="26" t="s">
        <v>96</v>
      </c>
      <c r="O260" s="26" t="n">
        <v>2</v>
      </c>
      <c r="P260" s="26" t="n">
        <v>69</v>
      </c>
      <c r="Q260" s="26" t="n">
        <f aca="false">IFERROR(3600/(P260/O260),"")</f>
        <v>104.347826086957</v>
      </c>
      <c r="R260" s="26" t="n">
        <v>882</v>
      </c>
      <c r="S260" s="26" t="n">
        <v>38</v>
      </c>
      <c r="T260" s="26" t="n">
        <f aca="false">IFERROR(J260-S260,"")</f>
        <v>682</v>
      </c>
      <c r="U260" s="26"/>
      <c r="V260" s="26"/>
      <c r="W260" s="26"/>
      <c r="X260" s="26"/>
      <c r="Y260" s="26"/>
      <c r="Z260" s="26" t="n">
        <v>29</v>
      </c>
      <c r="AA260" s="26"/>
      <c r="AB260" s="26"/>
      <c r="AC260" s="26"/>
      <c r="AD260" s="26" t="n">
        <v>12</v>
      </c>
      <c r="AE260" s="26"/>
      <c r="AF260" s="26" t="n">
        <f aca="false">SUM(U260:AE260)</f>
        <v>41</v>
      </c>
      <c r="AG260" s="26" t="n">
        <f aca="false">T260-AF260</f>
        <v>641</v>
      </c>
      <c r="AH260" s="28" t="n">
        <f aca="false">IFERROR(AG260/T260,"")</f>
        <v>0.939882697947214</v>
      </c>
      <c r="AI260" s="29" t="n">
        <f aca="false">IFERROR(R260/AG260*60,"")</f>
        <v>82.5585023400936</v>
      </c>
      <c r="AJ260" s="30" t="n">
        <f aca="false">IFERROR(AI260/Q260,"")</f>
        <v>0.791185647425897</v>
      </c>
      <c r="AK260" s="31" t="n">
        <f aca="false">IFERROR(R260/(T260/60*Q260),"")</f>
        <v>0.743621700879765</v>
      </c>
      <c r="AL260" s="26" t="n">
        <v>1</v>
      </c>
      <c r="AM260" s="26" t="n">
        <v>2</v>
      </c>
      <c r="AN260" s="26" t="n">
        <v>2</v>
      </c>
      <c r="AO260" s="26"/>
      <c r="AP260" s="26" t="n">
        <v>1</v>
      </c>
      <c r="AQ260" s="26" t="n">
        <v>1</v>
      </c>
      <c r="AR260" s="26" t="n">
        <v>2</v>
      </c>
      <c r="AS260" s="26" t="n">
        <v>3</v>
      </c>
      <c r="AT260" s="26" t="n">
        <v>1</v>
      </c>
      <c r="AU260" s="26" t="n">
        <v>1</v>
      </c>
      <c r="AV260" s="26" t="n">
        <f aca="false">SUM(AL260:AU260)</f>
        <v>14</v>
      </c>
      <c r="AW260" s="32" t="n">
        <f aca="false">IFERROR(AV260/R260*1000000,"")</f>
        <v>15873.0158730159</v>
      </c>
      <c r="AX260" s="33" t="n">
        <f aca="false">IFERROR((R260-AV260)/R260,"")</f>
        <v>0.984126984126984</v>
      </c>
      <c r="AY260" s="34" t="n">
        <f aca="false">IFERROR(AH260*AJ260*AX260,"")</f>
        <v>0.731818181818182</v>
      </c>
      <c r="AZ260" s="35" t="s">
        <v>93</v>
      </c>
    </row>
    <row r="261" customFormat="false" ht="12.75" hidden="false" customHeight="true" outlineLevel="0" collapsed="false">
      <c r="A261" s="24" t="n">
        <v>257</v>
      </c>
      <c r="B261" s="25" t="n">
        <v>46108</v>
      </c>
      <c r="C261" s="25" t="n">
        <v>12</v>
      </c>
      <c r="D261" s="26" t="s">
        <v>79</v>
      </c>
      <c r="E261" s="26" t="s">
        <v>97</v>
      </c>
      <c r="F261" s="26" t="s">
        <v>73</v>
      </c>
      <c r="G261" s="26" t="s">
        <v>12</v>
      </c>
      <c r="H261" s="27" t="n">
        <v>0.354166666666667</v>
      </c>
      <c r="I261" s="27" t="n">
        <v>0.854166666666667</v>
      </c>
      <c r="J261" s="26" t="n">
        <f aca="false">IFERROR((I261-H261)*24*60,"")</f>
        <v>720</v>
      </c>
      <c r="K261" s="26" t="s">
        <v>74</v>
      </c>
      <c r="L261" s="26" t="s">
        <v>98</v>
      </c>
      <c r="M261" s="26" t="s">
        <v>99</v>
      </c>
      <c r="N261" s="26" t="s">
        <v>100</v>
      </c>
      <c r="O261" s="26" t="n">
        <v>8</v>
      </c>
      <c r="P261" s="26" t="n">
        <v>44</v>
      </c>
      <c r="Q261" s="26" t="n">
        <f aca="false">IFERROR(3600/(P261/O261),"")</f>
        <v>654.545454545455</v>
      </c>
      <c r="R261" s="26" t="n">
        <v>5461</v>
      </c>
      <c r="S261" s="26" t="n">
        <v>73</v>
      </c>
      <c r="T261" s="26" t="n">
        <f aca="false">IFERROR(J261-S261,"")</f>
        <v>647</v>
      </c>
      <c r="U261" s="26"/>
      <c r="V261" s="26" t="n">
        <v>20</v>
      </c>
      <c r="W261" s="26"/>
      <c r="X261" s="26"/>
      <c r="Y261" s="26" t="n">
        <v>10</v>
      </c>
      <c r="Z261" s="26"/>
      <c r="AA261" s="26"/>
      <c r="AB261" s="26" t="n">
        <v>38</v>
      </c>
      <c r="AC261" s="26"/>
      <c r="AD261" s="26"/>
      <c r="AE261" s="26"/>
      <c r="AF261" s="26" t="n">
        <f aca="false">SUM(U261:AE261)</f>
        <v>68</v>
      </c>
      <c r="AG261" s="26" t="n">
        <f aca="false">T261-AF261</f>
        <v>579</v>
      </c>
      <c r="AH261" s="28" t="n">
        <f aca="false">IFERROR(AG261/T261,"")</f>
        <v>0.894899536321484</v>
      </c>
      <c r="AI261" s="29" t="n">
        <f aca="false">IFERROR(R261/AG261*60,"")</f>
        <v>565.906735751295</v>
      </c>
      <c r="AJ261" s="30" t="n">
        <f aca="false">IFERROR(AI261/Q261,"")</f>
        <v>0.86457973517559</v>
      </c>
      <c r="AK261" s="31" t="n">
        <f aca="false">IFERROR(R261/(T261/60*Q261),"")</f>
        <v>0.773712004121587</v>
      </c>
      <c r="AL261" s="26" t="n">
        <v>5</v>
      </c>
      <c r="AM261" s="26" t="n">
        <v>4</v>
      </c>
      <c r="AN261" s="26" t="n">
        <v>6</v>
      </c>
      <c r="AO261" s="26" t="n">
        <v>5</v>
      </c>
      <c r="AP261" s="26" t="n">
        <v>8</v>
      </c>
      <c r="AQ261" s="26" t="n">
        <v>5</v>
      </c>
      <c r="AR261" s="26" t="n">
        <v>3</v>
      </c>
      <c r="AS261" s="26" t="n">
        <v>3</v>
      </c>
      <c r="AT261" s="26" t="n">
        <v>8</v>
      </c>
      <c r="AU261" s="26" t="n">
        <v>6</v>
      </c>
      <c r="AV261" s="26" t="n">
        <f aca="false">SUM(AL261:AU261)</f>
        <v>53</v>
      </c>
      <c r="AW261" s="32" t="n">
        <f aca="false">IFERROR(AV261/R261*1000000,"")</f>
        <v>9705.18220106208</v>
      </c>
      <c r="AX261" s="33" t="n">
        <f aca="false">IFERROR((R261-AV261)/R261,"")</f>
        <v>0.990294817798938</v>
      </c>
      <c r="AY261" s="34" t="n">
        <f aca="false">IFERROR(AH261*AJ261*AX261,"")</f>
        <v>0.766202988150438</v>
      </c>
      <c r="AZ261" s="35"/>
    </row>
    <row r="262" customFormat="false" ht="12.75" hidden="false" customHeight="true" outlineLevel="0" collapsed="false">
      <c r="A262" s="24" t="n">
        <v>258</v>
      </c>
      <c r="B262" s="25" t="n">
        <v>46108</v>
      </c>
      <c r="C262" s="25" t="n">
        <v>12</v>
      </c>
      <c r="D262" s="26" t="s">
        <v>87</v>
      </c>
      <c r="E262" s="26" t="s">
        <v>101</v>
      </c>
      <c r="F262" s="26" t="s">
        <v>81</v>
      </c>
      <c r="G262" s="26" t="s">
        <v>13</v>
      </c>
      <c r="H262" s="27" t="n">
        <v>0.354166666666667</v>
      </c>
      <c r="I262" s="27" t="n">
        <v>0.854166666666667</v>
      </c>
      <c r="J262" s="26" t="n">
        <f aca="false">IFERROR((I262-H262)*24*60,"")</f>
        <v>720</v>
      </c>
      <c r="K262" s="26" t="s">
        <v>74</v>
      </c>
      <c r="L262" s="26" t="s">
        <v>90</v>
      </c>
      <c r="M262" s="26" t="s">
        <v>103</v>
      </c>
      <c r="N262" s="26" t="s">
        <v>104</v>
      </c>
      <c r="O262" s="26" t="n">
        <v>2</v>
      </c>
      <c r="P262" s="26" t="n">
        <v>53</v>
      </c>
      <c r="Q262" s="26" t="n">
        <f aca="false">IFERROR(3600/(P262/O262),"")</f>
        <v>135.849056603774</v>
      </c>
      <c r="R262" s="26" t="n">
        <v>1084</v>
      </c>
      <c r="S262" s="26" t="n">
        <v>58</v>
      </c>
      <c r="T262" s="26" t="n">
        <f aca="false">IFERROR(J262-S262,"")</f>
        <v>662</v>
      </c>
      <c r="U262" s="26"/>
      <c r="V262" s="26"/>
      <c r="W262" s="26"/>
      <c r="X262" s="26"/>
      <c r="Y262" s="26"/>
      <c r="Z262" s="26"/>
      <c r="AA262" s="26"/>
      <c r="AB262" s="26" t="n">
        <v>10</v>
      </c>
      <c r="AC262" s="26"/>
      <c r="AD262" s="26"/>
      <c r="AE262" s="26"/>
      <c r="AF262" s="26" t="n">
        <f aca="false">SUM(U262:AE262)</f>
        <v>10</v>
      </c>
      <c r="AG262" s="26" t="n">
        <f aca="false">T262-AF262</f>
        <v>652</v>
      </c>
      <c r="AH262" s="28" t="n">
        <f aca="false">IFERROR(AG262/T262,"")</f>
        <v>0.984894259818731</v>
      </c>
      <c r="AI262" s="29" t="n">
        <f aca="false">IFERROR(R262/AG262*60,"")</f>
        <v>99.7546012269939</v>
      </c>
      <c r="AJ262" s="30" t="n">
        <f aca="false">IFERROR(AI262/Q262,"")</f>
        <v>0.734304703476483</v>
      </c>
      <c r="AK262" s="31" t="n">
        <f aca="false">IFERROR(R262/(T262/60*Q262),"")</f>
        <v>0.723212487411883</v>
      </c>
      <c r="AL262" s="26" t="n">
        <v>1</v>
      </c>
      <c r="AM262" s="26" t="n">
        <v>6</v>
      </c>
      <c r="AN262" s="26" t="n">
        <v>2</v>
      </c>
      <c r="AO262" s="26" t="n">
        <v>1</v>
      </c>
      <c r="AP262" s="26" t="n">
        <v>3</v>
      </c>
      <c r="AQ262" s="26" t="n">
        <v>5</v>
      </c>
      <c r="AR262" s="26" t="n">
        <v>1</v>
      </c>
      <c r="AS262" s="26" t="n">
        <v>2</v>
      </c>
      <c r="AT262" s="26" t="n">
        <v>3</v>
      </c>
      <c r="AU262" s="26"/>
      <c r="AV262" s="26" t="n">
        <f aca="false">SUM(AL262:AU262)</f>
        <v>24</v>
      </c>
      <c r="AW262" s="32" t="n">
        <f aca="false">IFERROR(AV262/R262*1000000,"")</f>
        <v>22140.221402214</v>
      </c>
      <c r="AX262" s="33" t="n">
        <f aca="false">IFERROR((R262-AV262)/R262,"")</f>
        <v>0.977859778597786</v>
      </c>
      <c r="AY262" s="34" t="n">
        <f aca="false">IFERROR(AH262*AJ262*AX262,"")</f>
        <v>0.707200402819738</v>
      </c>
      <c r="AZ262" s="35" t="s">
        <v>78</v>
      </c>
    </row>
    <row r="263" customFormat="false" ht="12.75" hidden="false" customHeight="true" outlineLevel="0" collapsed="false">
      <c r="A263" s="24" t="n">
        <v>259</v>
      </c>
      <c r="B263" s="25" t="n">
        <v>46109</v>
      </c>
      <c r="C263" s="25" t="n">
        <v>12</v>
      </c>
      <c r="D263" s="26" t="s">
        <v>71</v>
      </c>
      <c r="E263" s="26" t="s">
        <v>72</v>
      </c>
      <c r="F263" s="26" t="s">
        <v>73</v>
      </c>
      <c r="G263" s="26" t="s">
        <v>8</v>
      </c>
      <c r="H263" s="27" t="n">
        <v>0.354166666666667</v>
      </c>
      <c r="I263" s="27" t="n">
        <v>0.854166666666667</v>
      </c>
      <c r="J263" s="26" t="n">
        <f aca="false">IFERROR((I263-H263)*24*60,"")</f>
        <v>720</v>
      </c>
      <c r="K263" s="26" t="s">
        <v>105</v>
      </c>
      <c r="L263" s="26" t="s">
        <v>107</v>
      </c>
      <c r="M263" s="26" t="s">
        <v>76</v>
      </c>
      <c r="N263" s="26" t="s">
        <v>77</v>
      </c>
      <c r="O263" s="26" t="n">
        <v>8</v>
      </c>
      <c r="P263" s="26" t="n">
        <v>38</v>
      </c>
      <c r="Q263" s="26" t="n">
        <f aca="false">IFERROR(3600/(P263/O263),"")</f>
        <v>757.894736842105</v>
      </c>
      <c r="R263" s="26" t="n">
        <v>7712</v>
      </c>
      <c r="S263" s="26" t="n">
        <v>45</v>
      </c>
      <c r="T263" s="26" t="n">
        <f aca="false">IFERROR(J263-S263,"")</f>
        <v>675</v>
      </c>
      <c r="U263" s="26"/>
      <c r="V263" s="26"/>
      <c r="W263" s="26" t="n">
        <v>16</v>
      </c>
      <c r="X263" s="26"/>
      <c r="Y263" s="26"/>
      <c r="Z263" s="26"/>
      <c r="AA263" s="26"/>
      <c r="AB263" s="26"/>
      <c r="AC263" s="26"/>
      <c r="AD263" s="26"/>
      <c r="AE263" s="26"/>
      <c r="AF263" s="26" t="n">
        <f aca="false">SUM(U263:AE263)</f>
        <v>16</v>
      </c>
      <c r="AG263" s="26" t="n">
        <f aca="false">T263-AF263</f>
        <v>659</v>
      </c>
      <c r="AH263" s="28" t="n">
        <f aca="false">IFERROR(AG263/T263,"")</f>
        <v>0.976296296296296</v>
      </c>
      <c r="AI263" s="29" t="n">
        <f aca="false">IFERROR(R263/AG263*60,"")</f>
        <v>702.154779969651</v>
      </c>
      <c r="AJ263" s="30" t="n">
        <f aca="false">IFERROR(AI263/Q263,"")</f>
        <v>0.926454223571067</v>
      </c>
      <c r="AK263" s="31" t="n">
        <f aca="false">IFERROR(R263/(T263/60*Q263),"")</f>
        <v>0.904493827160494</v>
      </c>
      <c r="AL263" s="26" t="n">
        <v>15</v>
      </c>
      <c r="AM263" s="26" t="n">
        <v>12</v>
      </c>
      <c r="AN263" s="26" t="n">
        <v>11</v>
      </c>
      <c r="AO263" s="26" t="n">
        <v>19</v>
      </c>
      <c r="AP263" s="26" t="n">
        <v>17</v>
      </c>
      <c r="AQ263" s="26" t="n">
        <v>14</v>
      </c>
      <c r="AR263" s="26" t="n">
        <v>20</v>
      </c>
      <c r="AS263" s="26" t="n">
        <v>13</v>
      </c>
      <c r="AT263" s="26" t="n">
        <v>15</v>
      </c>
      <c r="AU263" s="26" t="n">
        <v>9</v>
      </c>
      <c r="AV263" s="26" t="n">
        <f aca="false">SUM(AL263:AU263)</f>
        <v>145</v>
      </c>
      <c r="AW263" s="32" t="n">
        <f aca="false">IFERROR(AV263/R263*1000000,"")</f>
        <v>18801.867219917</v>
      </c>
      <c r="AX263" s="33" t="n">
        <f aca="false">IFERROR((R263-AV263)/R263,"")</f>
        <v>0.981198132780083</v>
      </c>
      <c r="AY263" s="34" t="n">
        <f aca="false">IFERROR(AH263*AJ263*AX263,"")</f>
        <v>0.887487654320987</v>
      </c>
      <c r="AZ263" s="35"/>
    </row>
    <row r="264" customFormat="false" ht="12.75" hidden="false" customHeight="true" outlineLevel="0" collapsed="false">
      <c r="A264" s="24" t="n">
        <v>260</v>
      </c>
      <c r="B264" s="25" t="n">
        <v>46109</v>
      </c>
      <c r="C264" s="25" t="n">
        <v>12</v>
      </c>
      <c r="D264" s="26" t="s">
        <v>79</v>
      </c>
      <c r="E264" s="26" t="s">
        <v>80</v>
      </c>
      <c r="F264" s="26" t="s">
        <v>81</v>
      </c>
      <c r="G264" s="26" t="s">
        <v>9</v>
      </c>
      <c r="H264" s="27" t="n">
        <v>0.354166666666667</v>
      </c>
      <c r="I264" s="27" t="n">
        <v>0.854166666666667</v>
      </c>
      <c r="J264" s="26" t="n">
        <f aca="false">IFERROR((I264-H264)*24*60,"")</f>
        <v>720</v>
      </c>
      <c r="K264" s="26" t="s">
        <v>74</v>
      </c>
      <c r="L264" s="26" t="s">
        <v>90</v>
      </c>
      <c r="M264" s="26" t="s">
        <v>84</v>
      </c>
      <c r="N264" s="26" t="s">
        <v>85</v>
      </c>
      <c r="O264" s="26" t="n">
        <v>2</v>
      </c>
      <c r="P264" s="26" t="n">
        <v>30</v>
      </c>
      <c r="Q264" s="26" t="n">
        <f aca="false">IFERROR(3600/(P264/O264),"")</f>
        <v>240</v>
      </c>
      <c r="R264" s="26" t="n">
        <v>2611</v>
      </c>
      <c r="S264" s="26" t="n">
        <v>31</v>
      </c>
      <c r="T264" s="26" t="n">
        <f aca="false">IFERROR(J264-S264,"")</f>
        <v>689</v>
      </c>
      <c r="U264" s="26"/>
      <c r="V264" s="26"/>
      <c r="W264" s="26"/>
      <c r="X264" s="26"/>
      <c r="Y264" s="26"/>
      <c r="Z264" s="26" t="n">
        <v>4</v>
      </c>
      <c r="AA264" s="26"/>
      <c r="AB264" s="26"/>
      <c r="AC264" s="26"/>
      <c r="AD264" s="26" t="n">
        <v>3</v>
      </c>
      <c r="AE264" s="26"/>
      <c r="AF264" s="26" t="n">
        <f aca="false">SUM(U264:AE264)</f>
        <v>7</v>
      </c>
      <c r="AG264" s="26" t="n">
        <f aca="false">T264-AF264</f>
        <v>682</v>
      </c>
      <c r="AH264" s="28" t="n">
        <f aca="false">IFERROR(AG264/T264,"")</f>
        <v>0.989840348330914</v>
      </c>
      <c r="AI264" s="29" t="n">
        <f aca="false">IFERROR(R264/AG264*60,"")</f>
        <v>229.706744868035</v>
      </c>
      <c r="AJ264" s="30" t="n">
        <f aca="false">IFERROR(AI264/Q264,"")</f>
        <v>0.957111436950147</v>
      </c>
      <c r="AK264" s="31" t="n">
        <f aca="false">IFERROR(R264/(T264/60*Q264),"")</f>
        <v>0.947387518142235</v>
      </c>
      <c r="AL264" s="26" t="n">
        <v>2</v>
      </c>
      <c r="AM264" s="26" t="n">
        <v>3</v>
      </c>
      <c r="AN264" s="26"/>
      <c r="AO264" s="26" t="n">
        <v>3</v>
      </c>
      <c r="AP264" s="26" t="n">
        <v>6</v>
      </c>
      <c r="AQ264" s="26" t="n">
        <v>1</v>
      </c>
      <c r="AR264" s="26" t="n">
        <v>5</v>
      </c>
      <c r="AS264" s="26" t="n">
        <v>5</v>
      </c>
      <c r="AT264" s="26" t="n">
        <v>4</v>
      </c>
      <c r="AU264" s="26" t="n">
        <v>1</v>
      </c>
      <c r="AV264" s="26" t="n">
        <f aca="false">SUM(AL264:AU264)</f>
        <v>30</v>
      </c>
      <c r="AW264" s="32" t="n">
        <f aca="false">IFERROR(AV264/R264*1000000,"")</f>
        <v>11489.8506319418</v>
      </c>
      <c r="AX264" s="33" t="n">
        <f aca="false">IFERROR((R264-AV264)/R264,"")</f>
        <v>0.988510149368058</v>
      </c>
      <c r="AY264" s="34" t="n">
        <f aca="false">IFERROR(AH264*AJ264*AX264,"")</f>
        <v>0.936502177068215</v>
      </c>
      <c r="AZ264" s="35"/>
    </row>
    <row r="265" customFormat="false" ht="12.75" hidden="false" customHeight="true" outlineLevel="0" collapsed="false">
      <c r="A265" s="24" t="n">
        <v>261</v>
      </c>
      <c r="B265" s="25" t="n">
        <v>46109</v>
      </c>
      <c r="C265" s="25" t="n">
        <v>12</v>
      </c>
      <c r="D265" s="26" t="s">
        <v>87</v>
      </c>
      <c r="E265" s="26" t="s">
        <v>88</v>
      </c>
      <c r="F265" s="26" t="s">
        <v>73</v>
      </c>
      <c r="G265" s="26" t="s">
        <v>10</v>
      </c>
      <c r="H265" s="27" t="n">
        <v>0.354166666666667</v>
      </c>
      <c r="I265" s="27" t="n">
        <v>0.854166666666667</v>
      </c>
      <c r="J265" s="26" t="n">
        <f aca="false">IFERROR((I265-H265)*24*60,"")</f>
        <v>720</v>
      </c>
      <c r="K265" s="26" t="s">
        <v>74</v>
      </c>
      <c r="L265" s="26" t="s">
        <v>90</v>
      </c>
      <c r="M265" s="26" t="s">
        <v>91</v>
      </c>
      <c r="N265" s="26" t="s">
        <v>92</v>
      </c>
      <c r="O265" s="26" t="n">
        <v>4</v>
      </c>
      <c r="P265" s="26" t="n">
        <v>54</v>
      </c>
      <c r="Q265" s="26" t="n">
        <f aca="false">IFERROR(3600/(P265/O265),"")</f>
        <v>266.666666666667</v>
      </c>
      <c r="R265" s="26" t="n">
        <v>2451</v>
      </c>
      <c r="S265" s="26" t="n">
        <v>44</v>
      </c>
      <c r="T265" s="26" t="n">
        <f aca="false">IFERROR(J265-S265,"")</f>
        <v>676</v>
      </c>
      <c r="U265" s="26"/>
      <c r="V265" s="26" t="n">
        <v>48</v>
      </c>
      <c r="W265" s="26"/>
      <c r="X265" s="26"/>
      <c r="Y265" s="26"/>
      <c r="Z265" s="26" t="n">
        <v>12</v>
      </c>
      <c r="AA265" s="26"/>
      <c r="AB265" s="26"/>
      <c r="AC265" s="26"/>
      <c r="AD265" s="26"/>
      <c r="AE265" s="26" t="n">
        <v>7</v>
      </c>
      <c r="AF265" s="26" t="n">
        <f aca="false">SUM(U265:AE265)</f>
        <v>67</v>
      </c>
      <c r="AG265" s="26" t="n">
        <f aca="false">T265-AF265</f>
        <v>609</v>
      </c>
      <c r="AH265" s="28" t="n">
        <f aca="false">IFERROR(AG265/T265,"")</f>
        <v>0.900887573964497</v>
      </c>
      <c r="AI265" s="29" t="n">
        <f aca="false">IFERROR(R265/AG265*60,"")</f>
        <v>241.477832512315</v>
      </c>
      <c r="AJ265" s="30" t="n">
        <f aca="false">IFERROR(AI265/Q265,"")</f>
        <v>0.905541871921182</v>
      </c>
      <c r="AK265" s="31" t="n">
        <f aca="false">IFERROR(R265/(T265/60*Q265),"")</f>
        <v>0.815791420118343</v>
      </c>
      <c r="AL265" s="26"/>
      <c r="AM265" s="26" t="n">
        <v>1</v>
      </c>
      <c r="AN265" s="26" t="n">
        <v>2</v>
      </c>
      <c r="AO265" s="26" t="n">
        <v>2</v>
      </c>
      <c r="AP265" s="26"/>
      <c r="AQ265" s="26"/>
      <c r="AR265" s="26" t="n">
        <v>1</v>
      </c>
      <c r="AS265" s="26" t="n">
        <v>2</v>
      </c>
      <c r="AT265" s="26"/>
      <c r="AU265" s="26" t="n">
        <v>2</v>
      </c>
      <c r="AV265" s="26" t="n">
        <f aca="false">SUM(AL265:AU265)</f>
        <v>10</v>
      </c>
      <c r="AW265" s="32" t="n">
        <f aca="false">IFERROR(AV265/R265*1000000,"")</f>
        <v>4079.96736026112</v>
      </c>
      <c r="AX265" s="33" t="n">
        <f aca="false">IFERROR((R265-AV265)/R265,"")</f>
        <v>0.995920032639739</v>
      </c>
      <c r="AY265" s="34" t="n">
        <f aca="false">IFERROR(AH265*AJ265*AX265,"")</f>
        <v>0.812463017751479</v>
      </c>
      <c r="AZ265" s="35"/>
    </row>
    <row r="266" customFormat="false" ht="12.75" hidden="false" customHeight="true" outlineLevel="0" collapsed="false">
      <c r="A266" s="24" t="n">
        <v>262</v>
      </c>
      <c r="B266" s="25" t="n">
        <v>46110</v>
      </c>
      <c r="C266" s="25" t="n">
        <v>12</v>
      </c>
      <c r="D266" s="26" t="s">
        <v>71</v>
      </c>
      <c r="E266" s="26" t="s">
        <v>94</v>
      </c>
      <c r="F266" s="26" t="s">
        <v>81</v>
      </c>
      <c r="G266" s="26" t="s">
        <v>11</v>
      </c>
      <c r="H266" s="27" t="n">
        <v>0.354166666666667</v>
      </c>
      <c r="I266" s="27" t="n">
        <v>0.854166666666667</v>
      </c>
      <c r="J266" s="26" t="n">
        <f aca="false">IFERROR((I266-H266)*24*60,"")</f>
        <v>720</v>
      </c>
      <c r="K266" s="26" t="s">
        <v>105</v>
      </c>
      <c r="L266" s="26" t="s">
        <v>108</v>
      </c>
      <c r="M266" s="26" t="s">
        <v>95</v>
      </c>
      <c r="N266" s="26" t="s">
        <v>96</v>
      </c>
      <c r="O266" s="26" t="n">
        <v>4</v>
      </c>
      <c r="P266" s="26" t="n">
        <v>71</v>
      </c>
      <c r="Q266" s="26" t="n">
        <f aca="false">IFERROR(3600/(P266/O266),"")</f>
        <v>202.816901408451</v>
      </c>
      <c r="R266" s="26" t="n">
        <v>1720</v>
      </c>
      <c r="S266" s="26" t="n">
        <v>46</v>
      </c>
      <c r="T266" s="26" t="n">
        <f aca="false">IFERROR(J266-S266,"")</f>
        <v>674</v>
      </c>
      <c r="U266" s="26"/>
      <c r="V266" s="26"/>
      <c r="W266" s="26"/>
      <c r="X266" s="26"/>
      <c r="Y266" s="26"/>
      <c r="Z266" s="26" t="n">
        <v>4</v>
      </c>
      <c r="AA266" s="26"/>
      <c r="AB266" s="26"/>
      <c r="AC266" s="26"/>
      <c r="AD266" s="26"/>
      <c r="AE266" s="26"/>
      <c r="AF266" s="26" t="n">
        <f aca="false">SUM(U266:AE266)</f>
        <v>4</v>
      </c>
      <c r="AG266" s="26" t="n">
        <f aca="false">T266-AF266</f>
        <v>670</v>
      </c>
      <c r="AH266" s="28" t="n">
        <f aca="false">IFERROR(AG266/T266,"")</f>
        <v>0.99406528189911</v>
      </c>
      <c r="AI266" s="29" t="n">
        <f aca="false">IFERROR(R266/AG266*60,"")</f>
        <v>154.029850746269</v>
      </c>
      <c r="AJ266" s="30" t="n">
        <f aca="false">IFERROR(AI266/Q266,"")</f>
        <v>0.759452736318408</v>
      </c>
      <c r="AK266" s="31" t="n">
        <f aca="false">IFERROR(R266/(T266/60*Q266),"")</f>
        <v>0.754945598417409</v>
      </c>
      <c r="AL266" s="26" t="n">
        <v>2</v>
      </c>
      <c r="AM266" s="26" t="n">
        <v>5</v>
      </c>
      <c r="AN266" s="26" t="n">
        <v>3</v>
      </c>
      <c r="AO266" s="26" t="n">
        <v>3</v>
      </c>
      <c r="AP266" s="26" t="n">
        <v>1</v>
      </c>
      <c r="AQ266" s="26" t="n">
        <v>2</v>
      </c>
      <c r="AR266" s="26" t="n">
        <v>3</v>
      </c>
      <c r="AS266" s="26" t="n">
        <v>5</v>
      </c>
      <c r="AT266" s="26" t="n">
        <v>5</v>
      </c>
      <c r="AU266" s="26" t="n">
        <v>1</v>
      </c>
      <c r="AV266" s="26" t="n">
        <f aca="false">SUM(AL266:AU266)</f>
        <v>30</v>
      </c>
      <c r="AW266" s="32" t="n">
        <f aca="false">IFERROR(AV266/R266*1000000,"")</f>
        <v>17441.8604651163</v>
      </c>
      <c r="AX266" s="33" t="n">
        <f aca="false">IFERROR((R266-AV266)/R266,"")</f>
        <v>0.982558139534884</v>
      </c>
      <c r="AY266" s="34" t="n">
        <f aca="false">IFERROR(AH266*AJ266*AX266,"")</f>
        <v>0.741777942631058</v>
      </c>
      <c r="AZ266" s="35"/>
    </row>
    <row r="267" customFormat="false" ht="12.75" hidden="false" customHeight="true" outlineLevel="0" collapsed="false">
      <c r="A267" s="24" t="n">
        <v>263</v>
      </c>
      <c r="B267" s="25" t="n">
        <v>46110</v>
      </c>
      <c r="C267" s="25" t="n">
        <v>12</v>
      </c>
      <c r="D267" s="26" t="s">
        <v>79</v>
      </c>
      <c r="E267" s="26" t="s">
        <v>97</v>
      </c>
      <c r="F267" s="26" t="s">
        <v>73</v>
      </c>
      <c r="G267" s="26" t="s">
        <v>12</v>
      </c>
      <c r="H267" s="27" t="n">
        <v>0.354166666666667</v>
      </c>
      <c r="I267" s="27" t="n">
        <v>0.854166666666667</v>
      </c>
      <c r="J267" s="26" t="n">
        <f aca="false">IFERROR((I267-H267)*24*60,"")</f>
        <v>720</v>
      </c>
      <c r="K267" s="26" t="s">
        <v>89</v>
      </c>
      <c r="L267" s="26" t="s">
        <v>106</v>
      </c>
      <c r="M267" s="26" t="s">
        <v>99</v>
      </c>
      <c r="N267" s="26" t="s">
        <v>100</v>
      </c>
      <c r="O267" s="26" t="n">
        <v>8</v>
      </c>
      <c r="P267" s="26" t="n">
        <v>32</v>
      </c>
      <c r="Q267" s="26" t="n">
        <f aca="false">IFERROR(3600/(P267/O267),"")</f>
        <v>900</v>
      </c>
      <c r="R267" s="26" t="n">
        <v>8748</v>
      </c>
      <c r="S267" s="26" t="n">
        <v>40</v>
      </c>
      <c r="T267" s="26" t="n">
        <f aca="false">IFERROR(J267-S267,"")</f>
        <v>680</v>
      </c>
      <c r="U267" s="26"/>
      <c r="V267" s="26" t="n">
        <v>45</v>
      </c>
      <c r="W267" s="26"/>
      <c r="X267" s="26"/>
      <c r="Y267" s="26" t="n">
        <v>3</v>
      </c>
      <c r="Z267" s="26"/>
      <c r="AA267" s="26" t="n">
        <v>29</v>
      </c>
      <c r="AB267" s="26"/>
      <c r="AC267" s="26"/>
      <c r="AD267" s="26"/>
      <c r="AE267" s="26"/>
      <c r="AF267" s="26" t="n">
        <f aca="false">SUM(U267:AE267)</f>
        <v>77</v>
      </c>
      <c r="AG267" s="26" t="n">
        <f aca="false">T267-AF267</f>
        <v>603</v>
      </c>
      <c r="AH267" s="28" t="n">
        <f aca="false">IFERROR(AG267/T267,"")</f>
        <v>0.886764705882353</v>
      </c>
      <c r="AI267" s="29" t="n">
        <f aca="false">IFERROR(R267/AG267*60,"")</f>
        <v>870.44776119403</v>
      </c>
      <c r="AJ267" s="30" t="n">
        <f aca="false">IFERROR(AI267/Q267,"")</f>
        <v>0.967164179104478</v>
      </c>
      <c r="AK267" s="31" t="n">
        <f aca="false">IFERROR(R267/(T267/60*Q267),"")</f>
        <v>0.857647058823529</v>
      </c>
      <c r="AL267" s="26" t="n">
        <v>7</v>
      </c>
      <c r="AM267" s="26" t="n">
        <v>9</v>
      </c>
      <c r="AN267" s="26" t="n">
        <v>15</v>
      </c>
      <c r="AO267" s="26" t="n">
        <v>11</v>
      </c>
      <c r="AP267" s="26" t="n">
        <v>12</v>
      </c>
      <c r="AQ267" s="26" t="n">
        <v>11</v>
      </c>
      <c r="AR267" s="26" t="n">
        <v>5</v>
      </c>
      <c r="AS267" s="26" t="n">
        <v>9</v>
      </c>
      <c r="AT267" s="26" t="n">
        <v>10</v>
      </c>
      <c r="AU267" s="26" t="n">
        <v>16</v>
      </c>
      <c r="AV267" s="26" t="n">
        <f aca="false">SUM(AL267:AU267)</f>
        <v>105</v>
      </c>
      <c r="AW267" s="32" t="n">
        <f aca="false">IFERROR(AV267/R267*1000000,"")</f>
        <v>12002.743484225</v>
      </c>
      <c r="AX267" s="33" t="n">
        <f aca="false">IFERROR((R267-AV267)/R267,"")</f>
        <v>0.987997256515775</v>
      </c>
      <c r="AY267" s="34" t="n">
        <f aca="false">IFERROR(AH267*AJ267*AX267,"")</f>
        <v>0.847352941176471</v>
      </c>
      <c r="AZ267" s="35" t="s">
        <v>93</v>
      </c>
    </row>
    <row r="268" customFormat="false" ht="12.75" hidden="false" customHeight="true" outlineLevel="0" collapsed="false">
      <c r="A268" s="24" t="n">
        <v>264</v>
      </c>
      <c r="B268" s="25" t="n">
        <v>46110</v>
      </c>
      <c r="C268" s="25" t="n">
        <v>12</v>
      </c>
      <c r="D268" s="26" t="s">
        <v>87</v>
      </c>
      <c r="E268" s="26" t="s">
        <v>101</v>
      </c>
      <c r="F268" s="26" t="s">
        <v>81</v>
      </c>
      <c r="G268" s="26" t="s">
        <v>13</v>
      </c>
      <c r="H268" s="27" t="n">
        <v>0.354166666666667</v>
      </c>
      <c r="I268" s="27" t="n">
        <v>0.854166666666667</v>
      </c>
      <c r="J268" s="26" t="n">
        <f aca="false">IFERROR((I268-H268)*24*60,"")</f>
        <v>720</v>
      </c>
      <c r="K268" s="26" t="s">
        <v>82</v>
      </c>
      <c r="L268" s="26" t="s">
        <v>107</v>
      </c>
      <c r="M268" s="26" t="s">
        <v>103</v>
      </c>
      <c r="N268" s="26" t="s">
        <v>104</v>
      </c>
      <c r="O268" s="26" t="n">
        <v>2</v>
      </c>
      <c r="P268" s="26" t="n">
        <v>59</v>
      </c>
      <c r="Q268" s="26" t="n">
        <f aca="false">IFERROR(3600/(P268/O268),"")</f>
        <v>122.033898305085</v>
      </c>
      <c r="R268" s="26" t="n">
        <v>1094</v>
      </c>
      <c r="S268" s="26" t="n">
        <v>62</v>
      </c>
      <c r="T268" s="26" t="n">
        <f aca="false">IFERROR(J268-S268,"")</f>
        <v>658</v>
      </c>
      <c r="U268" s="26"/>
      <c r="V268" s="26"/>
      <c r="W268" s="26"/>
      <c r="X268" s="26"/>
      <c r="Y268" s="26"/>
      <c r="Z268" s="26" t="n">
        <v>10</v>
      </c>
      <c r="AA268" s="26"/>
      <c r="AB268" s="26"/>
      <c r="AC268" s="26" t="n">
        <v>5</v>
      </c>
      <c r="AD268" s="26"/>
      <c r="AE268" s="26"/>
      <c r="AF268" s="26" t="n">
        <f aca="false">SUM(U268:AE268)</f>
        <v>15</v>
      </c>
      <c r="AG268" s="26" t="n">
        <f aca="false">T268-AF268</f>
        <v>643</v>
      </c>
      <c r="AH268" s="28" t="n">
        <f aca="false">IFERROR(AG268/T268,"")</f>
        <v>0.977203647416413</v>
      </c>
      <c r="AI268" s="29" t="n">
        <f aca="false">IFERROR(R268/AG268*60,"")</f>
        <v>102.083981337481</v>
      </c>
      <c r="AJ268" s="30" t="n">
        <f aca="false">IFERROR(AI268/Q268,"")</f>
        <v>0.836521513737688</v>
      </c>
      <c r="AK268" s="31" t="n">
        <f aca="false">IFERROR(R268/(T268/60*Q268),"")</f>
        <v>0.817451874366768</v>
      </c>
      <c r="AL268" s="26"/>
      <c r="AM268" s="26" t="n">
        <v>1</v>
      </c>
      <c r="AN268" s="26" t="n">
        <v>2</v>
      </c>
      <c r="AO268" s="26" t="n">
        <v>1</v>
      </c>
      <c r="AP268" s="26" t="n">
        <v>1</v>
      </c>
      <c r="AQ268" s="26"/>
      <c r="AR268" s="26" t="n">
        <v>1</v>
      </c>
      <c r="AS268" s="26" t="n">
        <v>2</v>
      </c>
      <c r="AT268" s="26" t="n">
        <v>1</v>
      </c>
      <c r="AU268" s="26" t="n">
        <v>1</v>
      </c>
      <c r="AV268" s="26" t="n">
        <f aca="false">SUM(AL268:AU268)</f>
        <v>10</v>
      </c>
      <c r="AW268" s="32" t="n">
        <f aca="false">IFERROR(AV268/R268*1000000,"")</f>
        <v>9140.76782449726</v>
      </c>
      <c r="AX268" s="33" t="n">
        <f aca="false">IFERROR((R268-AV268)/R268,"")</f>
        <v>0.990859232175503</v>
      </c>
      <c r="AY268" s="34" t="n">
        <f aca="false">IFERROR(AH268*AJ268*AX268,"")</f>
        <v>0.809979736575481</v>
      </c>
      <c r="AZ268" s="35"/>
    </row>
    <row r="269" customFormat="false" ht="12.75" hidden="false" customHeight="true" outlineLevel="0" collapsed="false">
      <c r="A269" s="24" t="n">
        <v>265</v>
      </c>
      <c r="B269" s="25" t="n">
        <v>46111</v>
      </c>
      <c r="C269" s="25" t="n">
        <v>12</v>
      </c>
      <c r="D269" s="26" t="s">
        <v>71</v>
      </c>
      <c r="E269" s="26" t="s">
        <v>72</v>
      </c>
      <c r="F269" s="26" t="s">
        <v>73</v>
      </c>
      <c r="G269" s="26" t="s">
        <v>8</v>
      </c>
      <c r="H269" s="27" t="n">
        <v>0.354166666666667</v>
      </c>
      <c r="I269" s="27" t="n">
        <v>0.854166666666667</v>
      </c>
      <c r="J269" s="26" t="n">
        <f aca="false">IFERROR((I269-H269)*24*60,"")</f>
        <v>720</v>
      </c>
      <c r="K269" s="26" t="s">
        <v>105</v>
      </c>
      <c r="L269" s="26" t="s">
        <v>98</v>
      </c>
      <c r="M269" s="26" t="s">
        <v>76</v>
      </c>
      <c r="N269" s="26" t="s">
        <v>77</v>
      </c>
      <c r="O269" s="26" t="n">
        <v>2</v>
      </c>
      <c r="P269" s="26" t="n">
        <v>25</v>
      </c>
      <c r="Q269" s="26" t="n">
        <f aca="false">IFERROR(3600/(P269/O269),"")</f>
        <v>288</v>
      </c>
      <c r="R269" s="26" t="n">
        <v>2872</v>
      </c>
      <c r="S269" s="26" t="n">
        <v>71</v>
      </c>
      <c r="T269" s="26" t="n">
        <f aca="false">IFERROR(J269-S269,"")</f>
        <v>649</v>
      </c>
      <c r="U269" s="26"/>
      <c r="V269" s="26"/>
      <c r="W269" s="26"/>
      <c r="X269" s="26"/>
      <c r="Y269" s="26"/>
      <c r="Z269" s="26"/>
      <c r="AA269" s="26" t="n">
        <v>8</v>
      </c>
      <c r="AB269" s="26"/>
      <c r="AC269" s="26"/>
      <c r="AD269" s="26"/>
      <c r="AE269" s="26" t="n">
        <v>27</v>
      </c>
      <c r="AF269" s="26" t="n">
        <f aca="false">SUM(U269:AE269)</f>
        <v>35</v>
      </c>
      <c r="AG269" s="26" t="n">
        <f aca="false">T269-AF269</f>
        <v>614</v>
      </c>
      <c r="AH269" s="28" t="n">
        <f aca="false">IFERROR(AG269/T269,"")</f>
        <v>0.946070878274268</v>
      </c>
      <c r="AI269" s="29" t="n">
        <f aca="false">IFERROR(R269/AG269*60,"")</f>
        <v>280.651465798046</v>
      </c>
      <c r="AJ269" s="30" t="n">
        <f aca="false">IFERROR(AI269/Q269,"")</f>
        <v>0.974484256243214</v>
      </c>
      <c r="AK269" s="31" t="n">
        <f aca="false">IFERROR(R269/(T269/60*Q269),"")</f>
        <v>0.921931176168464</v>
      </c>
      <c r="AL269" s="26" t="n">
        <v>2</v>
      </c>
      <c r="AM269" s="26" t="n">
        <v>1</v>
      </c>
      <c r="AN269" s="26" t="n">
        <v>1</v>
      </c>
      <c r="AO269" s="26" t="n">
        <v>3</v>
      </c>
      <c r="AP269" s="26" t="n">
        <v>2</v>
      </c>
      <c r="AQ269" s="26" t="n">
        <v>4</v>
      </c>
      <c r="AR269" s="26" t="n">
        <v>1</v>
      </c>
      <c r="AS269" s="26" t="n">
        <v>1</v>
      </c>
      <c r="AT269" s="26" t="n">
        <v>3</v>
      </c>
      <c r="AU269" s="26" t="n">
        <v>1</v>
      </c>
      <c r="AV269" s="26" t="n">
        <f aca="false">SUM(AL269:AU269)</f>
        <v>19</v>
      </c>
      <c r="AW269" s="32" t="n">
        <f aca="false">IFERROR(AV269/R269*1000000,"")</f>
        <v>6615.59888579387</v>
      </c>
      <c r="AX269" s="33" t="n">
        <f aca="false">IFERROR((R269-AV269)/R269,"")</f>
        <v>0.993384401114206</v>
      </c>
      <c r="AY269" s="34" t="n">
        <f aca="false">IFERROR(AH269*AJ269*AX269,"")</f>
        <v>0.915832049306625</v>
      </c>
      <c r="AZ269" s="35" t="s">
        <v>78</v>
      </c>
    </row>
    <row r="270" customFormat="false" ht="12.75" hidden="false" customHeight="true" outlineLevel="0" collapsed="false">
      <c r="A270" s="24" t="n">
        <v>266</v>
      </c>
      <c r="B270" s="25" t="n">
        <v>46111</v>
      </c>
      <c r="C270" s="25" t="n">
        <v>12</v>
      </c>
      <c r="D270" s="26" t="s">
        <v>79</v>
      </c>
      <c r="E270" s="26" t="s">
        <v>80</v>
      </c>
      <c r="F270" s="26" t="s">
        <v>81</v>
      </c>
      <c r="G270" s="26" t="s">
        <v>9</v>
      </c>
      <c r="H270" s="27" t="n">
        <v>0.354166666666667</v>
      </c>
      <c r="I270" s="27" t="n">
        <v>0.854166666666667</v>
      </c>
      <c r="J270" s="26" t="n">
        <f aca="false">IFERROR((I270-H270)*24*60,"")</f>
        <v>720</v>
      </c>
      <c r="K270" s="26" t="s">
        <v>74</v>
      </c>
      <c r="L270" s="26" t="s">
        <v>106</v>
      </c>
      <c r="M270" s="26" t="s">
        <v>84</v>
      </c>
      <c r="N270" s="26" t="s">
        <v>85</v>
      </c>
      <c r="O270" s="26" t="n">
        <v>8</v>
      </c>
      <c r="P270" s="26" t="n">
        <v>49</v>
      </c>
      <c r="Q270" s="26" t="n">
        <f aca="false">IFERROR(3600/(P270/O270),"")</f>
        <v>587.755102040816</v>
      </c>
      <c r="R270" s="26" t="n">
        <v>4345</v>
      </c>
      <c r="S270" s="26" t="n">
        <v>71</v>
      </c>
      <c r="T270" s="26" t="n">
        <f aca="false">IFERROR(J270-S270,"")</f>
        <v>649</v>
      </c>
      <c r="U270" s="26" t="n">
        <v>13</v>
      </c>
      <c r="V270" s="26"/>
      <c r="W270" s="26"/>
      <c r="X270" s="26"/>
      <c r="Y270" s="26" t="n">
        <v>11</v>
      </c>
      <c r="Z270" s="26"/>
      <c r="AA270" s="26"/>
      <c r="AB270" s="26"/>
      <c r="AC270" s="26"/>
      <c r="AD270" s="26" t="n">
        <v>21</v>
      </c>
      <c r="AE270" s="26"/>
      <c r="AF270" s="26" t="n">
        <f aca="false">SUM(U270:AE270)</f>
        <v>45</v>
      </c>
      <c r="AG270" s="26" t="n">
        <f aca="false">T270-AF270</f>
        <v>604</v>
      </c>
      <c r="AH270" s="28" t="n">
        <f aca="false">IFERROR(AG270/T270,"")</f>
        <v>0.930662557781202</v>
      </c>
      <c r="AI270" s="29" t="n">
        <f aca="false">IFERROR(R270/AG270*60,"")</f>
        <v>431.622516556291</v>
      </c>
      <c r="AJ270" s="30" t="n">
        <f aca="false">IFERROR(AI270/Q270,"")</f>
        <v>0.734357753863135</v>
      </c>
      <c r="AK270" s="31" t="n">
        <f aca="false">IFERROR(R270/(T270/60*Q270),"")</f>
        <v>0.683439265536723</v>
      </c>
      <c r="AL270" s="26" t="n">
        <v>12</v>
      </c>
      <c r="AM270" s="26" t="n">
        <v>13</v>
      </c>
      <c r="AN270" s="26" t="n">
        <v>13</v>
      </c>
      <c r="AO270" s="26" t="n">
        <v>6</v>
      </c>
      <c r="AP270" s="26" t="n">
        <v>9</v>
      </c>
      <c r="AQ270" s="26" t="n">
        <v>9</v>
      </c>
      <c r="AR270" s="26" t="n">
        <v>5</v>
      </c>
      <c r="AS270" s="26" t="n">
        <v>9</v>
      </c>
      <c r="AT270" s="26" t="n">
        <v>6</v>
      </c>
      <c r="AU270" s="26" t="n">
        <v>8</v>
      </c>
      <c r="AV270" s="26" t="n">
        <f aca="false">SUM(AL270:AU270)</f>
        <v>90</v>
      </c>
      <c r="AW270" s="32" t="n">
        <f aca="false">IFERROR(AV270/R270*1000000,"")</f>
        <v>20713.4637514384</v>
      </c>
      <c r="AX270" s="33" t="n">
        <f aca="false">IFERROR((R270-AV270)/R270,"")</f>
        <v>0.979286536248562</v>
      </c>
      <c r="AY270" s="34" t="n">
        <f aca="false">IFERROR(AH270*AJ270*AX270,"")</f>
        <v>0.669282871083718</v>
      </c>
      <c r="AZ270" s="35"/>
    </row>
    <row r="271" customFormat="false" ht="12.75" hidden="false" customHeight="true" outlineLevel="0" collapsed="false">
      <c r="A271" s="24" t="n">
        <v>267</v>
      </c>
      <c r="B271" s="25" t="n">
        <v>46111</v>
      </c>
      <c r="C271" s="25" t="n">
        <v>12</v>
      </c>
      <c r="D271" s="26" t="s">
        <v>87</v>
      </c>
      <c r="E271" s="26" t="s">
        <v>88</v>
      </c>
      <c r="F271" s="26" t="s">
        <v>73</v>
      </c>
      <c r="G271" s="26" t="s">
        <v>10</v>
      </c>
      <c r="H271" s="27" t="n">
        <v>0.354166666666667</v>
      </c>
      <c r="I271" s="27" t="n">
        <v>0.854166666666667</v>
      </c>
      <c r="J271" s="26" t="n">
        <f aca="false">IFERROR((I271-H271)*24*60,"")</f>
        <v>720</v>
      </c>
      <c r="K271" s="26" t="s">
        <v>82</v>
      </c>
      <c r="L271" s="26" t="s">
        <v>90</v>
      </c>
      <c r="M271" s="26" t="s">
        <v>91</v>
      </c>
      <c r="N271" s="26" t="s">
        <v>92</v>
      </c>
      <c r="O271" s="26" t="n">
        <v>4</v>
      </c>
      <c r="P271" s="26" t="n">
        <v>36</v>
      </c>
      <c r="Q271" s="26" t="n">
        <f aca="false">IFERROR(3600/(P271/O271),"")</f>
        <v>400</v>
      </c>
      <c r="R271" s="26" t="n">
        <v>3331</v>
      </c>
      <c r="S271" s="26" t="n">
        <v>44</v>
      </c>
      <c r="T271" s="26" t="n">
        <f aca="false">IFERROR(J271-S271,"")</f>
        <v>676</v>
      </c>
      <c r="U271" s="26"/>
      <c r="V271" s="26" t="n">
        <v>7</v>
      </c>
      <c r="W271" s="26"/>
      <c r="X271" s="26"/>
      <c r="Y271" s="26"/>
      <c r="Z271" s="26"/>
      <c r="AA271" s="26"/>
      <c r="AB271" s="26" t="n">
        <v>7</v>
      </c>
      <c r="AC271" s="26"/>
      <c r="AD271" s="26"/>
      <c r="AE271" s="26"/>
      <c r="AF271" s="26" t="n">
        <f aca="false">SUM(U271:AE271)</f>
        <v>14</v>
      </c>
      <c r="AG271" s="26" t="n">
        <f aca="false">T271-AF271</f>
        <v>662</v>
      </c>
      <c r="AH271" s="28" t="n">
        <f aca="false">IFERROR(AG271/T271,"")</f>
        <v>0.979289940828402</v>
      </c>
      <c r="AI271" s="29" t="n">
        <f aca="false">IFERROR(R271/AG271*60,"")</f>
        <v>301.90332326284</v>
      </c>
      <c r="AJ271" s="30" t="n">
        <f aca="false">IFERROR(AI271/Q271,"")</f>
        <v>0.7547583081571</v>
      </c>
      <c r="AK271" s="31" t="n">
        <f aca="false">IFERROR(R271/(T271/60*Q271),"")</f>
        <v>0.739127218934911</v>
      </c>
      <c r="AL271" s="26" t="n">
        <v>3</v>
      </c>
      <c r="AM271" s="26" t="n">
        <v>3</v>
      </c>
      <c r="AN271" s="26" t="n">
        <v>4</v>
      </c>
      <c r="AO271" s="26" t="n">
        <v>4</v>
      </c>
      <c r="AP271" s="26" t="n">
        <v>4</v>
      </c>
      <c r="AQ271" s="26" t="n">
        <v>7</v>
      </c>
      <c r="AR271" s="26" t="n">
        <v>3</v>
      </c>
      <c r="AS271" s="26" t="n">
        <v>4</v>
      </c>
      <c r="AT271" s="26" t="n">
        <v>6</v>
      </c>
      <c r="AU271" s="26" t="n">
        <v>6</v>
      </c>
      <c r="AV271" s="26" t="n">
        <f aca="false">SUM(AL271:AU271)</f>
        <v>44</v>
      </c>
      <c r="AW271" s="32" t="n">
        <f aca="false">IFERROR(AV271/R271*1000000,"")</f>
        <v>13209.2464725308</v>
      </c>
      <c r="AX271" s="33" t="n">
        <f aca="false">IFERROR((R271-AV271)/R271,"")</f>
        <v>0.986790753527469</v>
      </c>
      <c r="AY271" s="34" t="n">
        <f aca="false">IFERROR(AH271*AJ271*AX271,"")</f>
        <v>0.729363905325444</v>
      </c>
      <c r="AZ271" s="35" t="s">
        <v>86</v>
      </c>
    </row>
    <row r="272" customFormat="false" ht="12.75" hidden="false" customHeight="true" outlineLevel="0" collapsed="false">
      <c r="A272" s="24" t="n">
        <v>268</v>
      </c>
      <c r="B272" s="25" t="n">
        <v>46112</v>
      </c>
      <c r="C272" s="25" t="n">
        <v>12</v>
      </c>
      <c r="D272" s="26" t="s">
        <v>71</v>
      </c>
      <c r="E272" s="26" t="s">
        <v>94</v>
      </c>
      <c r="F272" s="26" t="s">
        <v>81</v>
      </c>
      <c r="G272" s="26" t="s">
        <v>11</v>
      </c>
      <c r="H272" s="27" t="n">
        <v>0.354166666666667</v>
      </c>
      <c r="I272" s="27" t="n">
        <v>0.854166666666667</v>
      </c>
      <c r="J272" s="26" t="n">
        <f aca="false">IFERROR((I272-H272)*24*60,"")</f>
        <v>720</v>
      </c>
      <c r="K272" s="26" t="s">
        <v>82</v>
      </c>
      <c r="L272" s="26" t="s">
        <v>108</v>
      </c>
      <c r="M272" s="26" t="s">
        <v>95</v>
      </c>
      <c r="N272" s="26" t="s">
        <v>96</v>
      </c>
      <c r="O272" s="26" t="n">
        <v>4</v>
      </c>
      <c r="P272" s="26" t="n">
        <v>45</v>
      </c>
      <c r="Q272" s="26" t="n">
        <f aca="false">IFERROR(3600/(P272/O272),"")</f>
        <v>320</v>
      </c>
      <c r="R272" s="26" t="n">
        <v>2958</v>
      </c>
      <c r="S272" s="26" t="n">
        <v>56</v>
      </c>
      <c r="T272" s="26" t="n">
        <f aca="false">IFERROR(J272-S272,"")</f>
        <v>664</v>
      </c>
      <c r="U272" s="26"/>
      <c r="V272" s="26"/>
      <c r="W272" s="26"/>
      <c r="X272" s="26"/>
      <c r="Y272" s="26"/>
      <c r="Z272" s="26" t="n">
        <v>14</v>
      </c>
      <c r="AA272" s="26"/>
      <c r="AB272" s="26"/>
      <c r="AC272" s="26"/>
      <c r="AD272" s="26"/>
      <c r="AE272" s="26"/>
      <c r="AF272" s="26" t="n">
        <f aca="false">SUM(U272:AE272)</f>
        <v>14</v>
      </c>
      <c r="AG272" s="26" t="n">
        <f aca="false">T272-AF272</f>
        <v>650</v>
      </c>
      <c r="AH272" s="28" t="n">
        <f aca="false">IFERROR(AG272/T272,"")</f>
        <v>0.978915662650602</v>
      </c>
      <c r="AI272" s="29" t="n">
        <f aca="false">IFERROR(R272/AG272*60,"")</f>
        <v>273.046153846154</v>
      </c>
      <c r="AJ272" s="30" t="n">
        <f aca="false">IFERROR(AI272/Q272,"")</f>
        <v>0.853269230769231</v>
      </c>
      <c r="AK272" s="31" t="n">
        <f aca="false">IFERROR(R272/(T272/60*Q272),"")</f>
        <v>0.835278614457831</v>
      </c>
      <c r="AL272" s="26" t="n">
        <v>2</v>
      </c>
      <c r="AM272" s="26" t="n">
        <v>1</v>
      </c>
      <c r="AN272" s="26" t="n">
        <v>1</v>
      </c>
      <c r="AO272" s="26" t="n">
        <v>2</v>
      </c>
      <c r="AP272" s="26" t="n">
        <v>2</v>
      </c>
      <c r="AQ272" s="26" t="n">
        <v>2</v>
      </c>
      <c r="AR272" s="26" t="n">
        <v>5</v>
      </c>
      <c r="AS272" s="26" t="n">
        <v>5</v>
      </c>
      <c r="AT272" s="26" t="n">
        <v>2</v>
      </c>
      <c r="AU272" s="26" t="n">
        <v>4</v>
      </c>
      <c r="AV272" s="26" t="n">
        <f aca="false">SUM(AL272:AU272)</f>
        <v>26</v>
      </c>
      <c r="AW272" s="32" t="n">
        <f aca="false">IFERROR(AV272/R272*1000000,"")</f>
        <v>8789.72278566599</v>
      </c>
      <c r="AX272" s="33" t="n">
        <f aca="false">IFERROR((R272-AV272)/R272,"")</f>
        <v>0.991210277214334</v>
      </c>
      <c r="AY272" s="34" t="n">
        <f aca="false">IFERROR(AH272*AJ272*AX272,"")</f>
        <v>0.827936746987952</v>
      </c>
      <c r="AZ272" s="35" t="s">
        <v>78</v>
      </c>
    </row>
    <row r="273" customFormat="false" ht="12.75" hidden="false" customHeight="true" outlineLevel="0" collapsed="false">
      <c r="A273" s="24" t="n">
        <v>269</v>
      </c>
      <c r="B273" s="25" t="n">
        <v>46112</v>
      </c>
      <c r="C273" s="25" t="n">
        <v>12</v>
      </c>
      <c r="D273" s="26" t="s">
        <v>79</v>
      </c>
      <c r="E273" s="26" t="s">
        <v>97</v>
      </c>
      <c r="F273" s="26" t="s">
        <v>73</v>
      </c>
      <c r="G273" s="26" t="s">
        <v>12</v>
      </c>
      <c r="H273" s="27" t="n">
        <v>0.354166666666667</v>
      </c>
      <c r="I273" s="27" t="n">
        <v>0.854166666666667</v>
      </c>
      <c r="J273" s="26" t="n">
        <f aca="false">IFERROR((I273-H273)*24*60,"")</f>
        <v>720</v>
      </c>
      <c r="K273" s="26" t="s">
        <v>74</v>
      </c>
      <c r="L273" s="26" t="s">
        <v>75</v>
      </c>
      <c r="M273" s="26" t="s">
        <v>99</v>
      </c>
      <c r="N273" s="26" t="s">
        <v>100</v>
      </c>
      <c r="O273" s="26" t="n">
        <v>2</v>
      </c>
      <c r="P273" s="26" t="n">
        <v>43</v>
      </c>
      <c r="Q273" s="26" t="n">
        <f aca="false">IFERROR(3600/(P273/O273),"")</f>
        <v>167.441860465116</v>
      </c>
      <c r="R273" s="26" t="n">
        <v>1709</v>
      </c>
      <c r="S273" s="26" t="n">
        <v>40</v>
      </c>
      <c r="T273" s="26" t="n">
        <f aca="false">IFERROR(J273-S273,"")</f>
        <v>680</v>
      </c>
      <c r="U273" s="26"/>
      <c r="V273" s="26"/>
      <c r="W273" s="26" t="n">
        <v>7</v>
      </c>
      <c r="X273" s="26" t="n">
        <v>36</v>
      </c>
      <c r="Y273" s="26"/>
      <c r="Z273" s="26"/>
      <c r="AA273" s="26"/>
      <c r="AB273" s="26"/>
      <c r="AC273" s="26"/>
      <c r="AD273" s="26"/>
      <c r="AE273" s="26" t="n">
        <v>32</v>
      </c>
      <c r="AF273" s="26" t="n">
        <f aca="false">SUM(U273:AE273)</f>
        <v>75</v>
      </c>
      <c r="AG273" s="26" t="n">
        <f aca="false">T273-AF273</f>
        <v>605</v>
      </c>
      <c r="AH273" s="28" t="n">
        <f aca="false">IFERROR(AG273/T273,"")</f>
        <v>0.889705882352941</v>
      </c>
      <c r="AI273" s="29" t="n">
        <f aca="false">IFERROR(R273/AG273*60,"")</f>
        <v>169.487603305785</v>
      </c>
      <c r="AJ273" s="30" t="n">
        <f aca="false">IFERROR(AI273/Q273,"")</f>
        <v>1.01221763085399</v>
      </c>
      <c r="AK273" s="31" t="n">
        <f aca="false">IFERROR(R273/(T273/60*Q273),"")</f>
        <v>0.900575980392157</v>
      </c>
      <c r="AL273" s="26" t="n">
        <v>2</v>
      </c>
      <c r="AM273" s="26" t="n">
        <v>2</v>
      </c>
      <c r="AN273" s="26" t="n">
        <v>4</v>
      </c>
      <c r="AO273" s="26" t="n">
        <v>1</v>
      </c>
      <c r="AP273" s="26" t="n">
        <v>3</v>
      </c>
      <c r="AQ273" s="26" t="n">
        <v>1</v>
      </c>
      <c r="AR273" s="26" t="n">
        <v>1</v>
      </c>
      <c r="AS273" s="26" t="n">
        <v>2</v>
      </c>
      <c r="AT273" s="26"/>
      <c r="AU273" s="26"/>
      <c r="AV273" s="26" t="n">
        <f aca="false">SUM(AL273:AU273)</f>
        <v>16</v>
      </c>
      <c r="AW273" s="32" t="n">
        <f aca="false">IFERROR(AV273/R273*1000000,"")</f>
        <v>9362.2001170275</v>
      </c>
      <c r="AX273" s="33" t="n">
        <f aca="false">IFERROR((R273-AV273)/R273,"")</f>
        <v>0.990637799882973</v>
      </c>
      <c r="AY273" s="34" t="n">
        <f aca="false">IFERROR(AH273*AJ273*AX273,"")</f>
        <v>0.892144607843137</v>
      </c>
      <c r="AZ273" s="35" t="s">
        <v>86</v>
      </c>
    </row>
    <row r="274" customFormat="false" ht="12.75" hidden="false" customHeight="true" outlineLevel="0" collapsed="false">
      <c r="A274" s="24" t="n">
        <v>270</v>
      </c>
      <c r="B274" s="25" t="n">
        <v>46112</v>
      </c>
      <c r="C274" s="25" t="n">
        <v>12</v>
      </c>
      <c r="D274" s="26" t="s">
        <v>87</v>
      </c>
      <c r="E274" s="26" t="s">
        <v>101</v>
      </c>
      <c r="F274" s="26" t="s">
        <v>81</v>
      </c>
      <c r="G274" s="26" t="s">
        <v>13</v>
      </c>
      <c r="H274" s="27" t="n">
        <v>0.354166666666667</v>
      </c>
      <c r="I274" s="27" t="n">
        <v>0.854166666666667</v>
      </c>
      <c r="J274" s="26" t="n">
        <f aca="false">IFERROR((I274-H274)*24*60,"")</f>
        <v>720</v>
      </c>
      <c r="K274" s="26" t="s">
        <v>74</v>
      </c>
      <c r="L274" s="26" t="s">
        <v>106</v>
      </c>
      <c r="M274" s="26" t="s">
        <v>103</v>
      </c>
      <c r="N274" s="26" t="s">
        <v>104</v>
      </c>
      <c r="O274" s="26" t="n">
        <v>2</v>
      </c>
      <c r="P274" s="26" t="n">
        <v>33</v>
      </c>
      <c r="Q274" s="26" t="n">
        <f aca="false">IFERROR(3600/(P274/O274),"")</f>
        <v>218.181818181818</v>
      </c>
      <c r="R274" s="26" t="n">
        <v>2208</v>
      </c>
      <c r="S274" s="26" t="n">
        <v>57</v>
      </c>
      <c r="T274" s="26" t="n">
        <f aca="false">IFERROR(J274-S274,"")</f>
        <v>663</v>
      </c>
      <c r="U274" s="26"/>
      <c r="V274" s="26"/>
      <c r="W274" s="26"/>
      <c r="X274" s="26"/>
      <c r="Y274" s="26"/>
      <c r="Z274" s="26" t="n">
        <v>4</v>
      </c>
      <c r="AA274" s="26"/>
      <c r="AB274" s="26" t="n">
        <v>3</v>
      </c>
      <c r="AC274" s="26"/>
      <c r="AD274" s="26"/>
      <c r="AE274" s="26"/>
      <c r="AF274" s="26" t="n">
        <f aca="false">SUM(U274:AE274)</f>
        <v>7</v>
      </c>
      <c r="AG274" s="26" t="n">
        <f aca="false">T274-AF274</f>
        <v>656</v>
      </c>
      <c r="AH274" s="28" t="n">
        <f aca="false">IFERROR(AG274/T274,"")</f>
        <v>0.989441930618401</v>
      </c>
      <c r="AI274" s="29" t="n">
        <f aca="false">IFERROR(R274/AG274*60,"")</f>
        <v>201.951219512195</v>
      </c>
      <c r="AJ274" s="30" t="n">
        <f aca="false">IFERROR(AI274/Q274,"")</f>
        <v>0.925609756097561</v>
      </c>
      <c r="AK274" s="31" t="n">
        <f aca="false">IFERROR(R274/(T274/60*Q274),"")</f>
        <v>0.915837104072398</v>
      </c>
      <c r="AL274" s="26"/>
      <c r="AM274" s="26" t="n">
        <v>1</v>
      </c>
      <c r="AN274" s="26"/>
      <c r="AO274" s="26" t="n">
        <v>2</v>
      </c>
      <c r="AP274" s="26"/>
      <c r="AQ274" s="26"/>
      <c r="AR274" s="26" t="n">
        <v>3</v>
      </c>
      <c r="AS274" s="26" t="n">
        <v>2</v>
      </c>
      <c r="AT274" s="26" t="n">
        <v>1</v>
      </c>
      <c r="AU274" s="26"/>
      <c r="AV274" s="26" t="n">
        <f aca="false">SUM(AL274:AU274)</f>
        <v>9</v>
      </c>
      <c r="AW274" s="32" t="n">
        <f aca="false">IFERROR(AV274/R274*1000000,"")</f>
        <v>4076.08695652174</v>
      </c>
      <c r="AX274" s="33" t="n">
        <f aca="false">IFERROR((R274-AV274)/R274,"")</f>
        <v>0.995923913043478</v>
      </c>
      <c r="AY274" s="34" t="n">
        <f aca="false">IFERROR(AH274*AJ274*AX274,"")</f>
        <v>0.91210407239819</v>
      </c>
      <c r="AZ274" s="35" t="s">
        <v>86</v>
      </c>
    </row>
    <row r="275" customFormat="false" ht="12.75" hidden="false" customHeight="true" outlineLevel="0" collapsed="false">
      <c r="A275" s="24" t="n">
        <v>271</v>
      </c>
      <c r="B275" s="25" t="n">
        <v>46113</v>
      </c>
      <c r="C275" s="25" t="n">
        <v>12</v>
      </c>
      <c r="D275" s="26" t="s">
        <v>71</v>
      </c>
      <c r="E275" s="26" t="s">
        <v>72</v>
      </c>
      <c r="F275" s="26" t="s">
        <v>73</v>
      </c>
      <c r="G275" s="26" t="s">
        <v>8</v>
      </c>
      <c r="H275" s="27" t="n">
        <v>0.354166666666667</v>
      </c>
      <c r="I275" s="27" t="n">
        <v>0.854166666666667</v>
      </c>
      <c r="J275" s="26" t="n">
        <f aca="false">IFERROR((I275-H275)*24*60,"")</f>
        <v>720</v>
      </c>
      <c r="K275" s="26" t="s">
        <v>82</v>
      </c>
      <c r="L275" s="26" t="s">
        <v>108</v>
      </c>
      <c r="M275" s="26" t="s">
        <v>76</v>
      </c>
      <c r="N275" s="26" t="s">
        <v>77</v>
      </c>
      <c r="O275" s="26" t="n">
        <v>4</v>
      </c>
      <c r="P275" s="26" t="n">
        <v>67</v>
      </c>
      <c r="Q275" s="26" t="n">
        <f aca="false">IFERROR(3600/(P275/O275),"")</f>
        <v>214.925373134328</v>
      </c>
      <c r="R275" s="26" t="n">
        <v>2113</v>
      </c>
      <c r="S275" s="26" t="n">
        <v>55</v>
      </c>
      <c r="T275" s="26" t="n">
        <f aca="false">IFERROR(J275-S275,"")</f>
        <v>665</v>
      </c>
      <c r="U275" s="26"/>
      <c r="V275" s="26" t="n">
        <v>11</v>
      </c>
      <c r="W275" s="26"/>
      <c r="X275" s="26"/>
      <c r="Y275" s="26"/>
      <c r="Z275" s="26"/>
      <c r="AA275" s="26" t="n">
        <v>22</v>
      </c>
      <c r="AB275" s="26"/>
      <c r="AC275" s="26"/>
      <c r="AD275" s="26"/>
      <c r="AE275" s="26"/>
      <c r="AF275" s="26" t="n">
        <f aca="false">SUM(U275:AE275)</f>
        <v>33</v>
      </c>
      <c r="AG275" s="26" t="n">
        <f aca="false">T275-AF275</f>
        <v>632</v>
      </c>
      <c r="AH275" s="28" t="n">
        <f aca="false">IFERROR(AG275/T275,"")</f>
        <v>0.950375939849624</v>
      </c>
      <c r="AI275" s="29" t="n">
        <f aca="false">IFERROR(R275/AG275*60,"")</f>
        <v>200.601265822785</v>
      </c>
      <c r="AJ275" s="30" t="n">
        <f aca="false">IFERROR(AI275/Q275,"")</f>
        <v>0.933353111814346</v>
      </c>
      <c r="AK275" s="31" t="n">
        <f aca="false">IFERROR(R275/(T275/60*Q275),"")</f>
        <v>0.88703634085213</v>
      </c>
      <c r="AL275" s="26" t="n">
        <v>3</v>
      </c>
      <c r="AM275" s="26" t="n">
        <v>1</v>
      </c>
      <c r="AN275" s="26" t="n">
        <v>2</v>
      </c>
      <c r="AO275" s="26" t="n">
        <v>5</v>
      </c>
      <c r="AP275" s="26"/>
      <c r="AQ275" s="26" t="n">
        <v>3</v>
      </c>
      <c r="AR275" s="26" t="n">
        <v>1</v>
      </c>
      <c r="AS275" s="26" t="n">
        <v>1</v>
      </c>
      <c r="AT275" s="26" t="n">
        <v>1</v>
      </c>
      <c r="AU275" s="26" t="n">
        <v>4</v>
      </c>
      <c r="AV275" s="26" t="n">
        <f aca="false">SUM(AL275:AU275)</f>
        <v>21</v>
      </c>
      <c r="AW275" s="32" t="n">
        <f aca="false">IFERROR(AV275/R275*1000000,"")</f>
        <v>9938.47610033128</v>
      </c>
      <c r="AX275" s="33" t="n">
        <f aca="false">IFERROR((R275-AV275)/R275,"")</f>
        <v>0.990061523899669</v>
      </c>
      <c r="AY275" s="34" t="n">
        <f aca="false">IFERROR(AH275*AJ275*AX275,"")</f>
        <v>0.878220551378446</v>
      </c>
      <c r="AZ275" s="35" t="s">
        <v>78</v>
      </c>
    </row>
    <row r="276" customFormat="false" ht="12.75" hidden="false" customHeight="true" outlineLevel="0" collapsed="false">
      <c r="A276" s="24" t="n">
        <v>272</v>
      </c>
      <c r="B276" s="25" t="n">
        <v>46113</v>
      </c>
      <c r="C276" s="25" t="n">
        <v>12</v>
      </c>
      <c r="D276" s="26" t="s">
        <v>79</v>
      </c>
      <c r="E276" s="26" t="s">
        <v>80</v>
      </c>
      <c r="F276" s="26" t="s">
        <v>81</v>
      </c>
      <c r="G276" s="26" t="s">
        <v>9</v>
      </c>
      <c r="H276" s="27" t="n">
        <v>0.354166666666667</v>
      </c>
      <c r="I276" s="27" t="n">
        <v>0.854166666666667</v>
      </c>
      <c r="J276" s="26" t="n">
        <f aca="false">IFERROR((I276-H276)*24*60,"")</f>
        <v>720</v>
      </c>
      <c r="K276" s="26" t="s">
        <v>82</v>
      </c>
      <c r="L276" s="26" t="s">
        <v>107</v>
      </c>
      <c r="M276" s="26" t="s">
        <v>84</v>
      </c>
      <c r="N276" s="26" t="s">
        <v>85</v>
      </c>
      <c r="O276" s="26" t="n">
        <v>2</v>
      </c>
      <c r="P276" s="26" t="n">
        <v>51</v>
      </c>
      <c r="Q276" s="26" t="n">
        <f aca="false">IFERROR(3600/(P276/O276),"")</f>
        <v>141.176470588235</v>
      </c>
      <c r="R276" s="26" t="n">
        <v>1104</v>
      </c>
      <c r="S276" s="26" t="n">
        <v>51</v>
      </c>
      <c r="T276" s="26" t="n">
        <f aca="false">IFERROR(J276-S276,"")</f>
        <v>669</v>
      </c>
      <c r="U276" s="26" t="n">
        <v>18</v>
      </c>
      <c r="V276" s="26"/>
      <c r="W276" s="26"/>
      <c r="X276" s="26"/>
      <c r="Y276" s="26"/>
      <c r="Z276" s="26"/>
      <c r="AA276" s="26"/>
      <c r="AB276" s="26"/>
      <c r="AC276" s="26"/>
      <c r="AD276" s="26"/>
      <c r="AE276" s="26" t="n">
        <v>15</v>
      </c>
      <c r="AF276" s="26" t="n">
        <f aca="false">SUM(U276:AE276)</f>
        <v>33</v>
      </c>
      <c r="AG276" s="26" t="n">
        <f aca="false">T276-AF276</f>
        <v>636</v>
      </c>
      <c r="AH276" s="28" t="n">
        <f aca="false">IFERROR(AG276/T276,"")</f>
        <v>0.95067264573991</v>
      </c>
      <c r="AI276" s="29" t="n">
        <f aca="false">IFERROR(R276/AG276*60,"")</f>
        <v>104.150943396226</v>
      </c>
      <c r="AJ276" s="30" t="n">
        <f aca="false">IFERROR(AI276/Q276,"")</f>
        <v>0.737735849056604</v>
      </c>
      <c r="AK276" s="31" t="n">
        <f aca="false">IFERROR(R276/(T276/60*Q276),"")</f>
        <v>0.701345291479821</v>
      </c>
      <c r="AL276" s="26"/>
      <c r="AM276" s="26" t="n">
        <v>2</v>
      </c>
      <c r="AN276" s="26" t="n">
        <v>2</v>
      </c>
      <c r="AO276" s="26"/>
      <c r="AP276" s="26"/>
      <c r="AQ276" s="26"/>
      <c r="AR276" s="26" t="n">
        <v>2</v>
      </c>
      <c r="AS276" s="26" t="n">
        <v>1</v>
      </c>
      <c r="AT276" s="26" t="n">
        <v>1</v>
      </c>
      <c r="AU276" s="26"/>
      <c r="AV276" s="26" t="n">
        <f aca="false">SUM(AL276:AU276)</f>
        <v>8</v>
      </c>
      <c r="AW276" s="32" t="n">
        <f aca="false">IFERROR(AV276/R276*1000000,"")</f>
        <v>7246.3768115942</v>
      </c>
      <c r="AX276" s="33" t="n">
        <f aca="false">IFERROR((R276-AV276)/R276,"")</f>
        <v>0.992753623188406</v>
      </c>
      <c r="AY276" s="34" t="n">
        <f aca="false">IFERROR(AH276*AJ276*AX276,"")</f>
        <v>0.696263079222721</v>
      </c>
      <c r="AZ276" s="35"/>
    </row>
    <row r="277" customFormat="false" ht="12.75" hidden="false" customHeight="true" outlineLevel="0" collapsed="false">
      <c r="A277" s="24" t="n">
        <v>273</v>
      </c>
      <c r="B277" s="25" t="n">
        <v>46113</v>
      </c>
      <c r="C277" s="25" t="n">
        <v>12</v>
      </c>
      <c r="D277" s="26" t="s">
        <v>87</v>
      </c>
      <c r="E277" s="26" t="s">
        <v>88</v>
      </c>
      <c r="F277" s="26" t="s">
        <v>73</v>
      </c>
      <c r="G277" s="26" t="s">
        <v>10</v>
      </c>
      <c r="H277" s="27" t="n">
        <v>0.354166666666667</v>
      </c>
      <c r="I277" s="27" t="n">
        <v>0.854166666666667</v>
      </c>
      <c r="J277" s="26" t="n">
        <f aca="false">IFERROR((I277-H277)*24*60,"")</f>
        <v>720</v>
      </c>
      <c r="K277" s="26" t="s">
        <v>74</v>
      </c>
      <c r="L277" s="26" t="s">
        <v>102</v>
      </c>
      <c r="M277" s="26" t="s">
        <v>91</v>
      </c>
      <c r="N277" s="26" t="s">
        <v>92</v>
      </c>
      <c r="O277" s="26" t="n">
        <v>4</v>
      </c>
      <c r="P277" s="26" t="n">
        <v>32</v>
      </c>
      <c r="Q277" s="26" t="n">
        <f aca="false">IFERROR(3600/(P277/O277),"")</f>
        <v>450</v>
      </c>
      <c r="R277" s="26" t="n">
        <v>4502</v>
      </c>
      <c r="S277" s="26" t="n">
        <v>30</v>
      </c>
      <c r="T277" s="26" t="n">
        <f aca="false">IFERROR(J277-S277,"")</f>
        <v>690</v>
      </c>
      <c r="U277" s="26"/>
      <c r="V277" s="26"/>
      <c r="W277" s="26"/>
      <c r="X277" s="26"/>
      <c r="Y277" s="26"/>
      <c r="Z277" s="26"/>
      <c r="AA277" s="26"/>
      <c r="AB277" s="26" t="n">
        <v>16</v>
      </c>
      <c r="AC277" s="26"/>
      <c r="AD277" s="26"/>
      <c r="AE277" s="26"/>
      <c r="AF277" s="26" t="n">
        <f aca="false">SUM(U277:AE277)</f>
        <v>16</v>
      </c>
      <c r="AG277" s="26" t="n">
        <f aca="false">T277-AF277</f>
        <v>674</v>
      </c>
      <c r="AH277" s="28" t="n">
        <f aca="false">IFERROR(AG277/T277,"")</f>
        <v>0.976811594202899</v>
      </c>
      <c r="AI277" s="29" t="n">
        <f aca="false">IFERROR(R277/AG277*60,"")</f>
        <v>400.771513353116</v>
      </c>
      <c r="AJ277" s="30" t="n">
        <f aca="false">IFERROR(AI277/Q277,"")</f>
        <v>0.890603363006924</v>
      </c>
      <c r="AK277" s="31" t="n">
        <f aca="false">IFERROR(R277/(T277/60*Q277),"")</f>
        <v>0.869951690821256</v>
      </c>
      <c r="AL277" s="26" t="n">
        <v>9</v>
      </c>
      <c r="AM277" s="26" t="n">
        <v>7</v>
      </c>
      <c r="AN277" s="26" t="n">
        <v>6</v>
      </c>
      <c r="AO277" s="26" t="n">
        <v>2</v>
      </c>
      <c r="AP277" s="26" t="n">
        <v>10</v>
      </c>
      <c r="AQ277" s="26" t="n">
        <v>11</v>
      </c>
      <c r="AR277" s="26" t="n">
        <v>10</v>
      </c>
      <c r="AS277" s="26" t="n">
        <v>9</v>
      </c>
      <c r="AT277" s="26" t="n">
        <v>7</v>
      </c>
      <c r="AU277" s="26" t="n">
        <v>5</v>
      </c>
      <c r="AV277" s="26" t="n">
        <f aca="false">SUM(AL277:AU277)</f>
        <v>76</v>
      </c>
      <c r="AW277" s="32" t="n">
        <f aca="false">IFERROR(AV277/R277*1000000,"")</f>
        <v>16881.3860506442</v>
      </c>
      <c r="AX277" s="33" t="n">
        <f aca="false">IFERROR((R277-AV277)/R277,"")</f>
        <v>0.983118613949356</v>
      </c>
      <c r="AY277" s="34" t="n">
        <f aca="false">IFERROR(AH277*AJ277*AX277,"")</f>
        <v>0.855265700483092</v>
      </c>
      <c r="AZ277" s="35" t="s">
        <v>78</v>
      </c>
    </row>
    <row r="278" customFormat="false" ht="12.75" hidden="false" customHeight="true" outlineLevel="0" collapsed="false">
      <c r="A278" s="24" t="n">
        <v>274</v>
      </c>
      <c r="B278" s="25" t="n">
        <v>46114</v>
      </c>
      <c r="C278" s="25" t="n">
        <v>12</v>
      </c>
      <c r="D278" s="26" t="s">
        <v>71</v>
      </c>
      <c r="E278" s="26" t="s">
        <v>94</v>
      </c>
      <c r="F278" s="26" t="s">
        <v>81</v>
      </c>
      <c r="G278" s="26" t="s">
        <v>11</v>
      </c>
      <c r="H278" s="27" t="n">
        <v>0.354166666666667</v>
      </c>
      <c r="I278" s="27" t="n">
        <v>0.854166666666667</v>
      </c>
      <c r="J278" s="26" t="n">
        <f aca="false">IFERROR((I278-H278)*24*60,"")</f>
        <v>720</v>
      </c>
      <c r="K278" s="26" t="s">
        <v>82</v>
      </c>
      <c r="L278" s="26" t="s">
        <v>107</v>
      </c>
      <c r="M278" s="26" t="s">
        <v>95</v>
      </c>
      <c r="N278" s="26" t="s">
        <v>96</v>
      </c>
      <c r="O278" s="26" t="n">
        <v>4</v>
      </c>
      <c r="P278" s="26" t="n">
        <v>26</v>
      </c>
      <c r="Q278" s="26" t="n">
        <f aca="false">IFERROR(3600/(P278/O278),"")</f>
        <v>553.846153846154</v>
      </c>
      <c r="R278" s="26" t="n">
        <v>4504</v>
      </c>
      <c r="S278" s="26" t="n">
        <v>34</v>
      </c>
      <c r="T278" s="26" t="n">
        <f aca="false">IFERROR(J278-S278,"")</f>
        <v>686</v>
      </c>
      <c r="U278" s="26"/>
      <c r="V278" s="26" t="n">
        <v>42</v>
      </c>
      <c r="W278" s="26"/>
      <c r="X278" s="26"/>
      <c r="Y278" s="26"/>
      <c r="Z278" s="26"/>
      <c r="AA278" s="26"/>
      <c r="AB278" s="26"/>
      <c r="AC278" s="26" t="n">
        <v>9</v>
      </c>
      <c r="AD278" s="26"/>
      <c r="AE278" s="26"/>
      <c r="AF278" s="26" t="n">
        <f aca="false">SUM(U278:AE278)</f>
        <v>51</v>
      </c>
      <c r="AG278" s="26" t="n">
        <f aca="false">T278-AF278</f>
        <v>635</v>
      </c>
      <c r="AH278" s="28" t="n">
        <f aca="false">IFERROR(AG278/T278,"")</f>
        <v>0.925655976676385</v>
      </c>
      <c r="AI278" s="29" t="n">
        <f aca="false">IFERROR(R278/AG278*60,"")</f>
        <v>425.574803149606</v>
      </c>
      <c r="AJ278" s="30" t="n">
        <f aca="false">IFERROR(AI278/Q278,"")</f>
        <v>0.768398950131234</v>
      </c>
      <c r="AK278" s="31" t="n">
        <f aca="false">IFERROR(R278/(T278/60*Q278),"")</f>
        <v>0.711273080660836</v>
      </c>
      <c r="AL278" s="26" t="n">
        <v>5</v>
      </c>
      <c r="AM278" s="26" t="n">
        <v>2</v>
      </c>
      <c r="AN278" s="26" t="n">
        <v>4</v>
      </c>
      <c r="AO278" s="26" t="n">
        <v>4</v>
      </c>
      <c r="AP278" s="26" t="n">
        <v>10</v>
      </c>
      <c r="AQ278" s="26" t="n">
        <v>1</v>
      </c>
      <c r="AR278" s="26" t="n">
        <v>7</v>
      </c>
      <c r="AS278" s="26" t="n">
        <v>2</v>
      </c>
      <c r="AT278" s="26" t="n">
        <v>3</v>
      </c>
      <c r="AU278" s="26" t="n">
        <v>5</v>
      </c>
      <c r="AV278" s="26" t="n">
        <f aca="false">SUM(AL278:AU278)</f>
        <v>43</v>
      </c>
      <c r="AW278" s="32" t="n">
        <f aca="false">IFERROR(AV278/R278*1000000,"")</f>
        <v>9547.06927175844</v>
      </c>
      <c r="AX278" s="33" t="n">
        <f aca="false">IFERROR((R278-AV278)/R278,"")</f>
        <v>0.990452930728242</v>
      </c>
      <c r="AY278" s="34" t="n">
        <f aca="false">IFERROR(AH278*AJ278*AX278,"")</f>
        <v>0.70448250728863</v>
      </c>
      <c r="AZ278" s="35" t="s">
        <v>86</v>
      </c>
    </row>
    <row r="279" customFormat="false" ht="12.75" hidden="false" customHeight="true" outlineLevel="0" collapsed="false">
      <c r="A279" s="24" t="n">
        <v>275</v>
      </c>
      <c r="B279" s="25" t="n">
        <v>46114</v>
      </c>
      <c r="C279" s="25" t="n">
        <v>12</v>
      </c>
      <c r="D279" s="26" t="s">
        <v>79</v>
      </c>
      <c r="E279" s="26" t="s">
        <v>97</v>
      </c>
      <c r="F279" s="26" t="s">
        <v>73</v>
      </c>
      <c r="G279" s="26" t="s">
        <v>12</v>
      </c>
      <c r="H279" s="27" t="n">
        <v>0.354166666666667</v>
      </c>
      <c r="I279" s="27" t="n">
        <v>0.854166666666667</v>
      </c>
      <c r="J279" s="26" t="n">
        <f aca="false">IFERROR((I279-H279)*24*60,"")</f>
        <v>720</v>
      </c>
      <c r="K279" s="26" t="s">
        <v>74</v>
      </c>
      <c r="L279" s="26" t="s">
        <v>108</v>
      </c>
      <c r="M279" s="26" t="s">
        <v>99</v>
      </c>
      <c r="N279" s="26" t="s">
        <v>100</v>
      </c>
      <c r="O279" s="26" t="n">
        <v>4</v>
      </c>
      <c r="P279" s="26" t="n">
        <v>38</v>
      </c>
      <c r="Q279" s="26" t="n">
        <f aca="false">IFERROR(3600/(P279/O279),"")</f>
        <v>378.947368421053</v>
      </c>
      <c r="R279" s="26" t="n">
        <v>3107</v>
      </c>
      <c r="S279" s="26" t="n">
        <v>44</v>
      </c>
      <c r="T279" s="26" t="n">
        <f aca="false">IFERROR(J279-S279,"")</f>
        <v>676</v>
      </c>
      <c r="U279" s="26"/>
      <c r="V279" s="26"/>
      <c r="W279" s="26"/>
      <c r="X279" s="26"/>
      <c r="Y279" s="26"/>
      <c r="Z279" s="26"/>
      <c r="AA279" s="26"/>
      <c r="AB279" s="26"/>
      <c r="AC279" s="26"/>
      <c r="AD279" s="26" t="n">
        <v>6</v>
      </c>
      <c r="AE279" s="26" t="n">
        <v>3</v>
      </c>
      <c r="AF279" s="26" t="n">
        <f aca="false">SUM(U279:AE279)</f>
        <v>9</v>
      </c>
      <c r="AG279" s="26" t="n">
        <f aca="false">T279-AF279</f>
        <v>667</v>
      </c>
      <c r="AH279" s="28" t="n">
        <f aca="false">IFERROR(AG279/T279,"")</f>
        <v>0.986686390532544</v>
      </c>
      <c r="AI279" s="29" t="n">
        <f aca="false">IFERROR(R279/AG279*60,"")</f>
        <v>279.490254872564</v>
      </c>
      <c r="AJ279" s="30" t="n">
        <f aca="false">IFERROR(AI279/Q279,"")</f>
        <v>0.737543728135932</v>
      </c>
      <c r="AK279" s="31" t="n">
        <f aca="false">IFERROR(R279/(T279/60*Q279),"")</f>
        <v>0.727724358974359</v>
      </c>
      <c r="AL279" s="26" t="n">
        <v>4</v>
      </c>
      <c r="AM279" s="26" t="n">
        <v>2</v>
      </c>
      <c r="AN279" s="26" t="n">
        <v>4</v>
      </c>
      <c r="AO279" s="26" t="n">
        <v>2</v>
      </c>
      <c r="AP279" s="26" t="n">
        <v>4</v>
      </c>
      <c r="AQ279" s="26" t="n">
        <v>8</v>
      </c>
      <c r="AR279" s="26" t="n">
        <v>5</v>
      </c>
      <c r="AS279" s="26" t="n">
        <v>8</v>
      </c>
      <c r="AT279" s="26" t="n">
        <v>6</v>
      </c>
      <c r="AU279" s="26" t="n">
        <v>5</v>
      </c>
      <c r="AV279" s="26" t="n">
        <f aca="false">SUM(AL279:AU279)</f>
        <v>48</v>
      </c>
      <c r="AW279" s="32" t="n">
        <f aca="false">IFERROR(AV279/R279*1000000,"")</f>
        <v>15448.9861602832</v>
      </c>
      <c r="AX279" s="33" t="n">
        <f aca="false">IFERROR((R279-AV279)/R279,"")</f>
        <v>0.984551013839717</v>
      </c>
      <c r="AY279" s="34" t="n">
        <f aca="false">IFERROR(AH279*AJ279*AX279,"")</f>
        <v>0.716481755424063</v>
      </c>
      <c r="AZ279" s="35" t="s">
        <v>86</v>
      </c>
    </row>
    <row r="280" customFormat="false" ht="12.75" hidden="false" customHeight="true" outlineLevel="0" collapsed="false">
      <c r="A280" s="24" t="n">
        <v>276</v>
      </c>
      <c r="B280" s="25" t="n">
        <v>46114</v>
      </c>
      <c r="C280" s="25" t="n">
        <v>12</v>
      </c>
      <c r="D280" s="26" t="s">
        <v>87</v>
      </c>
      <c r="E280" s="26" t="s">
        <v>101</v>
      </c>
      <c r="F280" s="26" t="s">
        <v>81</v>
      </c>
      <c r="G280" s="26" t="s">
        <v>13</v>
      </c>
      <c r="H280" s="27" t="n">
        <v>0.354166666666667</v>
      </c>
      <c r="I280" s="27" t="n">
        <v>0.854166666666667</v>
      </c>
      <c r="J280" s="26" t="n">
        <f aca="false">IFERROR((I280-H280)*24*60,"")</f>
        <v>720</v>
      </c>
      <c r="K280" s="26" t="s">
        <v>89</v>
      </c>
      <c r="L280" s="26" t="s">
        <v>106</v>
      </c>
      <c r="M280" s="26" t="s">
        <v>103</v>
      </c>
      <c r="N280" s="26" t="s">
        <v>104</v>
      </c>
      <c r="O280" s="26" t="n">
        <v>1</v>
      </c>
      <c r="P280" s="26" t="n">
        <v>49</v>
      </c>
      <c r="Q280" s="26" t="n">
        <f aca="false">IFERROR(3600/(P280/O280),"")</f>
        <v>73.4693877551021</v>
      </c>
      <c r="R280" s="26" t="n">
        <v>621</v>
      </c>
      <c r="S280" s="26" t="n">
        <v>54</v>
      </c>
      <c r="T280" s="26" t="n">
        <f aca="false">IFERROR(J280-S280,"")</f>
        <v>666</v>
      </c>
      <c r="U280" s="26"/>
      <c r="V280" s="26"/>
      <c r="W280" s="26"/>
      <c r="X280" s="26"/>
      <c r="Y280" s="26" t="n">
        <v>12</v>
      </c>
      <c r="Z280" s="26"/>
      <c r="AA280" s="26"/>
      <c r="AB280" s="26"/>
      <c r="AC280" s="26"/>
      <c r="AD280" s="26"/>
      <c r="AE280" s="26"/>
      <c r="AF280" s="26" t="n">
        <f aca="false">SUM(U280:AE280)</f>
        <v>12</v>
      </c>
      <c r="AG280" s="26" t="n">
        <f aca="false">T280-AF280</f>
        <v>654</v>
      </c>
      <c r="AH280" s="28" t="n">
        <f aca="false">IFERROR(AG280/T280,"")</f>
        <v>0.981981981981982</v>
      </c>
      <c r="AI280" s="29" t="n">
        <f aca="false">IFERROR(R280/AG280*60,"")</f>
        <v>56.9724770642202</v>
      </c>
      <c r="AJ280" s="30" t="n">
        <f aca="false">IFERROR(AI280/Q280,"")</f>
        <v>0.77545871559633</v>
      </c>
      <c r="AK280" s="31" t="n">
        <f aca="false">IFERROR(R280/(T280/60*Q280),"")</f>
        <v>0.761486486486487</v>
      </c>
      <c r="AL280" s="26"/>
      <c r="AM280" s="26"/>
      <c r="AN280" s="26" t="n">
        <v>1</v>
      </c>
      <c r="AO280" s="26"/>
      <c r="AP280" s="26"/>
      <c r="AQ280" s="26"/>
      <c r="AR280" s="26" t="n">
        <v>1</v>
      </c>
      <c r="AS280" s="26"/>
      <c r="AT280" s="26" t="n">
        <v>1</v>
      </c>
      <c r="AU280" s="26"/>
      <c r="AV280" s="26" t="n">
        <f aca="false">SUM(AL280:AU280)</f>
        <v>3</v>
      </c>
      <c r="AW280" s="32" t="n">
        <f aca="false">IFERROR(AV280/R280*1000000,"")</f>
        <v>4830.91787439614</v>
      </c>
      <c r="AX280" s="33" t="n">
        <f aca="false">IFERROR((R280-AV280)/R280,"")</f>
        <v>0.995169082125604</v>
      </c>
      <c r="AY280" s="34" t="n">
        <f aca="false">IFERROR(AH280*AJ280*AX280,"")</f>
        <v>0.757807807807808</v>
      </c>
      <c r="AZ280" s="35" t="s">
        <v>86</v>
      </c>
    </row>
    <row r="281" customFormat="false" ht="12.75" hidden="false" customHeight="true" outlineLevel="0" collapsed="false">
      <c r="A281" s="24" t="n">
        <v>277</v>
      </c>
      <c r="B281" s="25" t="n">
        <v>46115</v>
      </c>
      <c r="C281" s="25" t="n">
        <v>12</v>
      </c>
      <c r="D281" s="26" t="s">
        <v>71</v>
      </c>
      <c r="E281" s="26" t="s">
        <v>72</v>
      </c>
      <c r="F281" s="26" t="s">
        <v>73</v>
      </c>
      <c r="G281" s="26" t="s">
        <v>8</v>
      </c>
      <c r="H281" s="27" t="n">
        <v>0.354166666666667</v>
      </c>
      <c r="I281" s="27" t="n">
        <v>0.854166666666667</v>
      </c>
      <c r="J281" s="26" t="n">
        <f aca="false">IFERROR((I281-H281)*24*60,"")</f>
        <v>720</v>
      </c>
      <c r="K281" s="26" t="s">
        <v>74</v>
      </c>
      <c r="L281" s="26" t="s">
        <v>83</v>
      </c>
      <c r="M281" s="26" t="s">
        <v>76</v>
      </c>
      <c r="N281" s="26" t="s">
        <v>77</v>
      </c>
      <c r="O281" s="26" t="n">
        <v>4</v>
      </c>
      <c r="P281" s="26" t="n">
        <v>73</v>
      </c>
      <c r="Q281" s="26" t="n">
        <f aca="false">IFERROR(3600/(P281/O281),"")</f>
        <v>197.260273972603</v>
      </c>
      <c r="R281" s="26" t="n">
        <v>1709</v>
      </c>
      <c r="S281" s="26" t="n">
        <v>56</v>
      </c>
      <c r="T281" s="26" t="n">
        <f aca="false">IFERROR(J281-S281,"")</f>
        <v>664</v>
      </c>
      <c r="U281" s="26"/>
      <c r="V281" s="26"/>
      <c r="W281" s="26"/>
      <c r="X281" s="26"/>
      <c r="Y281" s="26"/>
      <c r="Z281" s="26"/>
      <c r="AA281" s="26"/>
      <c r="AB281" s="26"/>
      <c r="AC281" s="26" t="n">
        <v>13</v>
      </c>
      <c r="AD281" s="26"/>
      <c r="AE281" s="26"/>
      <c r="AF281" s="26" t="n">
        <f aca="false">SUM(U281:AE281)</f>
        <v>13</v>
      </c>
      <c r="AG281" s="26" t="n">
        <f aca="false">T281-AF281</f>
        <v>651</v>
      </c>
      <c r="AH281" s="28" t="n">
        <f aca="false">IFERROR(AG281/T281,"")</f>
        <v>0.980421686746988</v>
      </c>
      <c r="AI281" s="29" t="n">
        <f aca="false">IFERROR(R281/AG281*60,"")</f>
        <v>157.511520737327</v>
      </c>
      <c r="AJ281" s="30" t="n">
        <f aca="false">IFERROR(AI281/Q281,"")</f>
        <v>0.798495903737839</v>
      </c>
      <c r="AK281" s="31" t="n">
        <f aca="false">IFERROR(R281/(T281/60*Q281),"")</f>
        <v>0.782862700803213</v>
      </c>
      <c r="AL281" s="26" t="n">
        <v>2</v>
      </c>
      <c r="AM281" s="26" t="n">
        <v>1</v>
      </c>
      <c r="AN281" s="26" t="n">
        <v>3</v>
      </c>
      <c r="AO281" s="26" t="n">
        <v>2</v>
      </c>
      <c r="AP281" s="26" t="n">
        <v>2</v>
      </c>
      <c r="AQ281" s="26" t="n">
        <v>1</v>
      </c>
      <c r="AR281" s="26" t="n">
        <v>7</v>
      </c>
      <c r="AS281" s="26" t="n">
        <v>4</v>
      </c>
      <c r="AT281" s="26" t="n">
        <v>1</v>
      </c>
      <c r="AU281" s="26" t="n">
        <v>1</v>
      </c>
      <c r="AV281" s="26" t="n">
        <f aca="false">SUM(AL281:AU281)</f>
        <v>24</v>
      </c>
      <c r="AW281" s="32" t="n">
        <f aca="false">IFERROR(AV281/R281*1000000,"")</f>
        <v>14043.3001755413</v>
      </c>
      <c r="AX281" s="33" t="n">
        <f aca="false">IFERROR((R281-AV281)/R281,"")</f>
        <v>0.985956699824459</v>
      </c>
      <c r="AY281" s="34" t="n">
        <f aca="false">IFERROR(AH281*AJ281*AX281,"")</f>
        <v>0.771868724899599</v>
      </c>
      <c r="AZ281" s="35" t="s">
        <v>78</v>
      </c>
    </row>
    <row r="282" customFormat="false" ht="12.75" hidden="false" customHeight="true" outlineLevel="0" collapsed="false">
      <c r="A282" s="24" t="n">
        <v>278</v>
      </c>
      <c r="B282" s="25" t="n">
        <v>46115</v>
      </c>
      <c r="C282" s="25" t="n">
        <v>12</v>
      </c>
      <c r="D282" s="26" t="s">
        <v>79</v>
      </c>
      <c r="E282" s="26" t="s">
        <v>80</v>
      </c>
      <c r="F282" s="26" t="s">
        <v>81</v>
      </c>
      <c r="G282" s="26" t="s">
        <v>9</v>
      </c>
      <c r="H282" s="27" t="n">
        <v>0.354166666666667</v>
      </c>
      <c r="I282" s="27" t="n">
        <v>0.854166666666667</v>
      </c>
      <c r="J282" s="26" t="n">
        <f aca="false">IFERROR((I282-H282)*24*60,"")</f>
        <v>720</v>
      </c>
      <c r="K282" s="26" t="s">
        <v>89</v>
      </c>
      <c r="L282" s="26" t="s">
        <v>106</v>
      </c>
      <c r="M282" s="26" t="s">
        <v>84</v>
      </c>
      <c r="N282" s="26" t="s">
        <v>85</v>
      </c>
      <c r="O282" s="26" t="n">
        <v>1</v>
      </c>
      <c r="P282" s="26" t="n">
        <v>44</v>
      </c>
      <c r="Q282" s="26" t="n">
        <f aca="false">IFERROR(3600/(P282/O282),"")</f>
        <v>81.8181818181818</v>
      </c>
      <c r="R282" s="26" t="n">
        <v>741</v>
      </c>
      <c r="S282" s="26" t="n">
        <v>68</v>
      </c>
      <c r="T282" s="26" t="n">
        <f aca="false">IFERROR(J282-S282,"")</f>
        <v>652</v>
      </c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 t="n">
        <v>21</v>
      </c>
      <c r="AF282" s="26" t="n">
        <f aca="false">SUM(U282:AE282)</f>
        <v>21</v>
      </c>
      <c r="AG282" s="26" t="n">
        <f aca="false">T282-AF282</f>
        <v>631</v>
      </c>
      <c r="AH282" s="28" t="n">
        <f aca="false">IFERROR(AG282/T282,"")</f>
        <v>0.967791411042945</v>
      </c>
      <c r="AI282" s="29" t="n">
        <f aca="false">IFERROR(R282/AG282*60,"")</f>
        <v>70.459587955626</v>
      </c>
      <c r="AJ282" s="30" t="n">
        <f aca="false">IFERROR(AI282/Q282,"")</f>
        <v>0.861172741679873</v>
      </c>
      <c r="AK282" s="31" t="n">
        <f aca="false">IFERROR(R282/(T282/60*Q282),"")</f>
        <v>0.833435582822086</v>
      </c>
      <c r="AL282" s="26" t="n">
        <v>1</v>
      </c>
      <c r="AM282" s="26" t="n">
        <v>1</v>
      </c>
      <c r="AN282" s="26" t="n">
        <v>1</v>
      </c>
      <c r="AO282" s="26" t="n">
        <v>1</v>
      </c>
      <c r="AP282" s="26"/>
      <c r="AQ282" s="26" t="n">
        <v>1</v>
      </c>
      <c r="AR282" s="26" t="n">
        <v>1</v>
      </c>
      <c r="AS282" s="26"/>
      <c r="AT282" s="26" t="n">
        <v>2</v>
      </c>
      <c r="AU282" s="26" t="n">
        <v>1</v>
      </c>
      <c r="AV282" s="26" t="n">
        <f aca="false">SUM(AL282:AU282)</f>
        <v>9</v>
      </c>
      <c r="AW282" s="32" t="n">
        <f aca="false">IFERROR(AV282/R282*1000000,"")</f>
        <v>12145.7489878543</v>
      </c>
      <c r="AX282" s="33" t="n">
        <f aca="false">IFERROR((R282-AV282)/R282,"")</f>
        <v>0.987854251012146</v>
      </c>
      <c r="AY282" s="34" t="n">
        <f aca="false">IFERROR(AH282*AJ282*AX282,"")</f>
        <v>0.823312883435583</v>
      </c>
      <c r="AZ282" s="35" t="s">
        <v>86</v>
      </c>
    </row>
    <row r="283" customFormat="false" ht="12.75" hidden="false" customHeight="true" outlineLevel="0" collapsed="false">
      <c r="A283" s="24" t="n">
        <v>279</v>
      </c>
      <c r="B283" s="25" t="n">
        <v>46115</v>
      </c>
      <c r="C283" s="25" t="n">
        <v>12</v>
      </c>
      <c r="D283" s="26" t="s">
        <v>87</v>
      </c>
      <c r="E283" s="26" t="s">
        <v>88</v>
      </c>
      <c r="F283" s="26" t="s">
        <v>73</v>
      </c>
      <c r="G283" s="26" t="s">
        <v>10</v>
      </c>
      <c r="H283" s="27" t="n">
        <v>0.354166666666667</v>
      </c>
      <c r="I283" s="27" t="n">
        <v>0.854166666666667</v>
      </c>
      <c r="J283" s="26" t="n">
        <f aca="false">IFERROR((I283-H283)*24*60,"")</f>
        <v>720</v>
      </c>
      <c r="K283" s="26" t="s">
        <v>89</v>
      </c>
      <c r="L283" s="26" t="s">
        <v>108</v>
      </c>
      <c r="M283" s="26" t="s">
        <v>91</v>
      </c>
      <c r="N283" s="26" t="s">
        <v>92</v>
      </c>
      <c r="O283" s="26" t="n">
        <v>2</v>
      </c>
      <c r="P283" s="26" t="n">
        <v>44</v>
      </c>
      <c r="Q283" s="26" t="n">
        <f aca="false">IFERROR(3600/(P283/O283),"")</f>
        <v>163.636363636364</v>
      </c>
      <c r="R283" s="26" t="n">
        <v>1268</v>
      </c>
      <c r="S283" s="26" t="n">
        <v>41</v>
      </c>
      <c r="T283" s="26" t="n">
        <f aca="false">IFERROR(J283-S283,"")</f>
        <v>679</v>
      </c>
      <c r="U283" s="26"/>
      <c r="V283" s="26"/>
      <c r="W283" s="26"/>
      <c r="X283" s="26" t="n">
        <v>4</v>
      </c>
      <c r="Y283" s="26"/>
      <c r="Z283" s="26"/>
      <c r="AA283" s="26"/>
      <c r="AB283" s="26"/>
      <c r="AC283" s="26"/>
      <c r="AD283" s="26"/>
      <c r="AE283" s="26"/>
      <c r="AF283" s="26" t="n">
        <f aca="false">SUM(U283:AE283)</f>
        <v>4</v>
      </c>
      <c r="AG283" s="26" t="n">
        <f aca="false">T283-AF283</f>
        <v>675</v>
      </c>
      <c r="AH283" s="28" t="n">
        <f aca="false">IFERROR(AG283/T283,"")</f>
        <v>0.994108983799706</v>
      </c>
      <c r="AI283" s="29" t="n">
        <f aca="false">IFERROR(R283/AG283*60,"")</f>
        <v>112.711111111111</v>
      </c>
      <c r="AJ283" s="30" t="n">
        <f aca="false">IFERROR(AI283/Q283,"")</f>
        <v>0.68879012345679</v>
      </c>
      <c r="AK283" s="31" t="n">
        <f aca="false">IFERROR(R283/(T283/60*Q283),"")</f>
        <v>0.684732449680903</v>
      </c>
      <c r="AL283" s="26" t="n">
        <v>2</v>
      </c>
      <c r="AM283" s="26" t="n">
        <v>2</v>
      </c>
      <c r="AN283" s="26" t="n">
        <v>2</v>
      </c>
      <c r="AO283" s="26" t="n">
        <v>3</v>
      </c>
      <c r="AP283" s="26"/>
      <c r="AQ283" s="26" t="n">
        <v>1</v>
      </c>
      <c r="AR283" s="26" t="n">
        <v>1</v>
      </c>
      <c r="AS283" s="26" t="n">
        <v>4</v>
      </c>
      <c r="AT283" s="26" t="n">
        <v>2</v>
      </c>
      <c r="AU283" s="26" t="n">
        <v>2</v>
      </c>
      <c r="AV283" s="26" t="n">
        <f aca="false">SUM(AL283:AU283)</f>
        <v>19</v>
      </c>
      <c r="AW283" s="32" t="n">
        <f aca="false">IFERROR(AV283/R283*1000000,"")</f>
        <v>14984.2271293375</v>
      </c>
      <c r="AX283" s="33" t="n">
        <f aca="false">IFERROR((R283-AV283)/R283,"")</f>
        <v>0.985015772870662</v>
      </c>
      <c r="AY283" s="34" t="n">
        <f aca="false">IFERROR(AH283*AJ283*AX283,"")</f>
        <v>0.674472263132057</v>
      </c>
      <c r="AZ283" s="35" t="s">
        <v>78</v>
      </c>
    </row>
    <row r="284" customFormat="false" ht="12.75" hidden="false" customHeight="true" outlineLevel="0" collapsed="false">
      <c r="A284" s="24" t="n">
        <v>280</v>
      </c>
      <c r="B284" s="25" t="n">
        <v>46116</v>
      </c>
      <c r="C284" s="25" t="n">
        <v>12</v>
      </c>
      <c r="D284" s="26" t="s">
        <v>71</v>
      </c>
      <c r="E284" s="26" t="s">
        <v>94</v>
      </c>
      <c r="F284" s="26" t="s">
        <v>81</v>
      </c>
      <c r="G284" s="26" t="s">
        <v>11</v>
      </c>
      <c r="H284" s="27" t="n">
        <v>0.354166666666667</v>
      </c>
      <c r="I284" s="27" t="n">
        <v>0.854166666666667</v>
      </c>
      <c r="J284" s="26" t="n">
        <f aca="false">IFERROR((I284-H284)*24*60,"")</f>
        <v>720</v>
      </c>
      <c r="K284" s="26" t="s">
        <v>89</v>
      </c>
      <c r="L284" s="26" t="s">
        <v>108</v>
      </c>
      <c r="M284" s="26" t="s">
        <v>95</v>
      </c>
      <c r="N284" s="26" t="s">
        <v>96</v>
      </c>
      <c r="O284" s="26" t="n">
        <v>1</v>
      </c>
      <c r="P284" s="26" t="n">
        <v>69</v>
      </c>
      <c r="Q284" s="26" t="n">
        <f aca="false">IFERROR(3600/(P284/O284),"")</f>
        <v>52.1739130434783</v>
      </c>
      <c r="R284" s="26" t="n">
        <v>527</v>
      </c>
      <c r="S284" s="26" t="n">
        <v>56</v>
      </c>
      <c r="T284" s="26" t="n">
        <f aca="false">IFERROR(J284-S284,"")</f>
        <v>664</v>
      </c>
      <c r="U284" s="26" t="n">
        <v>33</v>
      </c>
      <c r="V284" s="26"/>
      <c r="W284" s="26"/>
      <c r="X284" s="26"/>
      <c r="Y284" s="26"/>
      <c r="Z284" s="26"/>
      <c r="AA284" s="26"/>
      <c r="AB284" s="26" t="n">
        <v>10</v>
      </c>
      <c r="AC284" s="26"/>
      <c r="AD284" s="26"/>
      <c r="AE284" s="26"/>
      <c r="AF284" s="26" t="n">
        <f aca="false">SUM(U284:AE284)</f>
        <v>43</v>
      </c>
      <c r="AG284" s="26" t="n">
        <f aca="false">T284-AF284</f>
        <v>621</v>
      </c>
      <c r="AH284" s="28" t="n">
        <f aca="false">IFERROR(AG284/T284,"")</f>
        <v>0.935240963855422</v>
      </c>
      <c r="AI284" s="29" t="n">
        <f aca="false">IFERROR(R284/AG284*60,"")</f>
        <v>50.9178743961353</v>
      </c>
      <c r="AJ284" s="30" t="n">
        <f aca="false">IFERROR(AI284/Q284,"")</f>
        <v>0.975925925925926</v>
      </c>
      <c r="AK284" s="31" t="n">
        <f aca="false">IFERROR(R284/(T284/60*Q284),"")</f>
        <v>0.912725903614458</v>
      </c>
      <c r="AL284" s="26" t="n">
        <v>1</v>
      </c>
      <c r="AM284" s="26"/>
      <c r="AN284" s="26"/>
      <c r="AO284" s="26"/>
      <c r="AP284" s="26"/>
      <c r="AQ284" s="26" t="n">
        <v>1</v>
      </c>
      <c r="AR284" s="26" t="n">
        <v>2</v>
      </c>
      <c r="AS284" s="26"/>
      <c r="AT284" s="26"/>
      <c r="AU284" s="26"/>
      <c r="AV284" s="26" t="n">
        <f aca="false">SUM(AL284:AU284)</f>
        <v>4</v>
      </c>
      <c r="AW284" s="32" t="n">
        <f aca="false">IFERROR(AV284/R284*1000000,"")</f>
        <v>7590.13282732448</v>
      </c>
      <c r="AX284" s="33" t="n">
        <f aca="false">IFERROR((R284-AV284)/R284,"")</f>
        <v>0.992409867172676</v>
      </c>
      <c r="AY284" s="34" t="n">
        <f aca="false">IFERROR(AH284*AJ284*AX284,"")</f>
        <v>0.905798192771084</v>
      </c>
      <c r="AZ284" s="35" t="s">
        <v>78</v>
      </c>
    </row>
    <row r="285" customFormat="false" ht="12.75" hidden="false" customHeight="true" outlineLevel="0" collapsed="false">
      <c r="A285" s="24" t="n">
        <v>281</v>
      </c>
      <c r="B285" s="25" t="n">
        <v>46116</v>
      </c>
      <c r="C285" s="25" t="n">
        <v>12</v>
      </c>
      <c r="D285" s="26" t="s">
        <v>79</v>
      </c>
      <c r="E285" s="26" t="s">
        <v>97</v>
      </c>
      <c r="F285" s="26" t="s">
        <v>73</v>
      </c>
      <c r="G285" s="26" t="s">
        <v>12</v>
      </c>
      <c r="H285" s="27" t="n">
        <v>0.354166666666667</v>
      </c>
      <c r="I285" s="27" t="n">
        <v>0.854166666666667</v>
      </c>
      <c r="J285" s="26" t="n">
        <f aca="false">IFERROR((I285-H285)*24*60,"")</f>
        <v>720</v>
      </c>
      <c r="K285" s="26" t="s">
        <v>105</v>
      </c>
      <c r="L285" s="26" t="s">
        <v>83</v>
      </c>
      <c r="M285" s="26" t="s">
        <v>99</v>
      </c>
      <c r="N285" s="26" t="s">
        <v>100</v>
      </c>
      <c r="O285" s="26" t="n">
        <v>4</v>
      </c>
      <c r="P285" s="26" t="n">
        <v>72</v>
      </c>
      <c r="Q285" s="26" t="n">
        <f aca="false">IFERROR(3600/(P285/O285),"")</f>
        <v>200</v>
      </c>
      <c r="R285" s="26" t="n">
        <v>2169</v>
      </c>
      <c r="S285" s="26" t="n">
        <v>36</v>
      </c>
      <c r="T285" s="26" t="n">
        <f aca="false">IFERROR(J285-S285,"")</f>
        <v>684</v>
      </c>
      <c r="U285" s="26"/>
      <c r="V285" s="26"/>
      <c r="W285" s="26" t="n">
        <v>14</v>
      </c>
      <c r="X285" s="26"/>
      <c r="Y285" s="26"/>
      <c r="Z285" s="26"/>
      <c r="AA285" s="26"/>
      <c r="AB285" s="26"/>
      <c r="AC285" s="26"/>
      <c r="AD285" s="26"/>
      <c r="AE285" s="26"/>
      <c r="AF285" s="26" t="n">
        <f aca="false">SUM(U285:AE285)</f>
        <v>14</v>
      </c>
      <c r="AG285" s="26" t="n">
        <f aca="false">T285-AF285</f>
        <v>670</v>
      </c>
      <c r="AH285" s="28" t="n">
        <f aca="false">IFERROR(AG285/T285,"")</f>
        <v>0.97953216374269</v>
      </c>
      <c r="AI285" s="29" t="n">
        <f aca="false">IFERROR(R285/AG285*60,"")</f>
        <v>194.238805970149</v>
      </c>
      <c r="AJ285" s="30" t="n">
        <f aca="false">IFERROR(AI285/Q285,"")</f>
        <v>0.971194029850746</v>
      </c>
      <c r="AK285" s="31" t="n">
        <f aca="false">IFERROR(R285/(T285/60*Q285),"")</f>
        <v>0.951315789473684</v>
      </c>
      <c r="AL285" s="26"/>
      <c r="AM285" s="26" t="n">
        <v>2</v>
      </c>
      <c r="AN285" s="26" t="n">
        <v>1</v>
      </c>
      <c r="AO285" s="26" t="n">
        <v>3</v>
      </c>
      <c r="AP285" s="26" t="n">
        <v>5</v>
      </c>
      <c r="AQ285" s="26" t="n">
        <v>4</v>
      </c>
      <c r="AR285" s="26"/>
      <c r="AS285" s="26" t="n">
        <v>5</v>
      </c>
      <c r="AT285" s="26"/>
      <c r="AU285" s="26" t="n">
        <v>2</v>
      </c>
      <c r="AV285" s="26" t="n">
        <f aca="false">SUM(AL285:AU285)</f>
        <v>22</v>
      </c>
      <c r="AW285" s="32" t="n">
        <f aca="false">IFERROR(AV285/R285*1000000,"")</f>
        <v>10142.9230059935</v>
      </c>
      <c r="AX285" s="33" t="n">
        <f aca="false">IFERROR((R285-AV285)/R285,"")</f>
        <v>0.989857076994007</v>
      </c>
      <c r="AY285" s="34" t="n">
        <f aca="false">IFERROR(AH285*AJ285*AX285,"")</f>
        <v>0.941666666666667</v>
      </c>
      <c r="AZ285" s="35" t="s">
        <v>86</v>
      </c>
    </row>
    <row r="286" customFormat="false" ht="12.75" hidden="false" customHeight="true" outlineLevel="0" collapsed="false">
      <c r="A286" s="24" t="n">
        <v>282</v>
      </c>
      <c r="B286" s="25" t="n">
        <v>46116</v>
      </c>
      <c r="C286" s="25" t="n">
        <v>12</v>
      </c>
      <c r="D286" s="26" t="s">
        <v>87</v>
      </c>
      <c r="E286" s="26" t="s">
        <v>101</v>
      </c>
      <c r="F286" s="26" t="s">
        <v>81</v>
      </c>
      <c r="G286" s="26" t="s">
        <v>13</v>
      </c>
      <c r="H286" s="27" t="n">
        <v>0.354166666666667</v>
      </c>
      <c r="I286" s="27" t="n">
        <v>0.854166666666667</v>
      </c>
      <c r="J286" s="26" t="n">
        <f aca="false">IFERROR((I286-H286)*24*60,"")</f>
        <v>720</v>
      </c>
      <c r="K286" s="26" t="s">
        <v>105</v>
      </c>
      <c r="L286" s="26" t="s">
        <v>98</v>
      </c>
      <c r="M286" s="26" t="s">
        <v>103</v>
      </c>
      <c r="N286" s="26" t="s">
        <v>104</v>
      </c>
      <c r="O286" s="26" t="n">
        <v>1</v>
      </c>
      <c r="P286" s="26" t="n">
        <v>38</v>
      </c>
      <c r="Q286" s="26" t="n">
        <f aca="false">IFERROR(3600/(P286/O286),"")</f>
        <v>94.7368421052632</v>
      </c>
      <c r="R286" s="26" t="n">
        <v>974</v>
      </c>
      <c r="S286" s="26" t="n">
        <v>63</v>
      </c>
      <c r="T286" s="26" t="n">
        <f aca="false">IFERROR(J286-S286,"")</f>
        <v>657</v>
      </c>
      <c r="U286" s="26"/>
      <c r="V286" s="26"/>
      <c r="W286" s="26" t="n">
        <v>7</v>
      </c>
      <c r="X286" s="26"/>
      <c r="Y286" s="26" t="n">
        <v>14</v>
      </c>
      <c r="Z286" s="26"/>
      <c r="AA286" s="26"/>
      <c r="AB286" s="26"/>
      <c r="AC286" s="26"/>
      <c r="AD286" s="26" t="n">
        <v>25</v>
      </c>
      <c r="AE286" s="26"/>
      <c r="AF286" s="26" t="n">
        <f aca="false">SUM(U286:AE286)</f>
        <v>46</v>
      </c>
      <c r="AG286" s="26" t="n">
        <f aca="false">T286-AF286</f>
        <v>611</v>
      </c>
      <c r="AH286" s="28" t="n">
        <f aca="false">IFERROR(AG286/T286,"")</f>
        <v>0.929984779299848</v>
      </c>
      <c r="AI286" s="29" t="n">
        <f aca="false">IFERROR(R286/AG286*60,"")</f>
        <v>95.6464811783961</v>
      </c>
      <c r="AJ286" s="30" t="n">
        <f aca="false">IFERROR(AI286/Q286,"")</f>
        <v>1.00960174577196</v>
      </c>
      <c r="AK286" s="31" t="n">
        <f aca="false">IFERROR(R286/(T286/60*Q286),"")</f>
        <v>0.938914256722476</v>
      </c>
      <c r="AL286" s="26" t="n">
        <v>1</v>
      </c>
      <c r="AM286" s="26"/>
      <c r="AN286" s="26" t="n">
        <v>4</v>
      </c>
      <c r="AO286" s="26" t="n">
        <v>2</v>
      </c>
      <c r="AP286" s="26" t="n">
        <v>4</v>
      </c>
      <c r="AQ286" s="26"/>
      <c r="AR286" s="26" t="n">
        <v>1</v>
      </c>
      <c r="AS286" s="26" t="n">
        <v>2</v>
      </c>
      <c r="AT286" s="26"/>
      <c r="AU286" s="26" t="n">
        <v>2</v>
      </c>
      <c r="AV286" s="26" t="n">
        <f aca="false">SUM(AL286:AU286)</f>
        <v>16</v>
      </c>
      <c r="AW286" s="32" t="n">
        <f aca="false">IFERROR(AV286/R286*1000000,"")</f>
        <v>16427.1047227926</v>
      </c>
      <c r="AX286" s="33" t="n">
        <f aca="false">IFERROR((R286-AV286)/R286,"")</f>
        <v>0.983572895277207</v>
      </c>
      <c r="AY286" s="34" t="n">
        <f aca="false">IFERROR(AH286*AJ286*AX286,"")</f>
        <v>0.923490613901573</v>
      </c>
      <c r="AZ286" s="35" t="s">
        <v>93</v>
      </c>
    </row>
    <row r="287" customFormat="false" ht="12.75" hidden="false" customHeight="true" outlineLevel="0" collapsed="false">
      <c r="A287" s="24" t="n">
        <v>283</v>
      </c>
      <c r="B287" s="25" t="n">
        <v>46117</v>
      </c>
      <c r="C287" s="25" t="n">
        <v>12</v>
      </c>
      <c r="D287" s="26" t="s">
        <v>71</v>
      </c>
      <c r="E287" s="26" t="s">
        <v>72</v>
      </c>
      <c r="F287" s="26" t="s">
        <v>73</v>
      </c>
      <c r="G287" s="26" t="s">
        <v>8</v>
      </c>
      <c r="H287" s="27" t="n">
        <v>0.354166666666667</v>
      </c>
      <c r="I287" s="27" t="n">
        <v>0.854166666666667</v>
      </c>
      <c r="J287" s="26" t="n">
        <f aca="false">IFERROR((I287-H287)*24*60,"")</f>
        <v>720</v>
      </c>
      <c r="K287" s="26" t="s">
        <v>89</v>
      </c>
      <c r="L287" s="26" t="s">
        <v>90</v>
      </c>
      <c r="M287" s="26" t="s">
        <v>76</v>
      </c>
      <c r="N287" s="26" t="s">
        <v>77</v>
      </c>
      <c r="O287" s="26" t="n">
        <v>8</v>
      </c>
      <c r="P287" s="26" t="n">
        <v>54</v>
      </c>
      <c r="Q287" s="26" t="n">
        <f aca="false">IFERROR(3600/(P287/O287),"")</f>
        <v>533.333333333333</v>
      </c>
      <c r="R287" s="26" t="n">
        <v>4780</v>
      </c>
      <c r="S287" s="26" t="n">
        <v>62</v>
      </c>
      <c r="T287" s="26" t="n">
        <f aca="false">IFERROR(J287-S287,"")</f>
        <v>658</v>
      </c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 t="n">
        <v>25</v>
      </c>
      <c r="AF287" s="26" t="n">
        <f aca="false">SUM(U287:AE287)</f>
        <v>25</v>
      </c>
      <c r="AG287" s="26" t="n">
        <f aca="false">T287-AF287</f>
        <v>633</v>
      </c>
      <c r="AH287" s="28" t="n">
        <f aca="false">IFERROR(AG287/T287,"")</f>
        <v>0.962006079027356</v>
      </c>
      <c r="AI287" s="29" t="n">
        <f aca="false">IFERROR(R287/AG287*60,"")</f>
        <v>453.080568720379</v>
      </c>
      <c r="AJ287" s="30" t="n">
        <f aca="false">IFERROR(AI287/Q287,"")</f>
        <v>0.849526066350711</v>
      </c>
      <c r="AK287" s="31" t="n">
        <f aca="false">IFERROR(R287/(T287/60*Q287),"")</f>
        <v>0.81724924012158</v>
      </c>
      <c r="AL287" s="26" t="n">
        <v>1</v>
      </c>
      <c r="AM287" s="26" t="n">
        <v>2</v>
      </c>
      <c r="AN287" s="26" t="n">
        <v>3</v>
      </c>
      <c r="AO287" s="26" t="n">
        <v>4</v>
      </c>
      <c r="AP287" s="26" t="n">
        <v>2</v>
      </c>
      <c r="AQ287" s="26" t="n">
        <v>4</v>
      </c>
      <c r="AR287" s="26" t="n">
        <v>2</v>
      </c>
      <c r="AS287" s="26" t="n">
        <v>4</v>
      </c>
      <c r="AT287" s="26" t="n">
        <v>3</v>
      </c>
      <c r="AU287" s="26" t="n">
        <v>1</v>
      </c>
      <c r="AV287" s="26" t="n">
        <f aca="false">SUM(AL287:AU287)</f>
        <v>26</v>
      </c>
      <c r="AW287" s="32" t="n">
        <f aca="false">IFERROR(AV287/R287*1000000,"")</f>
        <v>5439.33054393305</v>
      </c>
      <c r="AX287" s="33" t="n">
        <f aca="false">IFERROR((R287-AV287)/R287,"")</f>
        <v>0.994560669456067</v>
      </c>
      <c r="AY287" s="34" t="n">
        <f aca="false">IFERROR(AH287*AJ287*AX287,"")</f>
        <v>0.812803951367781</v>
      </c>
      <c r="AZ287" s="35" t="s">
        <v>86</v>
      </c>
    </row>
    <row r="288" customFormat="false" ht="12.75" hidden="false" customHeight="true" outlineLevel="0" collapsed="false">
      <c r="A288" s="24" t="n">
        <v>284</v>
      </c>
      <c r="B288" s="25" t="n">
        <v>46117</v>
      </c>
      <c r="C288" s="25" t="n">
        <v>12</v>
      </c>
      <c r="D288" s="26" t="s">
        <v>79</v>
      </c>
      <c r="E288" s="26" t="s">
        <v>80</v>
      </c>
      <c r="F288" s="26" t="s">
        <v>81</v>
      </c>
      <c r="G288" s="26" t="s">
        <v>9</v>
      </c>
      <c r="H288" s="27" t="n">
        <v>0.354166666666667</v>
      </c>
      <c r="I288" s="27" t="n">
        <v>0.854166666666667</v>
      </c>
      <c r="J288" s="26" t="n">
        <f aca="false">IFERROR((I288-H288)*24*60,"")</f>
        <v>720</v>
      </c>
      <c r="K288" s="26" t="s">
        <v>82</v>
      </c>
      <c r="L288" s="26" t="s">
        <v>107</v>
      </c>
      <c r="M288" s="26" t="s">
        <v>84</v>
      </c>
      <c r="N288" s="26" t="s">
        <v>85</v>
      </c>
      <c r="O288" s="26" t="n">
        <v>1</v>
      </c>
      <c r="P288" s="26" t="n">
        <v>49</v>
      </c>
      <c r="Q288" s="26" t="n">
        <f aca="false">IFERROR(3600/(P288/O288),"")</f>
        <v>73.4693877551021</v>
      </c>
      <c r="R288" s="26" t="n">
        <v>705</v>
      </c>
      <c r="S288" s="26" t="n">
        <v>42</v>
      </c>
      <c r="T288" s="26" t="n">
        <f aca="false">IFERROR(J288-S288,"")</f>
        <v>678</v>
      </c>
      <c r="U288" s="26"/>
      <c r="V288" s="26" t="n">
        <v>19</v>
      </c>
      <c r="W288" s="26"/>
      <c r="X288" s="26"/>
      <c r="Y288" s="26"/>
      <c r="Z288" s="26"/>
      <c r="AA288" s="26"/>
      <c r="AB288" s="26"/>
      <c r="AC288" s="26" t="n">
        <v>11</v>
      </c>
      <c r="AD288" s="26"/>
      <c r="AE288" s="26"/>
      <c r="AF288" s="26" t="n">
        <f aca="false">SUM(U288:AE288)</f>
        <v>30</v>
      </c>
      <c r="AG288" s="26" t="n">
        <f aca="false">T288-AF288</f>
        <v>648</v>
      </c>
      <c r="AH288" s="28" t="n">
        <f aca="false">IFERROR(AG288/T288,"")</f>
        <v>0.955752212389381</v>
      </c>
      <c r="AI288" s="29" t="n">
        <f aca="false">IFERROR(R288/AG288*60,"")</f>
        <v>65.2777777777778</v>
      </c>
      <c r="AJ288" s="30" t="n">
        <f aca="false">IFERROR(AI288/Q288,"")</f>
        <v>0.888503086419753</v>
      </c>
      <c r="AK288" s="31" t="n">
        <f aca="false">IFERROR(R288/(T288/60*Q288),"")</f>
        <v>0.849188790560472</v>
      </c>
      <c r="AL288" s="26" t="n">
        <v>2</v>
      </c>
      <c r="AM288" s="26" t="n">
        <v>1</v>
      </c>
      <c r="AN288" s="26" t="n">
        <v>2</v>
      </c>
      <c r="AO288" s="26" t="n">
        <v>4</v>
      </c>
      <c r="AP288" s="26" t="n">
        <v>2</v>
      </c>
      <c r="AQ288" s="26"/>
      <c r="AR288" s="26"/>
      <c r="AS288" s="26" t="n">
        <v>2</v>
      </c>
      <c r="AT288" s="26" t="n">
        <v>2</v>
      </c>
      <c r="AU288" s="26" t="n">
        <v>2</v>
      </c>
      <c r="AV288" s="26" t="n">
        <f aca="false">SUM(AL288:AU288)</f>
        <v>17</v>
      </c>
      <c r="AW288" s="32" t="n">
        <f aca="false">IFERROR(AV288/R288*1000000,"")</f>
        <v>24113.475177305</v>
      </c>
      <c r="AX288" s="33" t="n">
        <f aca="false">IFERROR((R288-AV288)/R288,"")</f>
        <v>0.975886524822695</v>
      </c>
      <c r="AY288" s="34" t="n">
        <f aca="false">IFERROR(AH288*AJ288*AX288,"")</f>
        <v>0.828711897738446</v>
      </c>
      <c r="AZ288" s="35" t="s">
        <v>86</v>
      </c>
    </row>
    <row r="289" customFormat="false" ht="12.75" hidden="false" customHeight="true" outlineLevel="0" collapsed="false">
      <c r="A289" s="24" t="n">
        <v>285</v>
      </c>
      <c r="B289" s="25" t="n">
        <v>46117</v>
      </c>
      <c r="C289" s="25" t="n">
        <v>12</v>
      </c>
      <c r="D289" s="26" t="s">
        <v>87</v>
      </c>
      <c r="E289" s="26" t="s">
        <v>88</v>
      </c>
      <c r="F289" s="26" t="s">
        <v>73</v>
      </c>
      <c r="G289" s="26" t="s">
        <v>10</v>
      </c>
      <c r="H289" s="27" t="n">
        <v>0.354166666666667</v>
      </c>
      <c r="I289" s="27" t="n">
        <v>0.854166666666667</v>
      </c>
      <c r="J289" s="26" t="n">
        <f aca="false">IFERROR((I289-H289)*24*60,"")</f>
        <v>720</v>
      </c>
      <c r="K289" s="26" t="s">
        <v>74</v>
      </c>
      <c r="L289" s="26" t="s">
        <v>107</v>
      </c>
      <c r="M289" s="26" t="s">
        <v>91</v>
      </c>
      <c r="N289" s="26" t="s">
        <v>92</v>
      </c>
      <c r="O289" s="26" t="n">
        <v>4</v>
      </c>
      <c r="P289" s="26" t="n">
        <v>27</v>
      </c>
      <c r="Q289" s="26" t="n">
        <f aca="false">IFERROR(3600/(P289/O289),"")</f>
        <v>533.333333333333</v>
      </c>
      <c r="R289" s="26" t="n">
        <v>4626</v>
      </c>
      <c r="S289" s="26" t="n">
        <v>34</v>
      </c>
      <c r="T289" s="26" t="n">
        <f aca="false">IFERROR(J289-S289,"")</f>
        <v>686</v>
      </c>
      <c r="U289" s="26"/>
      <c r="V289" s="26"/>
      <c r="W289" s="26"/>
      <c r="X289" s="26"/>
      <c r="Y289" s="26"/>
      <c r="Z289" s="26"/>
      <c r="AA289" s="26"/>
      <c r="AB289" s="26"/>
      <c r="AC289" s="26"/>
      <c r="AD289" s="26" t="n">
        <v>12</v>
      </c>
      <c r="AE289" s="26"/>
      <c r="AF289" s="26" t="n">
        <f aca="false">SUM(U289:AE289)</f>
        <v>12</v>
      </c>
      <c r="AG289" s="26" t="n">
        <f aca="false">T289-AF289</f>
        <v>674</v>
      </c>
      <c r="AH289" s="28" t="n">
        <f aca="false">IFERROR(AG289/T289,"")</f>
        <v>0.982507288629738</v>
      </c>
      <c r="AI289" s="29" t="n">
        <f aca="false">IFERROR(R289/AG289*60,"")</f>
        <v>411.810089020772</v>
      </c>
      <c r="AJ289" s="30" t="n">
        <f aca="false">IFERROR(AI289/Q289,"")</f>
        <v>0.772143916913947</v>
      </c>
      <c r="AK289" s="31" t="n">
        <f aca="false">IFERROR(R289/(T289/60*Q289),"")</f>
        <v>0.758637026239067</v>
      </c>
      <c r="AL289" s="26" t="n">
        <v>4</v>
      </c>
      <c r="AM289" s="26" t="n">
        <v>7</v>
      </c>
      <c r="AN289" s="26" t="n">
        <v>3</v>
      </c>
      <c r="AO289" s="26" t="n">
        <v>5</v>
      </c>
      <c r="AP289" s="26" t="n">
        <v>8</v>
      </c>
      <c r="AQ289" s="26" t="n">
        <v>4</v>
      </c>
      <c r="AR289" s="26" t="n">
        <v>2</v>
      </c>
      <c r="AS289" s="26" t="n">
        <v>12</v>
      </c>
      <c r="AT289" s="26" t="n">
        <v>8</v>
      </c>
      <c r="AU289" s="26" t="n">
        <v>7</v>
      </c>
      <c r="AV289" s="26" t="n">
        <f aca="false">SUM(AL289:AU289)</f>
        <v>60</v>
      </c>
      <c r="AW289" s="32" t="n">
        <f aca="false">IFERROR(AV289/R289*1000000,"")</f>
        <v>12970.168612192</v>
      </c>
      <c r="AX289" s="33" t="n">
        <f aca="false">IFERROR((R289-AV289)/R289,"")</f>
        <v>0.987029831387808</v>
      </c>
      <c r="AY289" s="34" t="n">
        <f aca="false">IFERROR(AH289*AJ289*AX289,"")</f>
        <v>0.748797376093294</v>
      </c>
      <c r="AZ289" s="35"/>
    </row>
    <row r="290" customFormat="false" ht="12.75" hidden="false" customHeight="true" outlineLevel="0" collapsed="false">
      <c r="A290" s="24" t="n">
        <v>286</v>
      </c>
      <c r="B290" s="25" t="n">
        <v>46118</v>
      </c>
      <c r="C290" s="25" t="n">
        <v>12</v>
      </c>
      <c r="D290" s="26" t="s">
        <v>71</v>
      </c>
      <c r="E290" s="26" t="s">
        <v>94</v>
      </c>
      <c r="F290" s="26" t="s">
        <v>81</v>
      </c>
      <c r="G290" s="26" t="s">
        <v>11</v>
      </c>
      <c r="H290" s="27" t="n">
        <v>0.354166666666667</v>
      </c>
      <c r="I290" s="27" t="n">
        <v>0.854166666666667</v>
      </c>
      <c r="J290" s="26" t="n">
        <f aca="false">IFERROR((I290-H290)*24*60,"")</f>
        <v>720</v>
      </c>
      <c r="K290" s="26" t="s">
        <v>89</v>
      </c>
      <c r="L290" s="26" t="s">
        <v>107</v>
      </c>
      <c r="M290" s="26" t="s">
        <v>95</v>
      </c>
      <c r="N290" s="26" t="s">
        <v>96</v>
      </c>
      <c r="O290" s="26" t="n">
        <v>1</v>
      </c>
      <c r="P290" s="26" t="n">
        <v>52</v>
      </c>
      <c r="Q290" s="26" t="n">
        <f aca="false">IFERROR(3600/(P290/O290),"")</f>
        <v>69.2307692307692</v>
      </c>
      <c r="R290" s="26" t="n">
        <v>575</v>
      </c>
      <c r="S290" s="26" t="n">
        <v>73</v>
      </c>
      <c r="T290" s="26" t="n">
        <f aca="false">IFERROR(J290-S290,"")</f>
        <v>647</v>
      </c>
      <c r="U290" s="26"/>
      <c r="V290" s="26" t="n">
        <v>6</v>
      </c>
      <c r="W290" s="26" t="n">
        <v>20</v>
      </c>
      <c r="X290" s="26" t="n">
        <v>22</v>
      </c>
      <c r="Y290" s="26"/>
      <c r="Z290" s="26"/>
      <c r="AA290" s="26"/>
      <c r="AB290" s="26"/>
      <c r="AC290" s="26"/>
      <c r="AD290" s="26"/>
      <c r="AE290" s="26"/>
      <c r="AF290" s="26" t="n">
        <f aca="false">SUM(U290:AE290)</f>
        <v>48</v>
      </c>
      <c r="AG290" s="26" t="n">
        <f aca="false">T290-AF290</f>
        <v>599</v>
      </c>
      <c r="AH290" s="28" t="n">
        <f aca="false">IFERROR(AG290/T290,"")</f>
        <v>0.9258114374034</v>
      </c>
      <c r="AI290" s="29" t="n">
        <f aca="false">IFERROR(R290/AG290*60,"")</f>
        <v>57.5959933222037</v>
      </c>
      <c r="AJ290" s="30" t="n">
        <f aca="false">IFERROR(AI290/Q290,"")</f>
        <v>0.831942125765164</v>
      </c>
      <c r="AK290" s="31" t="n">
        <f aca="false">IFERROR(R290/(T290/60*Q290),"")</f>
        <v>0.770221535291087</v>
      </c>
      <c r="AL290" s="26"/>
      <c r="AM290" s="26"/>
      <c r="AN290" s="26"/>
      <c r="AO290" s="26"/>
      <c r="AP290" s="26" t="n">
        <v>1</v>
      </c>
      <c r="AQ290" s="26" t="n">
        <v>1</v>
      </c>
      <c r="AR290" s="26"/>
      <c r="AS290" s="26"/>
      <c r="AT290" s="26" t="n">
        <v>1</v>
      </c>
      <c r="AU290" s="26"/>
      <c r="AV290" s="26" t="n">
        <f aca="false">SUM(AL290:AU290)</f>
        <v>3</v>
      </c>
      <c r="AW290" s="32" t="n">
        <f aca="false">IFERROR(AV290/R290*1000000,"")</f>
        <v>5217.39130434783</v>
      </c>
      <c r="AX290" s="33" t="n">
        <f aca="false">IFERROR((R290-AV290)/R290,"")</f>
        <v>0.994782608695652</v>
      </c>
      <c r="AY290" s="34" t="n">
        <f aca="false">IFERROR(AH290*AJ290*AX290,"")</f>
        <v>0.766202988150438</v>
      </c>
      <c r="AZ290" s="35" t="s">
        <v>93</v>
      </c>
    </row>
    <row r="291" customFormat="false" ht="12.75" hidden="false" customHeight="true" outlineLevel="0" collapsed="false">
      <c r="A291" s="24" t="n">
        <v>287</v>
      </c>
      <c r="B291" s="25" t="n">
        <v>46118</v>
      </c>
      <c r="C291" s="25" t="n">
        <v>12</v>
      </c>
      <c r="D291" s="26" t="s">
        <v>79</v>
      </c>
      <c r="E291" s="26" t="s">
        <v>97</v>
      </c>
      <c r="F291" s="26" t="s">
        <v>73</v>
      </c>
      <c r="G291" s="26" t="s">
        <v>12</v>
      </c>
      <c r="H291" s="27" t="n">
        <v>0.354166666666667</v>
      </c>
      <c r="I291" s="27" t="n">
        <v>0.854166666666667</v>
      </c>
      <c r="J291" s="26" t="n">
        <f aca="false">IFERROR((I291-H291)*24*60,"")</f>
        <v>720</v>
      </c>
      <c r="K291" s="26" t="s">
        <v>89</v>
      </c>
      <c r="L291" s="26" t="s">
        <v>98</v>
      </c>
      <c r="M291" s="26" t="s">
        <v>99</v>
      </c>
      <c r="N291" s="26" t="s">
        <v>100</v>
      </c>
      <c r="O291" s="26" t="n">
        <v>2</v>
      </c>
      <c r="P291" s="26" t="n">
        <v>44</v>
      </c>
      <c r="Q291" s="26" t="n">
        <f aca="false">IFERROR(3600/(P291/O291),"")</f>
        <v>163.636363636364</v>
      </c>
      <c r="R291" s="26" t="n">
        <v>1294</v>
      </c>
      <c r="S291" s="26" t="n">
        <v>69</v>
      </c>
      <c r="T291" s="26" t="n">
        <f aca="false">IFERROR(J291-S291,"")</f>
        <v>651</v>
      </c>
      <c r="U291" s="26"/>
      <c r="V291" s="26"/>
      <c r="W291" s="26" t="n">
        <v>8</v>
      </c>
      <c r="X291" s="26"/>
      <c r="Y291" s="26"/>
      <c r="Z291" s="26"/>
      <c r="AA291" s="26"/>
      <c r="AB291" s="26"/>
      <c r="AC291" s="26"/>
      <c r="AD291" s="26"/>
      <c r="AE291" s="26" t="n">
        <v>12</v>
      </c>
      <c r="AF291" s="26" t="n">
        <f aca="false">SUM(U291:AE291)</f>
        <v>20</v>
      </c>
      <c r="AG291" s="26" t="n">
        <f aca="false">T291-AF291</f>
        <v>631</v>
      </c>
      <c r="AH291" s="28" t="n">
        <f aca="false">IFERROR(AG291/T291,"")</f>
        <v>0.969278033794163</v>
      </c>
      <c r="AI291" s="29" t="n">
        <f aca="false">IFERROR(R291/AG291*60,"")</f>
        <v>123.042789223455</v>
      </c>
      <c r="AJ291" s="30" t="n">
        <f aca="false">IFERROR(AI291/Q291,"")</f>
        <v>0.751928156365557</v>
      </c>
      <c r="AK291" s="31" t="n">
        <f aca="false">IFERROR(R291/(T291/60*Q291),"")</f>
        <v>0.728827444956477</v>
      </c>
      <c r="AL291" s="26"/>
      <c r="AM291" s="26"/>
      <c r="AN291" s="26"/>
      <c r="AO291" s="26" t="n">
        <v>1</v>
      </c>
      <c r="AP291" s="26" t="n">
        <v>2</v>
      </c>
      <c r="AQ291" s="26"/>
      <c r="AR291" s="26" t="n">
        <v>1</v>
      </c>
      <c r="AS291" s="26" t="n">
        <v>1</v>
      </c>
      <c r="AT291" s="26" t="n">
        <v>1</v>
      </c>
      <c r="AU291" s="26" t="n">
        <v>1</v>
      </c>
      <c r="AV291" s="26" t="n">
        <f aca="false">SUM(AL291:AU291)</f>
        <v>7</v>
      </c>
      <c r="AW291" s="32" t="n">
        <f aca="false">IFERROR(AV291/R291*1000000,"")</f>
        <v>5409.58268933539</v>
      </c>
      <c r="AX291" s="33" t="n">
        <f aca="false">IFERROR((R291-AV291)/R291,"")</f>
        <v>0.994590417310665</v>
      </c>
      <c r="AY291" s="34" t="n">
        <f aca="false">IFERROR(AH291*AJ291*AX291,"")</f>
        <v>0.724884792626728</v>
      </c>
      <c r="AZ291" s="35" t="s">
        <v>93</v>
      </c>
    </row>
    <row r="292" customFormat="false" ht="12.75" hidden="false" customHeight="true" outlineLevel="0" collapsed="false">
      <c r="A292" s="24" t="n">
        <v>288</v>
      </c>
      <c r="B292" s="25" t="n">
        <v>46118</v>
      </c>
      <c r="C292" s="25" t="n">
        <v>12</v>
      </c>
      <c r="D292" s="26" t="s">
        <v>87</v>
      </c>
      <c r="E292" s="26" t="s">
        <v>101</v>
      </c>
      <c r="F292" s="26" t="s">
        <v>81</v>
      </c>
      <c r="G292" s="26" t="s">
        <v>13</v>
      </c>
      <c r="H292" s="27" t="n">
        <v>0.354166666666667</v>
      </c>
      <c r="I292" s="27" t="n">
        <v>0.854166666666667</v>
      </c>
      <c r="J292" s="26" t="n">
        <f aca="false">IFERROR((I292-H292)*24*60,"")</f>
        <v>720</v>
      </c>
      <c r="K292" s="26" t="s">
        <v>74</v>
      </c>
      <c r="L292" s="26" t="s">
        <v>75</v>
      </c>
      <c r="M292" s="26" t="s">
        <v>103</v>
      </c>
      <c r="N292" s="26" t="s">
        <v>104</v>
      </c>
      <c r="O292" s="26" t="n">
        <v>4</v>
      </c>
      <c r="P292" s="26" t="n">
        <v>70</v>
      </c>
      <c r="Q292" s="26" t="n">
        <f aca="false">IFERROR(3600/(P292/O292),"")</f>
        <v>205.714285714286</v>
      </c>
      <c r="R292" s="26" t="n">
        <v>1813</v>
      </c>
      <c r="S292" s="26" t="n">
        <v>39</v>
      </c>
      <c r="T292" s="26" t="n">
        <f aca="false">IFERROR(J292-S292,"")</f>
        <v>681</v>
      </c>
      <c r="U292" s="26"/>
      <c r="V292" s="26"/>
      <c r="W292" s="26"/>
      <c r="X292" s="26"/>
      <c r="Y292" s="26"/>
      <c r="Z292" s="26"/>
      <c r="AA292" s="26" t="n">
        <v>12</v>
      </c>
      <c r="AB292" s="26" t="n">
        <v>13</v>
      </c>
      <c r="AC292" s="26"/>
      <c r="AD292" s="26" t="n">
        <v>24</v>
      </c>
      <c r="AE292" s="26"/>
      <c r="AF292" s="26" t="n">
        <f aca="false">SUM(U292:AE292)</f>
        <v>49</v>
      </c>
      <c r="AG292" s="26" t="n">
        <f aca="false">T292-AF292</f>
        <v>632</v>
      </c>
      <c r="AH292" s="28" t="n">
        <f aca="false">IFERROR(AG292/T292,"")</f>
        <v>0.928046989720999</v>
      </c>
      <c r="AI292" s="29" t="n">
        <f aca="false">IFERROR(R292/AG292*60,"")</f>
        <v>172.120253164557</v>
      </c>
      <c r="AJ292" s="30" t="n">
        <f aca="false">IFERROR(AI292/Q292,"")</f>
        <v>0.836695675105485</v>
      </c>
      <c r="AK292" s="31" t="n">
        <f aca="false">IFERROR(R292/(T292/60*Q292),"")</f>
        <v>0.776492902594224</v>
      </c>
      <c r="AL292" s="26" t="n">
        <v>4</v>
      </c>
      <c r="AM292" s="26"/>
      <c r="AN292" s="26" t="n">
        <v>1</v>
      </c>
      <c r="AO292" s="26" t="n">
        <v>2</v>
      </c>
      <c r="AP292" s="26" t="n">
        <v>3</v>
      </c>
      <c r="AQ292" s="26" t="n">
        <v>4</v>
      </c>
      <c r="AR292" s="26" t="n">
        <v>5</v>
      </c>
      <c r="AS292" s="26" t="n">
        <v>1</v>
      </c>
      <c r="AT292" s="26"/>
      <c r="AU292" s="26"/>
      <c r="AV292" s="26" t="n">
        <f aca="false">SUM(AL292:AU292)</f>
        <v>20</v>
      </c>
      <c r="AW292" s="32" t="n">
        <f aca="false">IFERROR(AV292/R292*1000000,"")</f>
        <v>11031.4396028682</v>
      </c>
      <c r="AX292" s="33" t="n">
        <f aca="false">IFERROR((R292-AV292)/R292,"")</f>
        <v>0.988968560397132</v>
      </c>
      <c r="AY292" s="34" t="n">
        <f aca="false">IFERROR(AH292*AJ292*AX292,"")</f>
        <v>0.7679270680372</v>
      </c>
      <c r="AZ292" s="35"/>
    </row>
    <row r="293" customFormat="false" ht="12.75" hidden="false" customHeight="true" outlineLevel="0" collapsed="false">
      <c r="A293" s="24" t="n">
        <v>289</v>
      </c>
      <c r="B293" s="25" t="n">
        <v>46119</v>
      </c>
      <c r="C293" s="25" t="n">
        <v>12</v>
      </c>
      <c r="D293" s="26" t="s">
        <v>71</v>
      </c>
      <c r="E293" s="26" t="s">
        <v>72</v>
      </c>
      <c r="F293" s="26" t="s">
        <v>73</v>
      </c>
      <c r="G293" s="26" t="s">
        <v>8</v>
      </c>
      <c r="H293" s="27" t="n">
        <v>0.354166666666667</v>
      </c>
      <c r="I293" s="27" t="n">
        <v>0.854166666666667</v>
      </c>
      <c r="J293" s="26" t="n">
        <f aca="false">IFERROR((I293-H293)*24*60,"")</f>
        <v>720</v>
      </c>
      <c r="K293" s="26" t="s">
        <v>105</v>
      </c>
      <c r="L293" s="26" t="s">
        <v>106</v>
      </c>
      <c r="M293" s="26" t="s">
        <v>76</v>
      </c>
      <c r="N293" s="26" t="s">
        <v>77</v>
      </c>
      <c r="O293" s="26" t="n">
        <v>1</v>
      </c>
      <c r="P293" s="26" t="n">
        <v>39</v>
      </c>
      <c r="Q293" s="26" t="n">
        <f aca="false">IFERROR(3600/(P293/O293),"")</f>
        <v>92.3076923076923</v>
      </c>
      <c r="R293" s="26" t="n">
        <v>772</v>
      </c>
      <c r="S293" s="26" t="n">
        <v>47</v>
      </c>
      <c r="T293" s="26" t="n">
        <f aca="false">IFERROR(J293-S293,"")</f>
        <v>673</v>
      </c>
      <c r="U293" s="26" t="n">
        <v>6</v>
      </c>
      <c r="V293" s="26"/>
      <c r="W293" s="26"/>
      <c r="X293" s="26"/>
      <c r="Y293" s="26"/>
      <c r="Z293" s="26"/>
      <c r="AA293" s="26"/>
      <c r="AB293" s="26"/>
      <c r="AC293" s="26"/>
      <c r="AD293" s="26" t="n">
        <v>10</v>
      </c>
      <c r="AE293" s="26" t="n">
        <v>7</v>
      </c>
      <c r="AF293" s="26" t="n">
        <f aca="false">SUM(U293:AE293)</f>
        <v>23</v>
      </c>
      <c r="AG293" s="26" t="n">
        <f aca="false">T293-AF293</f>
        <v>650</v>
      </c>
      <c r="AH293" s="28" t="n">
        <f aca="false">IFERROR(AG293/T293,"")</f>
        <v>0.965824665676077</v>
      </c>
      <c r="AI293" s="29" t="n">
        <f aca="false">IFERROR(R293/AG293*60,"")</f>
        <v>71.2615384615385</v>
      </c>
      <c r="AJ293" s="30" t="n">
        <f aca="false">IFERROR(AI293/Q293,"")</f>
        <v>0.772</v>
      </c>
      <c r="AK293" s="31" t="n">
        <f aca="false">IFERROR(R293/(T293/60*Q293),"")</f>
        <v>0.745616641901932</v>
      </c>
      <c r="AL293" s="26" t="n">
        <v>1</v>
      </c>
      <c r="AM293" s="26" t="n">
        <v>1</v>
      </c>
      <c r="AN293" s="26"/>
      <c r="AO293" s="26" t="n">
        <v>1</v>
      </c>
      <c r="AP293" s="26" t="n">
        <v>1</v>
      </c>
      <c r="AQ293" s="26"/>
      <c r="AR293" s="26" t="n">
        <v>1</v>
      </c>
      <c r="AS293" s="26" t="n">
        <v>1</v>
      </c>
      <c r="AT293" s="26"/>
      <c r="AU293" s="26" t="n">
        <v>2</v>
      </c>
      <c r="AV293" s="26" t="n">
        <f aca="false">SUM(AL293:AU293)</f>
        <v>8</v>
      </c>
      <c r="AW293" s="32" t="n">
        <f aca="false">IFERROR(AV293/R293*1000000,"")</f>
        <v>10362.6943005181</v>
      </c>
      <c r="AX293" s="33" t="n">
        <f aca="false">IFERROR((R293-AV293)/R293,"")</f>
        <v>0.989637305699482</v>
      </c>
      <c r="AY293" s="34" t="n">
        <f aca="false">IFERROR(AH293*AJ293*AX293,"")</f>
        <v>0.737890044576523</v>
      </c>
      <c r="AZ293" s="35" t="s">
        <v>93</v>
      </c>
    </row>
    <row r="294" customFormat="false" ht="12.75" hidden="false" customHeight="true" outlineLevel="0" collapsed="false">
      <c r="A294" s="24" t="n">
        <v>290</v>
      </c>
      <c r="B294" s="25" t="n">
        <v>46119</v>
      </c>
      <c r="C294" s="25" t="n">
        <v>12</v>
      </c>
      <c r="D294" s="26" t="s">
        <v>79</v>
      </c>
      <c r="E294" s="26" t="s">
        <v>80</v>
      </c>
      <c r="F294" s="26" t="s">
        <v>81</v>
      </c>
      <c r="G294" s="26" t="s">
        <v>9</v>
      </c>
      <c r="H294" s="27" t="n">
        <v>0.354166666666667</v>
      </c>
      <c r="I294" s="27" t="n">
        <v>0.854166666666667</v>
      </c>
      <c r="J294" s="26" t="n">
        <f aca="false">IFERROR((I294-H294)*24*60,"")</f>
        <v>720</v>
      </c>
      <c r="K294" s="26" t="s">
        <v>89</v>
      </c>
      <c r="L294" s="26" t="s">
        <v>90</v>
      </c>
      <c r="M294" s="26" t="s">
        <v>84</v>
      </c>
      <c r="N294" s="26" t="s">
        <v>85</v>
      </c>
      <c r="O294" s="26" t="n">
        <v>8</v>
      </c>
      <c r="P294" s="26" t="n">
        <v>42</v>
      </c>
      <c r="Q294" s="26" t="n">
        <f aca="false">IFERROR(3600/(P294/O294),"")</f>
        <v>685.714285714286</v>
      </c>
      <c r="R294" s="26" t="n">
        <v>5179</v>
      </c>
      <c r="S294" s="26" t="n">
        <v>64</v>
      </c>
      <c r="T294" s="26" t="n">
        <f aca="false">IFERROR(J294-S294,"")</f>
        <v>656</v>
      </c>
      <c r="U294" s="26"/>
      <c r="V294" s="26" t="n">
        <v>26</v>
      </c>
      <c r="W294" s="26"/>
      <c r="X294" s="26"/>
      <c r="Y294" s="26"/>
      <c r="Z294" s="26"/>
      <c r="AA294" s="26"/>
      <c r="AB294" s="26"/>
      <c r="AC294" s="26"/>
      <c r="AD294" s="26"/>
      <c r="AE294" s="26"/>
      <c r="AF294" s="26" t="n">
        <f aca="false">SUM(U294:AE294)</f>
        <v>26</v>
      </c>
      <c r="AG294" s="26" t="n">
        <f aca="false">T294-AF294</f>
        <v>630</v>
      </c>
      <c r="AH294" s="28" t="n">
        <f aca="false">IFERROR(AG294/T294,"")</f>
        <v>0.960365853658537</v>
      </c>
      <c r="AI294" s="29" t="n">
        <f aca="false">IFERROR(R294/AG294*60,"")</f>
        <v>493.238095238095</v>
      </c>
      <c r="AJ294" s="30" t="n">
        <f aca="false">IFERROR(AI294/Q294,"")</f>
        <v>0.719305555555556</v>
      </c>
      <c r="AK294" s="31" t="n">
        <f aca="false">IFERROR(R294/(T294/60*Q294),"")</f>
        <v>0.690796493902439</v>
      </c>
      <c r="AL294" s="26" t="n">
        <v>5</v>
      </c>
      <c r="AM294" s="26" t="n">
        <v>3</v>
      </c>
      <c r="AN294" s="26" t="n">
        <v>5</v>
      </c>
      <c r="AO294" s="26" t="n">
        <v>5</v>
      </c>
      <c r="AP294" s="26" t="n">
        <v>5</v>
      </c>
      <c r="AQ294" s="26" t="n">
        <v>7</v>
      </c>
      <c r="AR294" s="26" t="n">
        <v>4</v>
      </c>
      <c r="AS294" s="26" t="n">
        <v>5</v>
      </c>
      <c r="AT294" s="26" t="n">
        <v>6</v>
      </c>
      <c r="AU294" s="26" t="n">
        <v>4</v>
      </c>
      <c r="AV294" s="26" t="n">
        <f aca="false">SUM(AL294:AU294)</f>
        <v>49</v>
      </c>
      <c r="AW294" s="32" t="n">
        <f aca="false">IFERROR(AV294/R294*1000000,"")</f>
        <v>9461.28596254103</v>
      </c>
      <c r="AX294" s="33" t="n">
        <f aca="false">IFERROR((R294-AV294)/R294,"")</f>
        <v>0.990538714037459</v>
      </c>
      <c r="AY294" s="34" t="n">
        <f aca="false">IFERROR(AH294*AJ294*AX294,"")</f>
        <v>0.684260670731707</v>
      </c>
      <c r="AZ294" s="35" t="s">
        <v>93</v>
      </c>
    </row>
    <row r="295" customFormat="false" ht="12.75" hidden="false" customHeight="true" outlineLevel="0" collapsed="false">
      <c r="A295" s="24" t="n">
        <v>291</v>
      </c>
      <c r="B295" s="25" t="n">
        <v>46119</v>
      </c>
      <c r="C295" s="25" t="n">
        <v>12</v>
      </c>
      <c r="D295" s="26" t="s">
        <v>87</v>
      </c>
      <c r="E295" s="26" t="s">
        <v>88</v>
      </c>
      <c r="F295" s="26" t="s">
        <v>73</v>
      </c>
      <c r="G295" s="26" t="s">
        <v>10</v>
      </c>
      <c r="H295" s="27" t="n">
        <v>0.354166666666667</v>
      </c>
      <c r="I295" s="27" t="n">
        <v>0.854166666666667</v>
      </c>
      <c r="J295" s="26" t="n">
        <f aca="false">IFERROR((I295-H295)*24*60,"")</f>
        <v>720</v>
      </c>
      <c r="K295" s="26" t="s">
        <v>89</v>
      </c>
      <c r="L295" s="26" t="s">
        <v>75</v>
      </c>
      <c r="M295" s="26" t="s">
        <v>91</v>
      </c>
      <c r="N295" s="26" t="s">
        <v>92</v>
      </c>
      <c r="O295" s="26" t="n">
        <v>4</v>
      </c>
      <c r="P295" s="26" t="n">
        <v>60</v>
      </c>
      <c r="Q295" s="26" t="n">
        <f aca="false">IFERROR(3600/(P295/O295),"")</f>
        <v>240</v>
      </c>
      <c r="R295" s="26" t="n">
        <v>1939</v>
      </c>
      <c r="S295" s="26" t="n">
        <v>64</v>
      </c>
      <c r="T295" s="26" t="n">
        <f aca="false">IFERROR(J295-S295,"")</f>
        <v>656</v>
      </c>
      <c r="U295" s="26"/>
      <c r="V295" s="26"/>
      <c r="W295" s="26"/>
      <c r="X295" s="26"/>
      <c r="Y295" s="26"/>
      <c r="Z295" s="26"/>
      <c r="AA295" s="26"/>
      <c r="AB295" s="26"/>
      <c r="AC295" s="26"/>
      <c r="AD295" s="26" t="n">
        <v>7</v>
      </c>
      <c r="AE295" s="26"/>
      <c r="AF295" s="26" t="n">
        <f aca="false">SUM(U295:AE295)</f>
        <v>7</v>
      </c>
      <c r="AG295" s="26" t="n">
        <f aca="false">T295-AF295</f>
        <v>649</v>
      </c>
      <c r="AH295" s="28" t="n">
        <f aca="false">IFERROR(AG295/T295,"")</f>
        <v>0.989329268292683</v>
      </c>
      <c r="AI295" s="29" t="n">
        <f aca="false">IFERROR(R295/AG295*60,"")</f>
        <v>179.260400616333</v>
      </c>
      <c r="AJ295" s="30" t="n">
        <f aca="false">IFERROR(AI295/Q295,"")</f>
        <v>0.746918335901387</v>
      </c>
      <c r="AK295" s="31" t="n">
        <f aca="false">IFERROR(R295/(T295/60*Q295),"")</f>
        <v>0.738948170731707</v>
      </c>
      <c r="AL295" s="26"/>
      <c r="AM295" s="26" t="n">
        <v>2</v>
      </c>
      <c r="AN295" s="26" t="n">
        <v>1</v>
      </c>
      <c r="AO295" s="26"/>
      <c r="AP295" s="26"/>
      <c r="AQ295" s="26"/>
      <c r="AR295" s="26"/>
      <c r="AS295" s="26"/>
      <c r="AT295" s="26" t="n">
        <v>3</v>
      </c>
      <c r="AU295" s="26" t="n">
        <v>1</v>
      </c>
      <c r="AV295" s="26" t="n">
        <f aca="false">SUM(AL295:AU295)</f>
        <v>7</v>
      </c>
      <c r="AW295" s="32" t="n">
        <f aca="false">IFERROR(AV295/R295*1000000,"")</f>
        <v>3610.1083032491</v>
      </c>
      <c r="AX295" s="33" t="n">
        <f aca="false">IFERROR((R295-AV295)/R295,"")</f>
        <v>0.996389891696751</v>
      </c>
      <c r="AY295" s="34" t="n">
        <f aca="false">IFERROR(AH295*AJ295*AX295,"")</f>
        <v>0.736280487804878</v>
      </c>
      <c r="AZ295" s="35" t="s">
        <v>78</v>
      </c>
    </row>
    <row r="296" customFormat="false" ht="12.75" hidden="false" customHeight="true" outlineLevel="0" collapsed="false">
      <c r="A296" s="24" t="n">
        <v>292</v>
      </c>
      <c r="B296" s="25" t="n">
        <v>46120</v>
      </c>
      <c r="C296" s="25" t="n">
        <v>12</v>
      </c>
      <c r="D296" s="26" t="s">
        <v>71</v>
      </c>
      <c r="E296" s="26" t="s">
        <v>94</v>
      </c>
      <c r="F296" s="26" t="s">
        <v>81</v>
      </c>
      <c r="G296" s="26" t="s">
        <v>11</v>
      </c>
      <c r="H296" s="27" t="n">
        <v>0.354166666666667</v>
      </c>
      <c r="I296" s="27" t="n">
        <v>0.854166666666667</v>
      </c>
      <c r="J296" s="26" t="n">
        <f aca="false">IFERROR((I296-H296)*24*60,"")</f>
        <v>720</v>
      </c>
      <c r="K296" s="26" t="s">
        <v>74</v>
      </c>
      <c r="L296" s="26" t="s">
        <v>106</v>
      </c>
      <c r="M296" s="26" t="s">
        <v>95</v>
      </c>
      <c r="N296" s="26" t="s">
        <v>96</v>
      </c>
      <c r="O296" s="26" t="n">
        <v>4</v>
      </c>
      <c r="P296" s="26" t="n">
        <v>53</v>
      </c>
      <c r="Q296" s="26" t="n">
        <f aca="false">IFERROR(3600/(P296/O296),"")</f>
        <v>271.698113207547</v>
      </c>
      <c r="R296" s="26" t="n">
        <v>2290</v>
      </c>
      <c r="S296" s="26" t="n">
        <v>73</v>
      </c>
      <c r="T296" s="26" t="n">
        <f aca="false">IFERROR(J296-S296,"")</f>
        <v>647</v>
      </c>
      <c r="U296" s="26"/>
      <c r="V296" s="26" t="n">
        <v>13</v>
      </c>
      <c r="W296" s="26" t="n">
        <v>45</v>
      </c>
      <c r="X296" s="26"/>
      <c r="Y296" s="26"/>
      <c r="Z296" s="26"/>
      <c r="AA296" s="26"/>
      <c r="AB296" s="26"/>
      <c r="AC296" s="26"/>
      <c r="AD296" s="26"/>
      <c r="AE296" s="26" t="n">
        <v>7</v>
      </c>
      <c r="AF296" s="26" t="n">
        <f aca="false">SUM(U296:AE296)</f>
        <v>65</v>
      </c>
      <c r="AG296" s="26" t="n">
        <f aca="false">T296-AF296</f>
        <v>582</v>
      </c>
      <c r="AH296" s="28" t="n">
        <f aca="false">IFERROR(AG296/T296,"")</f>
        <v>0.899536321483771</v>
      </c>
      <c r="AI296" s="29" t="n">
        <f aca="false">IFERROR(R296/AG296*60,"")</f>
        <v>236.082474226804</v>
      </c>
      <c r="AJ296" s="30" t="n">
        <f aca="false">IFERROR(AI296/Q296,"")</f>
        <v>0.868914662084765</v>
      </c>
      <c r="AK296" s="31" t="n">
        <f aca="false">IFERROR(R296/(T296/60*Q296),"")</f>
        <v>0.781620298815044</v>
      </c>
      <c r="AL296" s="26" t="n">
        <v>6</v>
      </c>
      <c r="AM296" s="26" t="n">
        <v>1</v>
      </c>
      <c r="AN296" s="26" t="n">
        <v>4</v>
      </c>
      <c r="AO296" s="26" t="n">
        <v>5</v>
      </c>
      <c r="AP296" s="26" t="n">
        <v>3</v>
      </c>
      <c r="AQ296" s="26" t="n">
        <v>4</v>
      </c>
      <c r="AR296" s="26" t="n">
        <v>4</v>
      </c>
      <c r="AS296" s="26" t="n">
        <v>2</v>
      </c>
      <c r="AT296" s="26" t="n">
        <v>3</v>
      </c>
      <c r="AU296" s="26" t="n">
        <v>6</v>
      </c>
      <c r="AV296" s="26" t="n">
        <f aca="false">SUM(AL296:AU296)</f>
        <v>38</v>
      </c>
      <c r="AW296" s="32" t="n">
        <f aca="false">IFERROR(AV296/R296*1000000,"")</f>
        <v>16593.8864628821</v>
      </c>
      <c r="AX296" s="33" t="n">
        <f aca="false">IFERROR((R296-AV296)/R296,"")</f>
        <v>0.983406113537118</v>
      </c>
      <c r="AY296" s="34" t="n">
        <f aca="false">IFERROR(AH296*AJ296*AX296,"")</f>
        <v>0.768650180319423</v>
      </c>
      <c r="AZ296" s="35" t="s">
        <v>78</v>
      </c>
    </row>
    <row r="297" customFormat="false" ht="12.75" hidden="false" customHeight="true" outlineLevel="0" collapsed="false">
      <c r="A297" s="24" t="n">
        <v>293</v>
      </c>
      <c r="B297" s="25" t="n">
        <v>46120</v>
      </c>
      <c r="C297" s="25" t="n">
        <v>12</v>
      </c>
      <c r="D297" s="26" t="s">
        <v>79</v>
      </c>
      <c r="E297" s="26" t="s">
        <v>97</v>
      </c>
      <c r="F297" s="26" t="s">
        <v>73</v>
      </c>
      <c r="G297" s="26" t="s">
        <v>12</v>
      </c>
      <c r="H297" s="27" t="n">
        <v>0.354166666666667</v>
      </c>
      <c r="I297" s="27" t="n">
        <v>0.854166666666667</v>
      </c>
      <c r="J297" s="26" t="n">
        <f aca="false">IFERROR((I297-H297)*24*60,"")</f>
        <v>720</v>
      </c>
      <c r="K297" s="26" t="s">
        <v>105</v>
      </c>
      <c r="L297" s="26" t="s">
        <v>83</v>
      </c>
      <c r="M297" s="26" t="s">
        <v>99</v>
      </c>
      <c r="N297" s="26" t="s">
        <v>100</v>
      </c>
      <c r="O297" s="26" t="n">
        <v>2</v>
      </c>
      <c r="P297" s="26" t="n">
        <v>66</v>
      </c>
      <c r="Q297" s="26" t="n">
        <f aca="false">IFERROR(3600/(P297/O297),"")</f>
        <v>109.090909090909</v>
      </c>
      <c r="R297" s="26" t="n">
        <v>889</v>
      </c>
      <c r="S297" s="26" t="n">
        <v>50</v>
      </c>
      <c r="T297" s="26" t="n">
        <f aca="false">IFERROR(J297-S297,"")</f>
        <v>670</v>
      </c>
      <c r="U297" s="26"/>
      <c r="V297" s="26"/>
      <c r="W297" s="26"/>
      <c r="X297" s="26" t="n">
        <v>11</v>
      </c>
      <c r="Y297" s="26"/>
      <c r="Z297" s="26"/>
      <c r="AA297" s="26" t="n">
        <v>8</v>
      </c>
      <c r="AB297" s="26"/>
      <c r="AC297" s="26"/>
      <c r="AD297" s="26"/>
      <c r="AE297" s="26"/>
      <c r="AF297" s="26" t="n">
        <f aca="false">SUM(U297:AE297)</f>
        <v>19</v>
      </c>
      <c r="AG297" s="26" t="n">
        <f aca="false">T297-AF297</f>
        <v>651</v>
      </c>
      <c r="AH297" s="28" t="n">
        <f aca="false">IFERROR(AG297/T297,"")</f>
        <v>0.971641791044776</v>
      </c>
      <c r="AI297" s="29" t="n">
        <f aca="false">IFERROR(R297/AG297*60,"")</f>
        <v>81.9354838709677</v>
      </c>
      <c r="AJ297" s="30" t="n">
        <f aca="false">IFERROR(AI297/Q297,"")</f>
        <v>0.751075268817204</v>
      </c>
      <c r="AK297" s="31" t="n">
        <f aca="false">IFERROR(R297/(T297/60*Q297),"")</f>
        <v>0.729776119402985</v>
      </c>
      <c r="AL297" s="26" t="n">
        <v>3</v>
      </c>
      <c r="AM297" s="26" t="n">
        <v>2</v>
      </c>
      <c r="AN297" s="26" t="n">
        <v>1</v>
      </c>
      <c r="AO297" s="26" t="n">
        <v>4</v>
      </c>
      <c r="AP297" s="26"/>
      <c r="AQ297" s="26" t="n">
        <v>1</v>
      </c>
      <c r="AR297" s="26" t="n">
        <v>4</v>
      </c>
      <c r="AS297" s="26" t="n">
        <v>4</v>
      </c>
      <c r="AT297" s="26"/>
      <c r="AU297" s="26" t="n">
        <v>1</v>
      </c>
      <c r="AV297" s="26" t="n">
        <f aca="false">SUM(AL297:AU297)</f>
        <v>20</v>
      </c>
      <c r="AW297" s="32" t="n">
        <f aca="false">IFERROR(AV297/R297*1000000,"")</f>
        <v>22497.1878515186</v>
      </c>
      <c r="AX297" s="33" t="n">
        <f aca="false">IFERROR((R297-AV297)/R297,"")</f>
        <v>0.977502812148481</v>
      </c>
      <c r="AY297" s="34" t="n">
        <f aca="false">IFERROR(AH297*AJ297*AX297,"")</f>
        <v>0.713358208955224</v>
      </c>
      <c r="AZ297" s="35" t="s">
        <v>78</v>
      </c>
    </row>
    <row r="298" customFormat="false" ht="12.75" hidden="false" customHeight="true" outlineLevel="0" collapsed="false">
      <c r="A298" s="24" t="n">
        <v>294</v>
      </c>
      <c r="B298" s="25" t="n">
        <v>46120</v>
      </c>
      <c r="C298" s="25" t="n">
        <v>12</v>
      </c>
      <c r="D298" s="26" t="s">
        <v>87</v>
      </c>
      <c r="E298" s="26" t="s">
        <v>101</v>
      </c>
      <c r="F298" s="26" t="s">
        <v>81</v>
      </c>
      <c r="G298" s="26" t="s">
        <v>13</v>
      </c>
      <c r="H298" s="27" t="n">
        <v>0.354166666666667</v>
      </c>
      <c r="I298" s="27" t="n">
        <v>0.854166666666667</v>
      </c>
      <c r="J298" s="26" t="n">
        <f aca="false">IFERROR((I298-H298)*24*60,"")</f>
        <v>720</v>
      </c>
      <c r="K298" s="26" t="s">
        <v>105</v>
      </c>
      <c r="L298" s="26" t="s">
        <v>108</v>
      </c>
      <c r="M298" s="26" t="s">
        <v>103</v>
      </c>
      <c r="N298" s="26" t="s">
        <v>104</v>
      </c>
      <c r="O298" s="26" t="n">
        <v>1</v>
      </c>
      <c r="P298" s="26" t="n">
        <v>55</v>
      </c>
      <c r="Q298" s="26" t="n">
        <f aca="false">IFERROR(3600/(P298/O298),"")</f>
        <v>65.4545454545455</v>
      </c>
      <c r="R298" s="26" t="n">
        <v>677</v>
      </c>
      <c r="S298" s="26" t="n">
        <v>40</v>
      </c>
      <c r="T298" s="26" t="n">
        <f aca="false">IFERROR(J298-S298,"")</f>
        <v>680</v>
      </c>
      <c r="U298" s="26"/>
      <c r="V298" s="26"/>
      <c r="W298" s="26"/>
      <c r="X298" s="26" t="n">
        <v>6</v>
      </c>
      <c r="Y298" s="26"/>
      <c r="Z298" s="26"/>
      <c r="AA298" s="26" t="n">
        <v>13</v>
      </c>
      <c r="AB298" s="26"/>
      <c r="AC298" s="26"/>
      <c r="AD298" s="26"/>
      <c r="AE298" s="26"/>
      <c r="AF298" s="26" t="n">
        <f aca="false">SUM(U298:AE298)</f>
        <v>19</v>
      </c>
      <c r="AG298" s="26" t="n">
        <f aca="false">T298-AF298</f>
        <v>661</v>
      </c>
      <c r="AH298" s="28" t="n">
        <f aca="false">IFERROR(AG298/T298,"")</f>
        <v>0.972058823529412</v>
      </c>
      <c r="AI298" s="29" t="n">
        <f aca="false">IFERROR(R298/AG298*60,"")</f>
        <v>61.4523449319213</v>
      </c>
      <c r="AJ298" s="30" t="n">
        <f aca="false">IFERROR(AI298/Q298,"")</f>
        <v>0.938855269793243</v>
      </c>
      <c r="AK298" s="31" t="n">
        <f aca="false">IFERROR(R298/(T298/60*Q298),"")</f>
        <v>0.912622549019608</v>
      </c>
      <c r="AL298" s="26" t="n">
        <v>2</v>
      </c>
      <c r="AM298" s="26" t="n">
        <v>2</v>
      </c>
      <c r="AN298" s="26"/>
      <c r="AO298" s="26"/>
      <c r="AP298" s="26" t="n">
        <v>2</v>
      </c>
      <c r="AQ298" s="26" t="n">
        <v>3</v>
      </c>
      <c r="AR298" s="26" t="n">
        <v>3</v>
      </c>
      <c r="AS298" s="26" t="n">
        <v>2</v>
      </c>
      <c r="AT298" s="26" t="n">
        <v>2</v>
      </c>
      <c r="AU298" s="26"/>
      <c r="AV298" s="26" t="n">
        <f aca="false">SUM(AL298:AU298)</f>
        <v>16</v>
      </c>
      <c r="AW298" s="32" t="n">
        <f aca="false">IFERROR(AV298/R298*1000000,"")</f>
        <v>23633.6779911374</v>
      </c>
      <c r="AX298" s="33" t="n">
        <f aca="false">IFERROR((R298-AV298)/R298,"")</f>
        <v>0.976366322008863</v>
      </c>
      <c r="AY298" s="34" t="n">
        <f aca="false">IFERROR(AH298*AJ298*AX298,"")</f>
        <v>0.891053921568628</v>
      </c>
      <c r="AZ298" s="35" t="s">
        <v>93</v>
      </c>
    </row>
    <row r="299" customFormat="false" ht="12.75" hidden="false" customHeight="true" outlineLevel="0" collapsed="false">
      <c r="A299" s="24" t="n">
        <v>295</v>
      </c>
      <c r="B299" s="25" t="n">
        <v>46121</v>
      </c>
      <c r="C299" s="25" t="n">
        <v>12</v>
      </c>
      <c r="D299" s="26" t="s">
        <v>71</v>
      </c>
      <c r="E299" s="26" t="s">
        <v>72</v>
      </c>
      <c r="F299" s="26" t="s">
        <v>73</v>
      </c>
      <c r="G299" s="26" t="s">
        <v>8</v>
      </c>
      <c r="H299" s="27" t="n">
        <v>0.354166666666667</v>
      </c>
      <c r="I299" s="27" t="n">
        <v>0.854166666666667</v>
      </c>
      <c r="J299" s="26" t="n">
        <f aca="false">IFERROR((I299-H299)*24*60,"")</f>
        <v>720</v>
      </c>
      <c r="K299" s="26" t="s">
        <v>89</v>
      </c>
      <c r="L299" s="26" t="s">
        <v>75</v>
      </c>
      <c r="M299" s="26" t="s">
        <v>76</v>
      </c>
      <c r="N299" s="26" t="s">
        <v>77</v>
      </c>
      <c r="O299" s="26" t="n">
        <v>8</v>
      </c>
      <c r="P299" s="26" t="n">
        <v>54</v>
      </c>
      <c r="Q299" s="26" t="n">
        <f aca="false">IFERROR(3600/(P299/O299),"")</f>
        <v>533.333333333333</v>
      </c>
      <c r="R299" s="26" t="n">
        <v>4228</v>
      </c>
      <c r="S299" s="26" t="n">
        <v>44</v>
      </c>
      <c r="T299" s="26" t="n">
        <f aca="false">IFERROR(J299-S299,"")</f>
        <v>676</v>
      </c>
      <c r="U299" s="26" t="n">
        <v>8</v>
      </c>
      <c r="V299" s="26"/>
      <c r="W299" s="26"/>
      <c r="X299" s="26" t="n">
        <v>4</v>
      </c>
      <c r="Y299" s="26"/>
      <c r="Z299" s="26"/>
      <c r="AA299" s="26"/>
      <c r="AB299" s="26"/>
      <c r="AC299" s="26"/>
      <c r="AD299" s="26"/>
      <c r="AE299" s="26"/>
      <c r="AF299" s="26" t="n">
        <f aca="false">SUM(U299:AE299)</f>
        <v>12</v>
      </c>
      <c r="AG299" s="26" t="n">
        <f aca="false">T299-AF299</f>
        <v>664</v>
      </c>
      <c r="AH299" s="28" t="n">
        <f aca="false">IFERROR(AG299/T299,"")</f>
        <v>0.982248520710059</v>
      </c>
      <c r="AI299" s="29" t="n">
        <f aca="false">IFERROR(R299/AG299*60,"")</f>
        <v>382.048192771084</v>
      </c>
      <c r="AJ299" s="30" t="n">
        <f aca="false">IFERROR(AI299/Q299,"")</f>
        <v>0.716340361445783</v>
      </c>
      <c r="AK299" s="31" t="n">
        <f aca="false">IFERROR(R299/(T299/60*Q299),"")</f>
        <v>0.70362426035503</v>
      </c>
      <c r="AL299" s="26" t="n">
        <v>4</v>
      </c>
      <c r="AM299" s="26" t="n">
        <v>1</v>
      </c>
      <c r="AN299" s="26" t="n">
        <v>9</v>
      </c>
      <c r="AO299" s="26" t="n">
        <v>1</v>
      </c>
      <c r="AP299" s="26" t="n">
        <v>1</v>
      </c>
      <c r="AQ299" s="26" t="n">
        <v>2</v>
      </c>
      <c r="AR299" s="26" t="n">
        <v>2</v>
      </c>
      <c r="AS299" s="26" t="n">
        <v>1</v>
      </c>
      <c r="AT299" s="26" t="n">
        <v>2</v>
      </c>
      <c r="AU299" s="26" t="n">
        <v>2</v>
      </c>
      <c r="AV299" s="26" t="n">
        <f aca="false">SUM(AL299:AU299)</f>
        <v>25</v>
      </c>
      <c r="AW299" s="32" t="n">
        <f aca="false">IFERROR(AV299/R299*1000000,"")</f>
        <v>5912.96121097446</v>
      </c>
      <c r="AX299" s="33" t="n">
        <f aca="false">IFERROR((R299-AV299)/R299,"")</f>
        <v>0.994087038789026</v>
      </c>
      <c r="AY299" s="34" t="n">
        <f aca="false">IFERROR(AH299*AJ299*AX299,"")</f>
        <v>0.69946375739645</v>
      </c>
      <c r="AZ299" s="35" t="s">
        <v>93</v>
      </c>
    </row>
    <row r="300" customFormat="false" ht="12.75" hidden="false" customHeight="true" outlineLevel="0" collapsed="false">
      <c r="A300" s="24" t="n">
        <v>296</v>
      </c>
      <c r="B300" s="25" t="n">
        <v>46121</v>
      </c>
      <c r="C300" s="25" t="n">
        <v>12</v>
      </c>
      <c r="D300" s="26" t="s">
        <v>79</v>
      </c>
      <c r="E300" s="26" t="s">
        <v>80</v>
      </c>
      <c r="F300" s="26" t="s">
        <v>81</v>
      </c>
      <c r="G300" s="26" t="s">
        <v>9</v>
      </c>
      <c r="H300" s="27" t="n">
        <v>0.354166666666667</v>
      </c>
      <c r="I300" s="27" t="n">
        <v>0.854166666666667</v>
      </c>
      <c r="J300" s="26" t="n">
        <f aca="false">IFERROR((I300-H300)*24*60,"")</f>
        <v>720</v>
      </c>
      <c r="K300" s="26" t="s">
        <v>74</v>
      </c>
      <c r="L300" s="26" t="s">
        <v>83</v>
      </c>
      <c r="M300" s="26" t="s">
        <v>84</v>
      </c>
      <c r="N300" s="26" t="s">
        <v>85</v>
      </c>
      <c r="O300" s="26" t="n">
        <v>4</v>
      </c>
      <c r="P300" s="26" t="n">
        <v>63</v>
      </c>
      <c r="Q300" s="26" t="n">
        <f aca="false">IFERROR(3600/(P300/O300),"")</f>
        <v>228.571428571429</v>
      </c>
      <c r="R300" s="26" t="n">
        <v>1913</v>
      </c>
      <c r="S300" s="26" t="n">
        <v>55</v>
      </c>
      <c r="T300" s="26" t="n">
        <f aca="false">IFERROR(J300-S300,"")</f>
        <v>665</v>
      </c>
      <c r="U300" s="26" t="n">
        <v>13</v>
      </c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 t="n">
        <f aca="false">SUM(U300:AE300)</f>
        <v>13</v>
      </c>
      <c r="AG300" s="26" t="n">
        <f aca="false">T300-AF300</f>
        <v>652</v>
      </c>
      <c r="AH300" s="28" t="n">
        <f aca="false">IFERROR(AG300/T300,"")</f>
        <v>0.980451127819549</v>
      </c>
      <c r="AI300" s="29" t="n">
        <f aca="false">IFERROR(R300/AG300*60,"")</f>
        <v>176.042944785276</v>
      </c>
      <c r="AJ300" s="30" t="n">
        <f aca="false">IFERROR(AI300/Q300,"")</f>
        <v>0.770187883435583</v>
      </c>
      <c r="AK300" s="31" t="n">
        <f aca="false">IFERROR(R300/(T300/60*Q300),"")</f>
        <v>0.755131578947368</v>
      </c>
      <c r="AL300" s="26" t="n">
        <v>4</v>
      </c>
      <c r="AM300" s="26" t="n">
        <v>5</v>
      </c>
      <c r="AN300" s="26" t="n">
        <v>6</v>
      </c>
      <c r="AO300" s="26" t="n">
        <v>3</v>
      </c>
      <c r="AP300" s="26" t="n">
        <v>2</v>
      </c>
      <c r="AQ300" s="26" t="n">
        <v>3</v>
      </c>
      <c r="AR300" s="26" t="n">
        <v>4</v>
      </c>
      <c r="AS300" s="26" t="n">
        <v>7</v>
      </c>
      <c r="AT300" s="26" t="n">
        <v>4</v>
      </c>
      <c r="AU300" s="26" t="n">
        <v>4</v>
      </c>
      <c r="AV300" s="26" t="n">
        <f aca="false">SUM(AL300:AU300)</f>
        <v>42</v>
      </c>
      <c r="AW300" s="32" t="n">
        <f aca="false">IFERROR(AV300/R300*1000000,"")</f>
        <v>21955.044432828</v>
      </c>
      <c r="AX300" s="33" t="n">
        <f aca="false">IFERROR((R300-AV300)/R300,"")</f>
        <v>0.978044955567172</v>
      </c>
      <c r="AY300" s="34" t="n">
        <f aca="false">IFERROR(AH300*AJ300*AX300,"")</f>
        <v>0.738552631578947</v>
      </c>
      <c r="AZ300" s="35" t="s">
        <v>86</v>
      </c>
    </row>
    <row r="301" customFormat="false" ht="12.75" hidden="false" customHeight="true" outlineLevel="0" collapsed="false">
      <c r="A301" s="24" t="n">
        <v>297</v>
      </c>
      <c r="B301" s="25" t="n">
        <v>46121</v>
      </c>
      <c r="C301" s="25" t="n">
        <v>12</v>
      </c>
      <c r="D301" s="26" t="s">
        <v>87</v>
      </c>
      <c r="E301" s="26" t="s">
        <v>88</v>
      </c>
      <c r="F301" s="26" t="s">
        <v>73</v>
      </c>
      <c r="G301" s="26" t="s">
        <v>10</v>
      </c>
      <c r="H301" s="27" t="n">
        <v>0.354166666666667</v>
      </c>
      <c r="I301" s="27" t="n">
        <v>0.854166666666667</v>
      </c>
      <c r="J301" s="26" t="n">
        <f aca="false">IFERROR((I301-H301)*24*60,"")</f>
        <v>720</v>
      </c>
      <c r="K301" s="26" t="s">
        <v>74</v>
      </c>
      <c r="L301" s="26" t="s">
        <v>106</v>
      </c>
      <c r="M301" s="26" t="s">
        <v>91</v>
      </c>
      <c r="N301" s="26" t="s">
        <v>92</v>
      </c>
      <c r="O301" s="26" t="n">
        <v>1</v>
      </c>
      <c r="P301" s="26" t="n">
        <v>69</v>
      </c>
      <c r="Q301" s="26" t="n">
        <f aca="false">IFERROR(3600/(P301/O301),"")</f>
        <v>52.1739130434783</v>
      </c>
      <c r="R301" s="26" t="n">
        <v>465</v>
      </c>
      <c r="S301" s="26" t="n">
        <v>72</v>
      </c>
      <c r="T301" s="26" t="n">
        <f aca="false">IFERROR(J301-S301,"")</f>
        <v>648</v>
      </c>
      <c r="U301" s="26"/>
      <c r="V301" s="26"/>
      <c r="W301" s="26" t="n">
        <v>12</v>
      </c>
      <c r="X301" s="26" t="n">
        <v>4</v>
      </c>
      <c r="Y301" s="26" t="n">
        <v>4</v>
      </c>
      <c r="Z301" s="26"/>
      <c r="AA301" s="26"/>
      <c r="AB301" s="26"/>
      <c r="AC301" s="26"/>
      <c r="AD301" s="26"/>
      <c r="AE301" s="26"/>
      <c r="AF301" s="26" t="n">
        <f aca="false">SUM(U301:AE301)</f>
        <v>20</v>
      </c>
      <c r="AG301" s="26" t="n">
        <f aca="false">T301-AF301</f>
        <v>628</v>
      </c>
      <c r="AH301" s="28" t="n">
        <f aca="false">IFERROR(AG301/T301,"")</f>
        <v>0.969135802469136</v>
      </c>
      <c r="AI301" s="29" t="n">
        <f aca="false">IFERROR(R301/AG301*60,"")</f>
        <v>44.4267515923567</v>
      </c>
      <c r="AJ301" s="30" t="n">
        <f aca="false">IFERROR(AI301/Q301,"")</f>
        <v>0.851512738853503</v>
      </c>
      <c r="AK301" s="31" t="n">
        <f aca="false">IFERROR(R301/(T301/60*Q301),"")</f>
        <v>0.825231481481481</v>
      </c>
      <c r="AL301" s="26"/>
      <c r="AM301" s="26"/>
      <c r="AN301" s="26"/>
      <c r="AO301" s="26"/>
      <c r="AP301" s="26" t="n">
        <v>2</v>
      </c>
      <c r="AQ301" s="26" t="n">
        <v>1</v>
      </c>
      <c r="AR301" s="26"/>
      <c r="AS301" s="26" t="n">
        <v>1</v>
      </c>
      <c r="AT301" s="26" t="n">
        <v>2</v>
      </c>
      <c r="AU301" s="26" t="n">
        <v>2</v>
      </c>
      <c r="AV301" s="26" t="n">
        <f aca="false">SUM(AL301:AU301)</f>
        <v>8</v>
      </c>
      <c r="AW301" s="32" t="n">
        <f aca="false">IFERROR(AV301/R301*1000000,"")</f>
        <v>17204.3010752688</v>
      </c>
      <c r="AX301" s="33" t="n">
        <f aca="false">IFERROR((R301-AV301)/R301,"")</f>
        <v>0.982795698924731</v>
      </c>
      <c r="AY301" s="34" t="n">
        <f aca="false">IFERROR(AH301*AJ301*AX301,"")</f>
        <v>0.811033950617284</v>
      </c>
      <c r="AZ301" s="35"/>
    </row>
    <row r="302" customFormat="false" ht="12.75" hidden="false" customHeight="true" outlineLevel="0" collapsed="false">
      <c r="A302" s="24" t="n">
        <v>298</v>
      </c>
      <c r="B302" s="25" t="n">
        <v>46122</v>
      </c>
      <c r="C302" s="25" t="n">
        <v>12</v>
      </c>
      <c r="D302" s="26" t="s">
        <v>71</v>
      </c>
      <c r="E302" s="26" t="s">
        <v>94</v>
      </c>
      <c r="F302" s="26" t="s">
        <v>81</v>
      </c>
      <c r="G302" s="26" t="s">
        <v>11</v>
      </c>
      <c r="H302" s="27" t="n">
        <v>0.354166666666667</v>
      </c>
      <c r="I302" s="27" t="n">
        <v>0.854166666666667</v>
      </c>
      <c r="J302" s="26" t="n">
        <f aca="false">IFERROR((I302-H302)*24*60,"")</f>
        <v>720</v>
      </c>
      <c r="K302" s="26" t="s">
        <v>74</v>
      </c>
      <c r="L302" s="26" t="s">
        <v>83</v>
      </c>
      <c r="M302" s="26" t="s">
        <v>95</v>
      </c>
      <c r="N302" s="26" t="s">
        <v>96</v>
      </c>
      <c r="O302" s="26" t="n">
        <v>1</v>
      </c>
      <c r="P302" s="26" t="n">
        <v>71</v>
      </c>
      <c r="Q302" s="26" t="n">
        <f aca="false">IFERROR(3600/(P302/O302),"")</f>
        <v>50.7042253521127</v>
      </c>
      <c r="R302" s="26" t="n">
        <v>550</v>
      </c>
      <c r="S302" s="26" t="n">
        <v>53</v>
      </c>
      <c r="T302" s="26" t="n">
        <f aca="false">IFERROR(J302-S302,"")</f>
        <v>667</v>
      </c>
      <c r="U302" s="26" t="n">
        <v>13</v>
      </c>
      <c r="V302" s="26"/>
      <c r="W302" s="26" t="n">
        <v>4</v>
      </c>
      <c r="X302" s="26"/>
      <c r="Y302" s="26"/>
      <c r="Z302" s="26"/>
      <c r="AA302" s="26"/>
      <c r="AB302" s="26"/>
      <c r="AC302" s="26"/>
      <c r="AD302" s="26"/>
      <c r="AE302" s="26"/>
      <c r="AF302" s="26" t="n">
        <f aca="false">SUM(U302:AE302)</f>
        <v>17</v>
      </c>
      <c r="AG302" s="26" t="n">
        <f aca="false">T302-AF302</f>
        <v>650</v>
      </c>
      <c r="AH302" s="28" t="n">
        <f aca="false">IFERROR(AG302/T302,"")</f>
        <v>0.974512743628186</v>
      </c>
      <c r="AI302" s="29" t="n">
        <f aca="false">IFERROR(R302/AG302*60,"")</f>
        <v>50.7692307692308</v>
      </c>
      <c r="AJ302" s="30" t="n">
        <f aca="false">IFERROR(AI302/Q302,"")</f>
        <v>1.00128205128205</v>
      </c>
      <c r="AK302" s="31" t="n">
        <f aca="false">IFERROR(R302/(T302/60*Q302),"")</f>
        <v>0.97576211894053</v>
      </c>
      <c r="AL302" s="26" t="n">
        <v>1</v>
      </c>
      <c r="AM302" s="26"/>
      <c r="AN302" s="26"/>
      <c r="AO302" s="26"/>
      <c r="AP302" s="26"/>
      <c r="AQ302" s="26"/>
      <c r="AR302" s="26"/>
      <c r="AS302" s="26"/>
      <c r="AT302" s="26"/>
      <c r="AU302" s="26"/>
      <c r="AV302" s="26" t="n">
        <f aca="false">SUM(AL302:AU302)</f>
        <v>1</v>
      </c>
      <c r="AW302" s="32" t="n">
        <f aca="false">IFERROR(AV302/R302*1000000,"")</f>
        <v>1818.18181818182</v>
      </c>
      <c r="AX302" s="33" t="n">
        <f aca="false">IFERROR((R302-AV302)/R302,"")</f>
        <v>0.998181818181818</v>
      </c>
      <c r="AY302" s="34" t="n">
        <f aca="false">IFERROR(AH302*AJ302*AX302,"")</f>
        <v>0.973988005997001</v>
      </c>
      <c r="AZ302" s="35"/>
    </row>
    <row r="303" customFormat="false" ht="12.75" hidden="false" customHeight="true" outlineLevel="0" collapsed="false">
      <c r="A303" s="24" t="n">
        <v>299</v>
      </c>
      <c r="B303" s="25" t="n">
        <v>46122</v>
      </c>
      <c r="C303" s="25" t="n">
        <v>12</v>
      </c>
      <c r="D303" s="26" t="s">
        <v>79</v>
      </c>
      <c r="E303" s="26" t="s">
        <v>97</v>
      </c>
      <c r="F303" s="26" t="s">
        <v>73</v>
      </c>
      <c r="G303" s="26" t="s">
        <v>12</v>
      </c>
      <c r="H303" s="27" t="n">
        <v>0.354166666666667</v>
      </c>
      <c r="I303" s="27" t="n">
        <v>0.854166666666667</v>
      </c>
      <c r="J303" s="26" t="n">
        <f aca="false">IFERROR((I303-H303)*24*60,"")</f>
        <v>720</v>
      </c>
      <c r="K303" s="26" t="s">
        <v>105</v>
      </c>
      <c r="L303" s="26" t="s">
        <v>83</v>
      </c>
      <c r="M303" s="26" t="s">
        <v>99</v>
      </c>
      <c r="N303" s="26" t="s">
        <v>100</v>
      </c>
      <c r="O303" s="26" t="n">
        <v>8</v>
      </c>
      <c r="P303" s="26" t="n">
        <v>54</v>
      </c>
      <c r="Q303" s="26" t="n">
        <f aca="false">IFERROR(3600/(P303/O303),"")</f>
        <v>533.333333333333</v>
      </c>
      <c r="R303" s="26" t="n">
        <v>5875</v>
      </c>
      <c r="S303" s="26" t="n">
        <v>50</v>
      </c>
      <c r="T303" s="26" t="n">
        <f aca="false">IFERROR(J303-S303,"")</f>
        <v>670</v>
      </c>
      <c r="U303" s="26"/>
      <c r="V303" s="26"/>
      <c r="W303" s="26"/>
      <c r="X303" s="26"/>
      <c r="Y303" s="26"/>
      <c r="Z303" s="26"/>
      <c r="AA303" s="26"/>
      <c r="AB303" s="26"/>
      <c r="AC303" s="26"/>
      <c r="AD303" s="26" t="n">
        <v>5</v>
      </c>
      <c r="AE303" s="26"/>
      <c r="AF303" s="26" t="n">
        <f aca="false">SUM(U303:AE303)</f>
        <v>5</v>
      </c>
      <c r="AG303" s="26" t="n">
        <f aca="false">T303-AF303</f>
        <v>665</v>
      </c>
      <c r="AH303" s="28" t="n">
        <f aca="false">IFERROR(AG303/T303,"")</f>
        <v>0.992537313432836</v>
      </c>
      <c r="AI303" s="29" t="n">
        <f aca="false">IFERROR(R303/AG303*60,"")</f>
        <v>530.075187969925</v>
      </c>
      <c r="AJ303" s="30" t="n">
        <f aca="false">IFERROR(AI303/Q303,"")</f>
        <v>0.993890977443609</v>
      </c>
      <c r="AK303" s="31" t="n">
        <f aca="false">IFERROR(R303/(T303/60*Q303),"")</f>
        <v>0.986473880597015</v>
      </c>
      <c r="AL303" s="26" t="n">
        <v>3</v>
      </c>
      <c r="AM303" s="26" t="n">
        <v>7</v>
      </c>
      <c r="AN303" s="26" t="n">
        <v>8</v>
      </c>
      <c r="AO303" s="26" t="n">
        <v>6</v>
      </c>
      <c r="AP303" s="26" t="n">
        <v>6</v>
      </c>
      <c r="AQ303" s="26" t="n">
        <v>9</v>
      </c>
      <c r="AR303" s="26" t="n">
        <v>3</v>
      </c>
      <c r="AS303" s="26" t="n">
        <v>6</v>
      </c>
      <c r="AT303" s="26" t="n">
        <v>15</v>
      </c>
      <c r="AU303" s="26" t="n">
        <v>3</v>
      </c>
      <c r="AV303" s="26" t="n">
        <f aca="false">SUM(AL303:AU303)</f>
        <v>66</v>
      </c>
      <c r="AW303" s="32" t="n">
        <f aca="false">IFERROR(AV303/R303*1000000,"")</f>
        <v>11234.0425531915</v>
      </c>
      <c r="AX303" s="33" t="n">
        <f aca="false">IFERROR((R303-AV303)/R303,"")</f>
        <v>0.988765957446809</v>
      </c>
      <c r="AY303" s="34" t="n">
        <f aca="false">IFERROR(AH303*AJ303*AX303,"")</f>
        <v>0.975391791044776</v>
      </c>
      <c r="AZ303" s="35" t="s">
        <v>86</v>
      </c>
    </row>
    <row r="304" customFormat="false" ht="12.75" hidden="false" customHeight="true" outlineLevel="0" collapsed="false">
      <c r="A304" s="24" t="n">
        <v>300</v>
      </c>
      <c r="B304" s="25" t="n">
        <v>46122</v>
      </c>
      <c r="C304" s="25" t="n">
        <v>12</v>
      </c>
      <c r="D304" s="26" t="s">
        <v>87</v>
      </c>
      <c r="E304" s="26" t="s">
        <v>101</v>
      </c>
      <c r="F304" s="26" t="s">
        <v>81</v>
      </c>
      <c r="G304" s="26" t="s">
        <v>13</v>
      </c>
      <c r="H304" s="27" t="n">
        <v>0.354166666666667</v>
      </c>
      <c r="I304" s="27" t="n">
        <v>0.854166666666667</v>
      </c>
      <c r="J304" s="26" t="n">
        <f aca="false">IFERROR((I304-H304)*24*60,"")</f>
        <v>720</v>
      </c>
      <c r="K304" s="26" t="s">
        <v>82</v>
      </c>
      <c r="L304" s="26" t="s">
        <v>102</v>
      </c>
      <c r="M304" s="26" t="s">
        <v>103</v>
      </c>
      <c r="N304" s="26" t="s">
        <v>104</v>
      </c>
      <c r="O304" s="26" t="n">
        <v>8</v>
      </c>
      <c r="P304" s="26" t="n">
        <v>36</v>
      </c>
      <c r="Q304" s="26" t="n">
        <f aca="false">IFERROR(3600/(P304/O304),"")</f>
        <v>800</v>
      </c>
      <c r="R304" s="26" t="n">
        <v>6668</v>
      </c>
      <c r="S304" s="26" t="n">
        <v>75</v>
      </c>
      <c r="T304" s="26" t="n">
        <f aca="false">IFERROR(J304-S304,"")</f>
        <v>645</v>
      </c>
      <c r="U304" s="26"/>
      <c r="V304" s="26"/>
      <c r="W304" s="26"/>
      <c r="X304" s="26"/>
      <c r="Y304" s="26"/>
      <c r="Z304" s="26"/>
      <c r="AA304" s="26" t="n">
        <v>18</v>
      </c>
      <c r="AB304" s="26"/>
      <c r="AC304" s="26"/>
      <c r="AD304" s="26"/>
      <c r="AE304" s="26"/>
      <c r="AF304" s="26" t="n">
        <f aca="false">SUM(U304:AE304)</f>
        <v>18</v>
      </c>
      <c r="AG304" s="26" t="n">
        <f aca="false">T304-AF304</f>
        <v>627</v>
      </c>
      <c r="AH304" s="28" t="n">
        <f aca="false">IFERROR(AG304/T304,"")</f>
        <v>0.972093023255814</v>
      </c>
      <c r="AI304" s="29" t="n">
        <f aca="false">IFERROR(R304/AG304*60,"")</f>
        <v>638.086124401914</v>
      </c>
      <c r="AJ304" s="30" t="n">
        <f aca="false">IFERROR(AI304/Q304,"")</f>
        <v>0.797607655502392</v>
      </c>
      <c r="AK304" s="31" t="n">
        <f aca="false">IFERROR(R304/(T304/60*Q304),"")</f>
        <v>0.775348837209302</v>
      </c>
      <c r="AL304" s="26" t="n">
        <v>12</v>
      </c>
      <c r="AM304" s="26" t="n">
        <v>20</v>
      </c>
      <c r="AN304" s="26" t="n">
        <v>11</v>
      </c>
      <c r="AO304" s="26" t="n">
        <v>14</v>
      </c>
      <c r="AP304" s="26" t="n">
        <v>17</v>
      </c>
      <c r="AQ304" s="26" t="n">
        <v>13</v>
      </c>
      <c r="AR304" s="26" t="n">
        <v>18</v>
      </c>
      <c r="AS304" s="26" t="n">
        <v>15</v>
      </c>
      <c r="AT304" s="26" t="n">
        <v>9</v>
      </c>
      <c r="AU304" s="26" t="n">
        <v>21</v>
      </c>
      <c r="AV304" s="26" t="n">
        <f aca="false">SUM(AL304:AU304)</f>
        <v>150</v>
      </c>
      <c r="AW304" s="32" t="n">
        <f aca="false">IFERROR(AV304/R304*1000000,"")</f>
        <v>22495.50089982</v>
      </c>
      <c r="AX304" s="33" t="n">
        <f aca="false">IFERROR((R304-AV304)/R304,"")</f>
        <v>0.97750449910018</v>
      </c>
      <c r="AY304" s="34" t="n">
        <f aca="false">IFERROR(AH304*AJ304*AX304,"")</f>
        <v>0.757906976744186</v>
      </c>
      <c r="AZ304" s="35" t="s">
        <v>78</v>
      </c>
    </row>
    <row r="305" customFormat="false" ht="12.75" hidden="false" customHeight="true" outlineLevel="0" collapsed="false">
      <c r="A305" s="24" t="n">
        <v>301</v>
      </c>
      <c r="B305" s="25" t="n">
        <v>46123</v>
      </c>
      <c r="C305" s="25" t="n">
        <v>12</v>
      </c>
      <c r="D305" s="26" t="s">
        <v>71</v>
      </c>
      <c r="E305" s="26" t="s">
        <v>72</v>
      </c>
      <c r="F305" s="26" t="s">
        <v>73</v>
      </c>
      <c r="G305" s="26" t="s">
        <v>8</v>
      </c>
      <c r="H305" s="27" t="n">
        <v>0.354166666666667</v>
      </c>
      <c r="I305" s="27" t="n">
        <v>0.854166666666667</v>
      </c>
      <c r="J305" s="26" t="n">
        <f aca="false">IFERROR((I305-H305)*24*60,"")</f>
        <v>720</v>
      </c>
      <c r="K305" s="26" t="s">
        <v>74</v>
      </c>
      <c r="L305" s="26" t="s">
        <v>108</v>
      </c>
      <c r="M305" s="26" t="s">
        <v>76</v>
      </c>
      <c r="N305" s="26" t="s">
        <v>77</v>
      </c>
      <c r="O305" s="26" t="n">
        <v>4</v>
      </c>
      <c r="P305" s="26" t="n">
        <v>73</v>
      </c>
      <c r="Q305" s="26" t="n">
        <f aca="false">IFERROR(3600/(P305/O305),"")</f>
        <v>197.260273972603</v>
      </c>
      <c r="R305" s="26" t="n">
        <v>1943</v>
      </c>
      <c r="S305" s="26" t="n">
        <v>50</v>
      </c>
      <c r="T305" s="26" t="n">
        <f aca="false">IFERROR(J305-S305,"")</f>
        <v>670</v>
      </c>
      <c r="U305" s="26"/>
      <c r="V305" s="26"/>
      <c r="W305" s="26"/>
      <c r="X305" s="26"/>
      <c r="Y305" s="26"/>
      <c r="Z305" s="26"/>
      <c r="AA305" s="26" t="n">
        <v>23</v>
      </c>
      <c r="AB305" s="26"/>
      <c r="AC305" s="26"/>
      <c r="AD305" s="26"/>
      <c r="AE305" s="26"/>
      <c r="AF305" s="26" t="n">
        <f aca="false">SUM(U305:AE305)</f>
        <v>23</v>
      </c>
      <c r="AG305" s="26" t="n">
        <f aca="false">T305-AF305</f>
        <v>647</v>
      </c>
      <c r="AH305" s="28" t="n">
        <f aca="false">IFERROR(AG305/T305,"")</f>
        <v>0.965671641791045</v>
      </c>
      <c r="AI305" s="29" t="n">
        <f aca="false">IFERROR(R305/AG305*60,"")</f>
        <v>180.185471406492</v>
      </c>
      <c r="AJ305" s="30" t="n">
        <f aca="false">IFERROR(AI305/Q305,"")</f>
        <v>0.913440236991242</v>
      </c>
      <c r="AK305" s="31" t="n">
        <f aca="false">IFERROR(R305/(T305/60*Q305),"")</f>
        <v>0.882083333333333</v>
      </c>
      <c r="AL305" s="26" t="n">
        <v>1</v>
      </c>
      <c r="AM305" s="26" t="n">
        <v>4</v>
      </c>
      <c r="AN305" s="26" t="n">
        <v>4</v>
      </c>
      <c r="AO305" s="26" t="n">
        <v>3</v>
      </c>
      <c r="AP305" s="26" t="n">
        <v>4</v>
      </c>
      <c r="AQ305" s="26" t="n">
        <v>8</v>
      </c>
      <c r="AR305" s="26" t="n">
        <v>2</v>
      </c>
      <c r="AS305" s="26" t="n">
        <v>4</v>
      </c>
      <c r="AT305" s="26" t="n">
        <v>4</v>
      </c>
      <c r="AU305" s="26" t="n">
        <v>3</v>
      </c>
      <c r="AV305" s="26" t="n">
        <f aca="false">SUM(AL305:AU305)</f>
        <v>37</v>
      </c>
      <c r="AW305" s="32" t="n">
        <f aca="false">IFERROR(AV305/R305*1000000,"")</f>
        <v>19042.7174472465</v>
      </c>
      <c r="AX305" s="33" t="n">
        <f aca="false">IFERROR((R305-AV305)/R305,"")</f>
        <v>0.980957282552754</v>
      </c>
      <c r="AY305" s="34" t="n">
        <f aca="false">IFERROR(AH305*AJ305*AX305,"")</f>
        <v>0.865286069651741</v>
      </c>
      <c r="AZ305" s="35" t="s">
        <v>78</v>
      </c>
    </row>
    <row r="306" customFormat="false" ht="12.75" hidden="false" customHeight="true" outlineLevel="0" collapsed="false">
      <c r="A306" s="24" t="n">
        <v>302</v>
      </c>
      <c r="B306" s="25" t="n">
        <v>46123</v>
      </c>
      <c r="C306" s="25" t="n">
        <v>12</v>
      </c>
      <c r="D306" s="26" t="s">
        <v>79</v>
      </c>
      <c r="E306" s="26" t="s">
        <v>80</v>
      </c>
      <c r="F306" s="26" t="s">
        <v>81</v>
      </c>
      <c r="G306" s="26" t="s">
        <v>9</v>
      </c>
      <c r="H306" s="27" t="n">
        <v>0.354166666666667</v>
      </c>
      <c r="I306" s="27" t="n">
        <v>0.854166666666667</v>
      </c>
      <c r="J306" s="26" t="n">
        <f aca="false">IFERROR((I306-H306)*24*60,"")</f>
        <v>720</v>
      </c>
      <c r="K306" s="26" t="s">
        <v>105</v>
      </c>
      <c r="L306" s="26" t="s">
        <v>106</v>
      </c>
      <c r="M306" s="26" t="s">
        <v>84</v>
      </c>
      <c r="N306" s="26" t="s">
        <v>85</v>
      </c>
      <c r="O306" s="26" t="n">
        <v>1</v>
      </c>
      <c r="P306" s="26" t="n">
        <v>69</v>
      </c>
      <c r="Q306" s="26" t="n">
        <f aca="false">IFERROR(3600/(P306/O306),"")</f>
        <v>52.1739130434783</v>
      </c>
      <c r="R306" s="26" t="n">
        <v>524</v>
      </c>
      <c r="S306" s="26" t="n">
        <v>42</v>
      </c>
      <c r="T306" s="26" t="n">
        <f aca="false">IFERROR(J306-S306,"")</f>
        <v>678</v>
      </c>
      <c r="U306" s="26"/>
      <c r="V306" s="26"/>
      <c r="W306" s="26"/>
      <c r="X306" s="26"/>
      <c r="Y306" s="26" t="n">
        <v>9</v>
      </c>
      <c r="Z306" s="26" t="n">
        <v>4</v>
      </c>
      <c r="AA306" s="26"/>
      <c r="AB306" s="26"/>
      <c r="AC306" s="26" t="n">
        <v>8</v>
      </c>
      <c r="AD306" s="26"/>
      <c r="AE306" s="26"/>
      <c r="AF306" s="26" t="n">
        <f aca="false">SUM(U306:AE306)</f>
        <v>21</v>
      </c>
      <c r="AG306" s="26" t="n">
        <f aca="false">T306-AF306</f>
        <v>657</v>
      </c>
      <c r="AH306" s="28" t="n">
        <f aca="false">IFERROR(AG306/T306,"")</f>
        <v>0.969026548672566</v>
      </c>
      <c r="AI306" s="29" t="n">
        <f aca="false">IFERROR(R306/AG306*60,"")</f>
        <v>47.8538812785388</v>
      </c>
      <c r="AJ306" s="30" t="n">
        <f aca="false">IFERROR(AI306/Q306,"")</f>
        <v>0.917199391171994</v>
      </c>
      <c r="AK306" s="31" t="n">
        <f aca="false">IFERROR(R306/(T306/60*Q306),"")</f>
        <v>0.888790560471976</v>
      </c>
      <c r="AL306" s="26"/>
      <c r="AM306" s="26" t="n">
        <v>1</v>
      </c>
      <c r="AN306" s="26" t="n">
        <v>1</v>
      </c>
      <c r="AO306" s="26"/>
      <c r="AP306" s="26" t="n">
        <v>1</v>
      </c>
      <c r="AQ306" s="26"/>
      <c r="AR306" s="26" t="n">
        <v>1</v>
      </c>
      <c r="AS306" s="26"/>
      <c r="AT306" s="26"/>
      <c r="AU306" s="26" t="n">
        <v>1</v>
      </c>
      <c r="AV306" s="26" t="n">
        <f aca="false">SUM(AL306:AU306)</f>
        <v>5</v>
      </c>
      <c r="AW306" s="32" t="n">
        <f aca="false">IFERROR(AV306/R306*1000000,"")</f>
        <v>9541.98473282443</v>
      </c>
      <c r="AX306" s="33" t="n">
        <f aca="false">IFERROR((R306-AV306)/R306,"")</f>
        <v>0.990458015267176</v>
      </c>
      <c r="AY306" s="34" t="n">
        <f aca="false">IFERROR(AH306*AJ306*AX306,"")</f>
        <v>0.880309734513274</v>
      </c>
      <c r="AZ306" s="35" t="s">
        <v>86</v>
      </c>
    </row>
    <row r="307" customFormat="false" ht="12.75" hidden="false" customHeight="true" outlineLevel="0" collapsed="false">
      <c r="A307" s="24" t="n">
        <v>303</v>
      </c>
      <c r="B307" s="25" t="n">
        <v>46123</v>
      </c>
      <c r="C307" s="25" t="n">
        <v>12</v>
      </c>
      <c r="D307" s="26" t="s">
        <v>87</v>
      </c>
      <c r="E307" s="26" t="s">
        <v>88</v>
      </c>
      <c r="F307" s="26" t="s">
        <v>73</v>
      </c>
      <c r="G307" s="26" t="s">
        <v>10</v>
      </c>
      <c r="H307" s="27" t="n">
        <v>0.354166666666667</v>
      </c>
      <c r="I307" s="27" t="n">
        <v>0.854166666666667</v>
      </c>
      <c r="J307" s="26" t="n">
        <f aca="false">IFERROR((I307-H307)*24*60,"")</f>
        <v>720</v>
      </c>
      <c r="K307" s="26" t="s">
        <v>105</v>
      </c>
      <c r="L307" s="26" t="s">
        <v>102</v>
      </c>
      <c r="M307" s="26" t="s">
        <v>91</v>
      </c>
      <c r="N307" s="26" t="s">
        <v>92</v>
      </c>
      <c r="O307" s="26" t="n">
        <v>2</v>
      </c>
      <c r="P307" s="26" t="n">
        <v>59</v>
      </c>
      <c r="Q307" s="26" t="n">
        <f aca="false">IFERROR(3600/(P307/O307),"")</f>
        <v>122.033898305085</v>
      </c>
      <c r="R307" s="26" t="n">
        <v>1014</v>
      </c>
      <c r="S307" s="26" t="n">
        <v>58</v>
      </c>
      <c r="T307" s="26" t="n">
        <f aca="false">IFERROR(J307-S307,"")</f>
        <v>662</v>
      </c>
      <c r="U307" s="26"/>
      <c r="V307" s="26"/>
      <c r="W307" s="26"/>
      <c r="X307" s="26" t="n">
        <v>4</v>
      </c>
      <c r="Y307" s="26"/>
      <c r="Z307" s="26"/>
      <c r="AA307" s="26"/>
      <c r="AB307" s="26" t="n">
        <v>3</v>
      </c>
      <c r="AC307" s="26"/>
      <c r="AD307" s="26"/>
      <c r="AE307" s="26"/>
      <c r="AF307" s="26" t="n">
        <f aca="false">SUM(U307:AE307)</f>
        <v>7</v>
      </c>
      <c r="AG307" s="26" t="n">
        <f aca="false">T307-AF307</f>
        <v>655</v>
      </c>
      <c r="AH307" s="28" t="n">
        <f aca="false">IFERROR(AG307/T307,"")</f>
        <v>0.989425981873112</v>
      </c>
      <c r="AI307" s="29" t="n">
        <f aca="false">IFERROR(R307/AG307*60,"")</f>
        <v>92.8854961832061</v>
      </c>
      <c r="AJ307" s="30" t="n">
        <f aca="false">IFERROR(AI307/Q307,"")</f>
        <v>0.761145038167939</v>
      </c>
      <c r="AK307" s="31" t="n">
        <f aca="false">IFERROR(R307/(T307/60*Q307),"")</f>
        <v>0.75309667673716</v>
      </c>
      <c r="AL307" s="26" t="n">
        <v>1</v>
      </c>
      <c r="AM307" s="26"/>
      <c r="AN307" s="26" t="n">
        <v>1</v>
      </c>
      <c r="AO307" s="26" t="n">
        <v>3</v>
      </c>
      <c r="AP307" s="26" t="n">
        <v>1</v>
      </c>
      <c r="AQ307" s="26"/>
      <c r="AR307" s="26"/>
      <c r="AS307" s="26" t="n">
        <v>1</v>
      </c>
      <c r="AT307" s="26"/>
      <c r="AU307" s="26"/>
      <c r="AV307" s="26" t="n">
        <f aca="false">SUM(AL307:AU307)</f>
        <v>7</v>
      </c>
      <c r="AW307" s="32" t="n">
        <f aca="false">IFERROR(AV307/R307*1000000,"")</f>
        <v>6903.35305719921</v>
      </c>
      <c r="AX307" s="33" t="n">
        <f aca="false">IFERROR((R307-AV307)/R307,"")</f>
        <v>0.993096646942801</v>
      </c>
      <c r="AY307" s="34" t="n">
        <f aca="false">IFERROR(AH307*AJ307*AX307,"")</f>
        <v>0.74789778449144</v>
      </c>
      <c r="AZ307" s="35"/>
    </row>
    <row r="308" customFormat="false" ht="12.75" hidden="false" customHeight="true" outlineLevel="0" collapsed="false">
      <c r="A308" s="24" t="n">
        <v>304</v>
      </c>
      <c r="B308" s="25" t="n">
        <v>46124</v>
      </c>
      <c r="C308" s="25" t="n">
        <v>12</v>
      </c>
      <c r="D308" s="26" t="s">
        <v>71</v>
      </c>
      <c r="E308" s="26" t="s">
        <v>94</v>
      </c>
      <c r="F308" s="26" t="s">
        <v>81</v>
      </c>
      <c r="G308" s="26" t="s">
        <v>11</v>
      </c>
      <c r="H308" s="27" t="n">
        <v>0.354166666666667</v>
      </c>
      <c r="I308" s="27" t="n">
        <v>0.854166666666667</v>
      </c>
      <c r="J308" s="26" t="n">
        <f aca="false">IFERROR((I308-H308)*24*60,"")</f>
        <v>720</v>
      </c>
      <c r="K308" s="26" t="s">
        <v>74</v>
      </c>
      <c r="L308" s="26" t="s">
        <v>106</v>
      </c>
      <c r="M308" s="26" t="s">
        <v>95</v>
      </c>
      <c r="N308" s="26" t="s">
        <v>96</v>
      </c>
      <c r="O308" s="26" t="n">
        <v>2</v>
      </c>
      <c r="P308" s="26" t="n">
        <v>50</v>
      </c>
      <c r="Q308" s="26" t="n">
        <f aca="false">IFERROR(3600/(P308/O308),"")</f>
        <v>144</v>
      </c>
      <c r="R308" s="26" t="n">
        <v>1095</v>
      </c>
      <c r="S308" s="26" t="n">
        <v>56</v>
      </c>
      <c r="T308" s="26" t="n">
        <f aca="false">IFERROR(J308-S308,"")</f>
        <v>664</v>
      </c>
      <c r="U308" s="26"/>
      <c r="V308" s="26"/>
      <c r="W308" s="26"/>
      <c r="X308" s="26"/>
      <c r="Y308" s="26" t="n">
        <v>15</v>
      </c>
      <c r="Z308" s="26" t="n">
        <v>25</v>
      </c>
      <c r="AA308" s="26" t="n">
        <v>40</v>
      </c>
      <c r="AB308" s="26"/>
      <c r="AC308" s="26"/>
      <c r="AD308" s="26"/>
      <c r="AE308" s="26"/>
      <c r="AF308" s="26" t="n">
        <f aca="false">SUM(U308:AE308)</f>
        <v>80</v>
      </c>
      <c r="AG308" s="26" t="n">
        <f aca="false">T308-AF308</f>
        <v>584</v>
      </c>
      <c r="AH308" s="28" t="n">
        <f aca="false">IFERROR(AG308/T308,"")</f>
        <v>0.879518072289157</v>
      </c>
      <c r="AI308" s="29" t="n">
        <f aca="false">IFERROR(R308/AG308*60,"")</f>
        <v>112.5</v>
      </c>
      <c r="AJ308" s="30" t="n">
        <f aca="false">IFERROR(AI308/Q308,"")</f>
        <v>0.78125</v>
      </c>
      <c r="AK308" s="31" t="n">
        <f aca="false">IFERROR(R308/(T308/60*Q308),"")</f>
        <v>0.687123493975904</v>
      </c>
      <c r="AL308" s="26"/>
      <c r="AM308" s="26" t="n">
        <v>3</v>
      </c>
      <c r="AN308" s="26" t="n">
        <v>2</v>
      </c>
      <c r="AO308" s="26" t="n">
        <v>2</v>
      </c>
      <c r="AP308" s="26" t="n">
        <v>1</v>
      </c>
      <c r="AQ308" s="26" t="n">
        <v>6</v>
      </c>
      <c r="AR308" s="26" t="n">
        <v>1</v>
      </c>
      <c r="AS308" s="26" t="n">
        <v>1</v>
      </c>
      <c r="AT308" s="26" t="n">
        <v>4</v>
      </c>
      <c r="AU308" s="26" t="n">
        <v>2</v>
      </c>
      <c r="AV308" s="26" t="n">
        <f aca="false">SUM(AL308:AU308)</f>
        <v>22</v>
      </c>
      <c r="AW308" s="32" t="n">
        <f aca="false">IFERROR(AV308/R308*1000000,"")</f>
        <v>20091.3242009132</v>
      </c>
      <c r="AX308" s="33" t="n">
        <f aca="false">IFERROR((R308-AV308)/R308,"")</f>
        <v>0.979908675799087</v>
      </c>
      <c r="AY308" s="34" t="n">
        <f aca="false">IFERROR(AH308*AJ308*AX308,"")</f>
        <v>0.67331827309237</v>
      </c>
      <c r="AZ308" s="35" t="s">
        <v>86</v>
      </c>
    </row>
    <row r="309" customFormat="false" ht="12.75" hidden="false" customHeight="true" outlineLevel="0" collapsed="false">
      <c r="A309" s="24" t="n">
        <v>305</v>
      </c>
      <c r="B309" s="25" t="n">
        <v>46124</v>
      </c>
      <c r="C309" s="25" t="n">
        <v>12</v>
      </c>
      <c r="D309" s="26" t="s">
        <v>79</v>
      </c>
      <c r="E309" s="26" t="s">
        <v>97</v>
      </c>
      <c r="F309" s="26" t="s">
        <v>73</v>
      </c>
      <c r="G309" s="26" t="s">
        <v>12</v>
      </c>
      <c r="H309" s="27" t="n">
        <v>0.354166666666667</v>
      </c>
      <c r="I309" s="27" t="n">
        <v>0.854166666666667</v>
      </c>
      <c r="J309" s="26" t="n">
        <f aca="false">IFERROR((I309-H309)*24*60,"")</f>
        <v>720</v>
      </c>
      <c r="K309" s="26" t="s">
        <v>105</v>
      </c>
      <c r="L309" s="26" t="s">
        <v>106</v>
      </c>
      <c r="M309" s="26" t="s">
        <v>99</v>
      </c>
      <c r="N309" s="26" t="s">
        <v>100</v>
      </c>
      <c r="O309" s="26" t="n">
        <v>1</v>
      </c>
      <c r="P309" s="26" t="n">
        <v>53</v>
      </c>
      <c r="Q309" s="26" t="n">
        <f aca="false">IFERROR(3600/(P309/O309),"")</f>
        <v>67.9245283018868</v>
      </c>
      <c r="R309" s="26" t="n">
        <v>645</v>
      </c>
      <c r="S309" s="26" t="n">
        <v>59</v>
      </c>
      <c r="T309" s="26" t="n">
        <f aca="false">IFERROR(J309-S309,"")</f>
        <v>661</v>
      </c>
      <c r="U309" s="26"/>
      <c r="V309" s="26"/>
      <c r="W309" s="26" t="n">
        <v>4</v>
      </c>
      <c r="X309" s="26"/>
      <c r="Y309" s="26"/>
      <c r="Z309" s="26"/>
      <c r="AA309" s="26" t="n">
        <v>21</v>
      </c>
      <c r="AB309" s="26"/>
      <c r="AC309" s="26"/>
      <c r="AD309" s="26"/>
      <c r="AE309" s="26"/>
      <c r="AF309" s="26" t="n">
        <f aca="false">SUM(U309:AE309)</f>
        <v>25</v>
      </c>
      <c r="AG309" s="26" t="n">
        <f aca="false">T309-AF309</f>
        <v>636</v>
      </c>
      <c r="AH309" s="28" t="n">
        <f aca="false">IFERROR(AG309/T309,"")</f>
        <v>0.962178517397882</v>
      </c>
      <c r="AI309" s="29" t="n">
        <f aca="false">IFERROR(R309/AG309*60,"")</f>
        <v>60.8490566037736</v>
      </c>
      <c r="AJ309" s="30" t="n">
        <f aca="false">IFERROR(AI309/Q309,"")</f>
        <v>0.895833333333333</v>
      </c>
      <c r="AK309" s="31" t="n">
        <f aca="false">IFERROR(R309/(T309/60*Q309),"")</f>
        <v>0.861951588502269</v>
      </c>
      <c r="AL309" s="26"/>
      <c r="AM309" s="26"/>
      <c r="AN309" s="26"/>
      <c r="AO309" s="26"/>
      <c r="AP309" s="26"/>
      <c r="AQ309" s="26"/>
      <c r="AR309" s="26"/>
      <c r="AS309" s="26" t="n">
        <v>1</v>
      </c>
      <c r="AT309" s="26"/>
      <c r="AU309" s="26"/>
      <c r="AV309" s="26" t="n">
        <f aca="false">SUM(AL309:AU309)</f>
        <v>1</v>
      </c>
      <c r="AW309" s="32" t="n">
        <f aca="false">IFERROR(AV309/R309*1000000,"")</f>
        <v>1550.38759689922</v>
      </c>
      <c r="AX309" s="33" t="n">
        <f aca="false">IFERROR((R309-AV309)/R309,"")</f>
        <v>0.998449612403101</v>
      </c>
      <c r="AY309" s="34" t="n">
        <f aca="false">IFERROR(AH309*AJ309*AX309,"")</f>
        <v>0.860615229450328</v>
      </c>
      <c r="AZ309" s="35"/>
    </row>
    <row r="310" customFormat="false" ht="12.75" hidden="false" customHeight="true" outlineLevel="0" collapsed="false">
      <c r="A310" s="24" t="n">
        <v>306</v>
      </c>
      <c r="B310" s="25" t="n">
        <v>46124</v>
      </c>
      <c r="C310" s="25" t="n">
        <v>12</v>
      </c>
      <c r="D310" s="26" t="s">
        <v>87</v>
      </c>
      <c r="E310" s="26" t="s">
        <v>101</v>
      </c>
      <c r="F310" s="26" t="s">
        <v>81</v>
      </c>
      <c r="G310" s="26" t="s">
        <v>13</v>
      </c>
      <c r="H310" s="27" t="n">
        <v>0.354166666666667</v>
      </c>
      <c r="I310" s="27" t="n">
        <v>0.854166666666667</v>
      </c>
      <c r="J310" s="26" t="n">
        <f aca="false">IFERROR((I310-H310)*24*60,"")</f>
        <v>720</v>
      </c>
      <c r="K310" s="26" t="s">
        <v>82</v>
      </c>
      <c r="L310" s="26" t="s">
        <v>106</v>
      </c>
      <c r="M310" s="26" t="s">
        <v>103</v>
      </c>
      <c r="N310" s="26" t="s">
        <v>104</v>
      </c>
      <c r="O310" s="26" t="n">
        <v>1</v>
      </c>
      <c r="P310" s="26" t="n">
        <v>67</v>
      </c>
      <c r="Q310" s="26" t="n">
        <f aca="false">IFERROR(3600/(P310/O310),"")</f>
        <v>53.7313432835821</v>
      </c>
      <c r="R310" s="26" t="n">
        <v>462</v>
      </c>
      <c r="S310" s="26" t="n">
        <v>75</v>
      </c>
      <c r="T310" s="26" t="n">
        <f aca="false">IFERROR(J310-S310,"")</f>
        <v>645</v>
      </c>
      <c r="U310" s="26" t="n">
        <v>7</v>
      </c>
      <c r="V310" s="26"/>
      <c r="W310" s="26"/>
      <c r="X310" s="26"/>
      <c r="Y310" s="26"/>
      <c r="Z310" s="26"/>
      <c r="AA310" s="26"/>
      <c r="AB310" s="26"/>
      <c r="AC310" s="26"/>
      <c r="AD310" s="26" t="n">
        <v>21</v>
      </c>
      <c r="AE310" s="26"/>
      <c r="AF310" s="26" t="n">
        <f aca="false">SUM(U310:AE310)</f>
        <v>28</v>
      </c>
      <c r="AG310" s="26" t="n">
        <f aca="false">T310-AF310</f>
        <v>617</v>
      </c>
      <c r="AH310" s="28" t="n">
        <f aca="false">IFERROR(AG310/T310,"")</f>
        <v>0.956589147286822</v>
      </c>
      <c r="AI310" s="29" t="n">
        <f aca="false">IFERROR(R310/AG310*60,"")</f>
        <v>44.9270664505673</v>
      </c>
      <c r="AJ310" s="30" t="n">
        <f aca="false">IFERROR(AI310/Q310,"")</f>
        <v>0.83614262560778</v>
      </c>
      <c r="AK310" s="31" t="n">
        <f aca="false">IFERROR(R310/(T310/60*Q310),"")</f>
        <v>0.79984496124031</v>
      </c>
      <c r="AL310" s="26"/>
      <c r="AM310" s="26"/>
      <c r="AN310" s="26" t="n">
        <v>1</v>
      </c>
      <c r="AO310" s="26" t="n">
        <v>1</v>
      </c>
      <c r="AP310" s="26" t="n">
        <v>1</v>
      </c>
      <c r="AQ310" s="26"/>
      <c r="AR310" s="26" t="n">
        <v>1</v>
      </c>
      <c r="AS310" s="26" t="n">
        <v>1</v>
      </c>
      <c r="AT310" s="26" t="n">
        <v>1</v>
      </c>
      <c r="AU310" s="26"/>
      <c r="AV310" s="26" t="n">
        <f aca="false">SUM(AL310:AU310)</f>
        <v>6</v>
      </c>
      <c r="AW310" s="32" t="n">
        <f aca="false">IFERROR(AV310/R310*1000000,"")</f>
        <v>12987.012987013</v>
      </c>
      <c r="AX310" s="33" t="n">
        <f aca="false">IFERROR((R310-AV310)/R310,"")</f>
        <v>0.987012987012987</v>
      </c>
      <c r="AY310" s="34" t="n">
        <f aca="false">IFERROR(AH310*AJ310*AX310,"")</f>
        <v>0.789457364341085</v>
      </c>
      <c r="AZ310" s="35" t="s">
        <v>86</v>
      </c>
    </row>
    <row r="311" customFormat="false" ht="12.75" hidden="false" customHeight="true" outlineLevel="0" collapsed="false">
      <c r="A311" s="24" t="n">
        <v>307</v>
      </c>
      <c r="B311" s="25" t="n">
        <v>46125</v>
      </c>
      <c r="C311" s="25" t="n">
        <v>12</v>
      </c>
      <c r="D311" s="26" t="s">
        <v>71</v>
      </c>
      <c r="E311" s="26" t="s">
        <v>72</v>
      </c>
      <c r="F311" s="26" t="s">
        <v>73</v>
      </c>
      <c r="G311" s="26" t="s">
        <v>8</v>
      </c>
      <c r="H311" s="27" t="n">
        <v>0.354166666666667</v>
      </c>
      <c r="I311" s="27" t="n">
        <v>0.854166666666667</v>
      </c>
      <c r="J311" s="26" t="n">
        <f aca="false">IFERROR((I311-H311)*24*60,"")</f>
        <v>720</v>
      </c>
      <c r="K311" s="26" t="s">
        <v>105</v>
      </c>
      <c r="L311" s="26" t="s">
        <v>106</v>
      </c>
      <c r="M311" s="26" t="s">
        <v>76</v>
      </c>
      <c r="N311" s="26" t="s">
        <v>77</v>
      </c>
      <c r="O311" s="26" t="n">
        <v>8</v>
      </c>
      <c r="P311" s="26" t="n">
        <v>33</v>
      </c>
      <c r="Q311" s="26" t="n">
        <f aca="false">IFERROR(3600/(P311/O311),"")</f>
        <v>872.727272727273</v>
      </c>
      <c r="R311" s="26" t="n">
        <v>8193</v>
      </c>
      <c r="S311" s="26" t="n">
        <v>66</v>
      </c>
      <c r="T311" s="26" t="n">
        <f aca="false">IFERROR(J311-S311,"")</f>
        <v>654</v>
      </c>
      <c r="U311" s="26" t="n">
        <v>45</v>
      </c>
      <c r="V311" s="26"/>
      <c r="W311" s="26"/>
      <c r="X311" s="26"/>
      <c r="Y311" s="26"/>
      <c r="Z311" s="26" t="n">
        <v>30</v>
      </c>
      <c r="AA311" s="26"/>
      <c r="AB311" s="26"/>
      <c r="AC311" s="26"/>
      <c r="AD311" s="26"/>
      <c r="AE311" s="26"/>
      <c r="AF311" s="26" t="n">
        <f aca="false">SUM(U311:AE311)</f>
        <v>75</v>
      </c>
      <c r="AG311" s="26" t="n">
        <f aca="false">T311-AF311</f>
        <v>579</v>
      </c>
      <c r="AH311" s="28" t="n">
        <f aca="false">IFERROR(AG311/T311,"")</f>
        <v>0.885321100917431</v>
      </c>
      <c r="AI311" s="29" t="n">
        <f aca="false">IFERROR(R311/AG311*60,"")</f>
        <v>849.015544041451</v>
      </c>
      <c r="AJ311" s="30" t="n">
        <f aca="false">IFERROR(AI311/Q311,"")</f>
        <v>0.972830310880829</v>
      </c>
      <c r="AK311" s="31" t="n">
        <f aca="false">IFERROR(R311/(T311/60*Q311),"")</f>
        <v>0.861267201834862</v>
      </c>
      <c r="AL311" s="26" t="n">
        <v>12</v>
      </c>
      <c r="AM311" s="26" t="n">
        <v>18</v>
      </c>
      <c r="AN311" s="26" t="n">
        <v>18</v>
      </c>
      <c r="AO311" s="26" t="n">
        <v>10</v>
      </c>
      <c r="AP311" s="26" t="n">
        <v>7</v>
      </c>
      <c r="AQ311" s="26" t="n">
        <v>15</v>
      </c>
      <c r="AR311" s="26" t="n">
        <v>10</v>
      </c>
      <c r="AS311" s="26" t="n">
        <v>12</v>
      </c>
      <c r="AT311" s="26" t="n">
        <v>11</v>
      </c>
      <c r="AU311" s="26" t="n">
        <v>14</v>
      </c>
      <c r="AV311" s="26" t="n">
        <f aca="false">SUM(AL311:AU311)</f>
        <v>127</v>
      </c>
      <c r="AW311" s="32" t="n">
        <f aca="false">IFERROR(AV311/R311*1000000,"")</f>
        <v>15501.0374710118</v>
      </c>
      <c r="AX311" s="33" t="n">
        <f aca="false">IFERROR((R311-AV311)/R311,"")</f>
        <v>0.984498962528988</v>
      </c>
      <c r="AY311" s="34" t="n">
        <f aca="false">IFERROR(AH311*AJ311*AX311,"")</f>
        <v>0.847916666666667</v>
      </c>
      <c r="AZ311" s="35"/>
    </row>
    <row r="312" customFormat="false" ht="12.75" hidden="false" customHeight="true" outlineLevel="0" collapsed="false">
      <c r="A312" s="24" t="n">
        <v>308</v>
      </c>
      <c r="B312" s="25" t="n">
        <v>46125</v>
      </c>
      <c r="C312" s="25" t="n">
        <v>12</v>
      </c>
      <c r="D312" s="26" t="s">
        <v>79</v>
      </c>
      <c r="E312" s="26" t="s">
        <v>80</v>
      </c>
      <c r="F312" s="26" t="s">
        <v>81</v>
      </c>
      <c r="G312" s="26" t="s">
        <v>9</v>
      </c>
      <c r="H312" s="27" t="n">
        <v>0.354166666666667</v>
      </c>
      <c r="I312" s="27" t="n">
        <v>0.854166666666667</v>
      </c>
      <c r="J312" s="26" t="n">
        <f aca="false">IFERROR((I312-H312)*24*60,"")</f>
        <v>720</v>
      </c>
      <c r="K312" s="26" t="s">
        <v>82</v>
      </c>
      <c r="L312" s="26" t="s">
        <v>108</v>
      </c>
      <c r="M312" s="26" t="s">
        <v>84</v>
      </c>
      <c r="N312" s="26" t="s">
        <v>85</v>
      </c>
      <c r="O312" s="26" t="n">
        <v>4</v>
      </c>
      <c r="P312" s="26" t="n">
        <v>44</v>
      </c>
      <c r="Q312" s="26" t="n">
        <f aca="false">IFERROR(3600/(P312/O312),"")</f>
        <v>327.272727272727</v>
      </c>
      <c r="R312" s="26" t="n">
        <v>2590</v>
      </c>
      <c r="S312" s="26" t="n">
        <v>64</v>
      </c>
      <c r="T312" s="26" t="n">
        <f aca="false">IFERROR(J312-S312,"")</f>
        <v>656</v>
      </c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 t="n">
        <v>7</v>
      </c>
      <c r="AF312" s="26" t="n">
        <f aca="false">SUM(U312:AE312)</f>
        <v>7</v>
      </c>
      <c r="AG312" s="26" t="n">
        <f aca="false">T312-AF312</f>
        <v>649</v>
      </c>
      <c r="AH312" s="28" t="n">
        <f aca="false">IFERROR(AG312/T312,"")</f>
        <v>0.989329268292683</v>
      </c>
      <c r="AI312" s="29" t="n">
        <f aca="false">IFERROR(R312/AG312*60,"")</f>
        <v>239.44530046225</v>
      </c>
      <c r="AJ312" s="30" t="n">
        <f aca="false">IFERROR(AI312/Q312,"")</f>
        <v>0.731638418079096</v>
      </c>
      <c r="AK312" s="31" t="n">
        <f aca="false">IFERROR(R312/(T312/60*Q312),"")</f>
        <v>0.723831300813008</v>
      </c>
      <c r="AL312" s="26" t="n">
        <v>6</v>
      </c>
      <c r="AM312" s="26" t="n">
        <v>3</v>
      </c>
      <c r="AN312" s="26" t="n">
        <v>1</v>
      </c>
      <c r="AO312" s="26" t="n">
        <v>1</v>
      </c>
      <c r="AP312" s="26" t="n">
        <v>3</v>
      </c>
      <c r="AQ312" s="26" t="n">
        <v>2</v>
      </c>
      <c r="AR312" s="26" t="n">
        <v>3</v>
      </c>
      <c r="AS312" s="26" t="n">
        <v>4</v>
      </c>
      <c r="AT312" s="26" t="n">
        <v>4</v>
      </c>
      <c r="AU312" s="26" t="n">
        <v>3</v>
      </c>
      <c r="AV312" s="26" t="n">
        <f aca="false">SUM(AL312:AU312)</f>
        <v>30</v>
      </c>
      <c r="AW312" s="32" t="n">
        <f aca="false">IFERROR(AV312/R312*1000000,"")</f>
        <v>11583.0115830116</v>
      </c>
      <c r="AX312" s="33" t="n">
        <f aca="false">IFERROR((R312-AV312)/R312,"")</f>
        <v>0.988416988416988</v>
      </c>
      <c r="AY312" s="34" t="n">
        <f aca="false">IFERROR(AH312*AJ312*AX312,"")</f>
        <v>0.715447154471545</v>
      </c>
      <c r="AZ312" s="35" t="s">
        <v>86</v>
      </c>
    </row>
    <row r="313" customFormat="false" ht="12.75" hidden="false" customHeight="true" outlineLevel="0" collapsed="false">
      <c r="A313" s="24" t="n">
        <v>309</v>
      </c>
      <c r="B313" s="25" t="n">
        <v>46125</v>
      </c>
      <c r="C313" s="25" t="n">
        <v>12</v>
      </c>
      <c r="D313" s="26" t="s">
        <v>87</v>
      </c>
      <c r="E313" s="26" t="s">
        <v>88</v>
      </c>
      <c r="F313" s="26" t="s">
        <v>73</v>
      </c>
      <c r="G313" s="26" t="s">
        <v>10</v>
      </c>
      <c r="H313" s="27" t="n">
        <v>0.354166666666667</v>
      </c>
      <c r="I313" s="27" t="n">
        <v>0.854166666666667</v>
      </c>
      <c r="J313" s="26" t="n">
        <f aca="false">IFERROR((I313-H313)*24*60,"")</f>
        <v>720</v>
      </c>
      <c r="K313" s="26" t="s">
        <v>89</v>
      </c>
      <c r="L313" s="26" t="s">
        <v>75</v>
      </c>
      <c r="M313" s="26" t="s">
        <v>91</v>
      </c>
      <c r="N313" s="26" t="s">
        <v>92</v>
      </c>
      <c r="O313" s="26" t="n">
        <v>1</v>
      </c>
      <c r="P313" s="26" t="n">
        <v>67</v>
      </c>
      <c r="Q313" s="26" t="n">
        <f aca="false">IFERROR(3600/(P313/O313),"")</f>
        <v>53.7313432835821</v>
      </c>
      <c r="R313" s="26" t="n">
        <v>532</v>
      </c>
      <c r="S313" s="26" t="n">
        <v>52</v>
      </c>
      <c r="T313" s="26" t="n">
        <f aca="false">IFERROR(J313-S313,"")</f>
        <v>668</v>
      </c>
      <c r="U313" s="26"/>
      <c r="V313" s="26"/>
      <c r="W313" s="26"/>
      <c r="X313" s="26"/>
      <c r="Y313" s="26"/>
      <c r="Z313" s="26" t="n">
        <v>35</v>
      </c>
      <c r="AA313" s="26"/>
      <c r="AB313" s="26"/>
      <c r="AC313" s="26" t="n">
        <v>43</v>
      </c>
      <c r="AD313" s="26"/>
      <c r="AE313" s="26"/>
      <c r="AF313" s="26" t="n">
        <f aca="false">SUM(U313:AE313)</f>
        <v>78</v>
      </c>
      <c r="AG313" s="26" t="n">
        <f aca="false">T313-AF313</f>
        <v>590</v>
      </c>
      <c r="AH313" s="28" t="n">
        <f aca="false">IFERROR(AG313/T313,"")</f>
        <v>0.883233532934132</v>
      </c>
      <c r="AI313" s="29" t="n">
        <f aca="false">IFERROR(R313/AG313*60,"")</f>
        <v>54.1016949152542</v>
      </c>
      <c r="AJ313" s="30" t="n">
        <f aca="false">IFERROR(AI313/Q313,"")</f>
        <v>1.00689265536723</v>
      </c>
      <c r="AK313" s="31" t="n">
        <f aca="false">IFERROR(R313/(T313/60*Q313),"")</f>
        <v>0.889321357285429</v>
      </c>
      <c r="AL313" s="26" t="n">
        <v>1</v>
      </c>
      <c r="AM313" s="26" t="n">
        <v>2</v>
      </c>
      <c r="AN313" s="26" t="n">
        <v>1</v>
      </c>
      <c r="AO313" s="26" t="n">
        <v>3</v>
      </c>
      <c r="AP313" s="26"/>
      <c r="AQ313" s="26" t="n">
        <v>1</v>
      </c>
      <c r="AR313" s="26"/>
      <c r="AS313" s="26" t="n">
        <v>1</v>
      </c>
      <c r="AT313" s="26"/>
      <c r="AU313" s="26"/>
      <c r="AV313" s="26" t="n">
        <f aca="false">SUM(AL313:AU313)</f>
        <v>9</v>
      </c>
      <c r="AW313" s="32" t="n">
        <f aca="false">IFERROR(AV313/R313*1000000,"")</f>
        <v>16917.2932330827</v>
      </c>
      <c r="AX313" s="33" t="n">
        <f aca="false">IFERROR((R313-AV313)/R313,"")</f>
        <v>0.983082706766917</v>
      </c>
      <c r="AY313" s="34" t="n">
        <f aca="false">IFERROR(AH313*AJ313*AX313,"")</f>
        <v>0.874276447105788</v>
      </c>
      <c r="AZ313" s="35" t="s">
        <v>78</v>
      </c>
    </row>
    <row r="314" customFormat="false" ht="12.75" hidden="false" customHeight="true" outlineLevel="0" collapsed="false">
      <c r="A314" s="24" t="n">
        <v>310</v>
      </c>
      <c r="B314" s="25" t="n">
        <v>46126</v>
      </c>
      <c r="C314" s="25" t="n">
        <v>12</v>
      </c>
      <c r="D314" s="26" t="s">
        <v>71</v>
      </c>
      <c r="E314" s="26" t="s">
        <v>94</v>
      </c>
      <c r="F314" s="26" t="s">
        <v>81</v>
      </c>
      <c r="G314" s="26" t="s">
        <v>11</v>
      </c>
      <c r="H314" s="27" t="n">
        <v>0.354166666666667</v>
      </c>
      <c r="I314" s="27" t="n">
        <v>0.854166666666667</v>
      </c>
      <c r="J314" s="26" t="n">
        <f aca="false">IFERROR((I314-H314)*24*60,"")</f>
        <v>720</v>
      </c>
      <c r="K314" s="26" t="s">
        <v>89</v>
      </c>
      <c r="L314" s="26" t="s">
        <v>98</v>
      </c>
      <c r="M314" s="26" t="s">
        <v>95</v>
      </c>
      <c r="N314" s="26" t="s">
        <v>96</v>
      </c>
      <c r="O314" s="26" t="n">
        <v>2</v>
      </c>
      <c r="P314" s="26" t="n">
        <v>68</v>
      </c>
      <c r="Q314" s="26" t="n">
        <f aca="false">IFERROR(3600/(P314/O314),"")</f>
        <v>105.882352941176</v>
      </c>
      <c r="R314" s="26" t="n">
        <v>843</v>
      </c>
      <c r="S314" s="26" t="n">
        <v>32</v>
      </c>
      <c r="T314" s="26" t="n">
        <f aca="false">IFERROR(J314-S314,"")</f>
        <v>688</v>
      </c>
      <c r="U314" s="26"/>
      <c r="V314" s="26"/>
      <c r="W314" s="26"/>
      <c r="X314" s="26" t="n">
        <v>3</v>
      </c>
      <c r="Y314" s="26"/>
      <c r="Z314" s="26" t="n">
        <v>24</v>
      </c>
      <c r="AA314" s="26"/>
      <c r="AB314" s="26"/>
      <c r="AC314" s="26"/>
      <c r="AD314" s="26"/>
      <c r="AE314" s="26"/>
      <c r="AF314" s="26" t="n">
        <f aca="false">SUM(U314:AE314)</f>
        <v>27</v>
      </c>
      <c r="AG314" s="26" t="n">
        <f aca="false">T314-AF314</f>
        <v>661</v>
      </c>
      <c r="AH314" s="28" t="n">
        <f aca="false">IFERROR(AG314/T314,"")</f>
        <v>0.960755813953488</v>
      </c>
      <c r="AI314" s="29" t="n">
        <f aca="false">IFERROR(R314/AG314*60,"")</f>
        <v>76.5204236006051</v>
      </c>
      <c r="AJ314" s="30" t="n">
        <f aca="false">IFERROR(AI314/Q314,"")</f>
        <v>0.722692889561271</v>
      </c>
      <c r="AK314" s="31" t="n">
        <f aca="false">IFERROR(R314/(T314/60*Q314),"")</f>
        <v>0.694331395348837</v>
      </c>
      <c r="AL314" s="26" t="n">
        <v>2</v>
      </c>
      <c r="AM314" s="26"/>
      <c r="AN314" s="26" t="n">
        <v>2</v>
      </c>
      <c r="AO314" s="26" t="n">
        <v>3</v>
      </c>
      <c r="AP314" s="26" t="n">
        <v>3</v>
      </c>
      <c r="AQ314" s="26" t="n">
        <v>1</v>
      </c>
      <c r="AR314" s="26" t="n">
        <v>6</v>
      </c>
      <c r="AS314" s="26"/>
      <c r="AT314" s="26"/>
      <c r="AU314" s="26" t="n">
        <v>3</v>
      </c>
      <c r="AV314" s="26" t="n">
        <f aca="false">SUM(AL314:AU314)</f>
        <v>20</v>
      </c>
      <c r="AW314" s="32" t="n">
        <f aca="false">IFERROR(AV314/R314*1000000,"")</f>
        <v>23724.7924080664</v>
      </c>
      <c r="AX314" s="33" t="n">
        <f aca="false">IFERROR((R314-AV314)/R314,"")</f>
        <v>0.976275207591934</v>
      </c>
      <c r="AY314" s="34" t="n">
        <f aca="false">IFERROR(AH314*AJ314*AX314,"")</f>
        <v>0.677858527131783</v>
      </c>
      <c r="AZ314" s="35" t="s">
        <v>86</v>
      </c>
    </row>
    <row r="315" customFormat="false" ht="12.75" hidden="false" customHeight="true" outlineLevel="0" collapsed="false">
      <c r="A315" s="24" t="n">
        <v>311</v>
      </c>
      <c r="B315" s="25" t="n">
        <v>46126</v>
      </c>
      <c r="C315" s="25" t="n">
        <v>12</v>
      </c>
      <c r="D315" s="26" t="s">
        <v>79</v>
      </c>
      <c r="E315" s="26" t="s">
        <v>97</v>
      </c>
      <c r="F315" s="26" t="s">
        <v>73</v>
      </c>
      <c r="G315" s="26" t="s">
        <v>12</v>
      </c>
      <c r="H315" s="27" t="n">
        <v>0.354166666666667</v>
      </c>
      <c r="I315" s="27" t="n">
        <v>0.854166666666667</v>
      </c>
      <c r="J315" s="26" t="n">
        <f aca="false">IFERROR((I315-H315)*24*60,"")</f>
        <v>720</v>
      </c>
      <c r="K315" s="26" t="s">
        <v>82</v>
      </c>
      <c r="L315" s="26" t="s">
        <v>83</v>
      </c>
      <c r="M315" s="26" t="s">
        <v>99</v>
      </c>
      <c r="N315" s="26" t="s">
        <v>100</v>
      </c>
      <c r="O315" s="26" t="n">
        <v>1</v>
      </c>
      <c r="P315" s="26" t="n">
        <v>64</v>
      </c>
      <c r="Q315" s="26" t="n">
        <f aca="false">IFERROR(3600/(P315/O315),"")</f>
        <v>56.25</v>
      </c>
      <c r="R315" s="26" t="n">
        <v>548</v>
      </c>
      <c r="S315" s="26" t="n">
        <v>61</v>
      </c>
      <c r="T315" s="26" t="n">
        <f aca="false">IFERROR(J315-S315,"")</f>
        <v>659</v>
      </c>
      <c r="U315" s="26"/>
      <c r="V315" s="26"/>
      <c r="W315" s="26" t="n">
        <v>17</v>
      </c>
      <c r="X315" s="26"/>
      <c r="Y315" s="26"/>
      <c r="Z315" s="26"/>
      <c r="AA315" s="26"/>
      <c r="AB315" s="26"/>
      <c r="AC315" s="26"/>
      <c r="AD315" s="26"/>
      <c r="AE315" s="26"/>
      <c r="AF315" s="26" t="n">
        <f aca="false">SUM(U315:AE315)</f>
        <v>17</v>
      </c>
      <c r="AG315" s="26" t="n">
        <f aca="false">T315-AF315</f>
        <v>642</v>
      </c>
      <c r="AH315" s="28" t="n">
        <f aca="false">IFERROR(AG315/T315,"")</f>
        <v>0.974203338391502</v>
      </c>
      <c r="AI315" s="29" t="n">
        <f aca="false">IFERROR(R315/AG315*60,"")</f>
        <v>51.214953271028</v>
      </c>
      <c r="AJ315" s="30" t="n">
        <f aca="false">IFERROR(AI315/Q315,"")</f>
        <v>0.91048805815161</v>
      </c>
      <c r="AK315" s="31" t="n">
        <f aca="false">IFERROR(R315/(T315/60*Q315),"")</f>
        <v>0.887000505816894</v>
      </c>
      <c r="AL315" s="26"/>
      <c r="AM315" s="26" t="n">
        <v>4</v>
      </c>
      <c r="AN315" s="26" t="n">
        <v>2</v>
      </c>
      <c r="AO315" s="26" t="n">
        <v>1</v>
      </c>
      <c r="AP315" s="26"/>
      <c r="AQ315" s="26"/>
      <c r="AR315" s="26"/>
      <c r="AS315" s="26" t="n">
        <v>1</v>
      </c>
      <c r="AT315" s="26" t="n">
        <v>1</v>
      </c>
      <c r="AU315" s="26"/>
      <c r="AV315" s="26" t="n">
        <f aca="false">SUM(AL315:AU315)</f>
        <v>9</v>
      </c>
      <c r="AW315" s="32" t="n">
        <f aca="false">IFERROR(AV315/R315*1000000,"")</f>
        <v>16423.3576642336</v>
      </c>
      <c r="AX315" s="33" t="n">
        <f aca="false">IFERROR((R315-AV315)/R315,"")</f>
        <v>0.983576642335767</v>
      </c>
      <c r="AY315" s="34" t="n">
        <f aca="false">IFERROR(AH315*AJ315*AX315,"")</f>
        <v>0.872432979261507</v>
      </c>
      <c r="AZ315" s="35" t="s">
        <v>93</v>
      </c>
    </row>
    <row r="316" customFormat="false" ht="12.75" hidden="false" customHeight="true" outlineLevel="0" collapsed="false">
      <c r="A316" s="24" t="n">
        <v>312</v>
      </c>
      <c r="B316" s="25" t="n">
        <v>46126</v>
      </c>
      <c r="C316" s="25" t="n">
        <v>12</v>
      </c>
      <c r="D316" s="26" t="s">
        <v>87</v>
      </c>
      <c r="E316" s="26" t="s">
        <v>101</v>
      </c>
      <c r="F316" s="26" t="s">
        <v>81</v>
      </c>
      <c r="G316" s="26" t="s">
        <v>13</v>
      </c>
      <c r="H316" s="27" t="n">
        <v>0.354166666666667</v>
      </c>
      <c r="I316" s="27" t="n">
        <v>0.854166666666667</v>
      </c>
      <c r="J316" s="26" t="n">
        <f aca="false">IFERROR((I316-H316)*24*60,"")</f>
        <v>720</v>
      </c>
      <c r="K316" s="26" t="s">
        <v>74</v>
      </c>
      <c r="L316" s="26" t="s">
        <v>75</v>
      </c>
      <c r="M316" s="26" t="s">
        <v>103</v>
      </c>
      <c r="N316" s="26" t="s">
        <v>104</v>
      </c>
      <c r="O316" s="26" t="n">
        <v>4</v>
      </c>
      <c r="P316" s="26" t="n">
        <v>58</v>
      </c>
      <c r="Q316" s="26" t="n">
        <f aca="false">IFERROR(3600/(P316/O316),"")</f>
        <v>248.275862068966</v>
      </c>
      <c r="R316" s="26" t="n">
        <v>1978</v>
      </c>
      <c r="S316" s="26" t="n">
        <v>73</v>
      </c>
      <c r="T316" s="26" t="n">
        <f aca="false">IFERROR(J316-S316,"")</f>
        <v>647</v>
      </c>
      <c r="U316" s="26"/>
      <c r="V316" s="26" t="n">
        <v>11</v>
      </c>
      <c r="W316" s="26"/>
      <c r="X316" s="26" t="n">
        <v>43</v>
      </c>
      <c r="Y316" s="26"/>
      <c r="Z316" s="26"/>
      <c r="AA316" s="26" t="n">
        <v>6</v>
      </c>
      <c r="AB316" s="26"/>
      <c r="AC316" s="26"/>
      <c r="AD316" s="26"/>
      <c r="AE316" s="26"/>
      <c r="AF316" s="26" t="n">
        <f aca="false">SUM(U316:AE316)</f>
        <v>60</v>
      </c>
      <c r="AG316" s="26" t="n">
        <f aca="false">T316-AF316</f>
        <v>587</v>
      </c>
      <c r="AH316" s="28" t="n">
        <f aca="false">IFERROR(AG316/T316,"")</f>
        <v>0.90726429675425</v>
      </c>
      <c r="AI316" s="29" t="n">
        <f aca="false">IFERROR(R316/AG316*60,"")</f>
        <v>202.180579216354</v>
      </c>
      <c r="AJ316" s="30" t="n">
        <f aca="false">IFERROR(AI316/Q316,"")</f>
        <v>0.814338444065872</v>
      </c>
      <c r="AK316" s="31" t="n">
        <f aca="false">IFERROR(R316/(T316/60*Q316),"")</f>
        <v>0.738820195775374</v>
      </c>
      <c r="AL316" s="26" t="n">
        <v>6</v>
      </c>
      <c r="AM316" s="26" t="n">
        <v>5</v>
      </c>
      <c r="AN316" s="26" t="n">
        <v>6</v>
      </c>
      <c r="AO316" s="26" t="n">
        <v>7</v>
      </c>
      <c r="AP316" s="26" t="n">
        <v>2</v>
      </c>
      <c r="AQ316" s="26" t="n">
        <v>4</v>
      </c>
      <c r="AR316" s="26" t="n">
        <v>4</v>
      </c>
      <c r="AS316" s="26" t="n">
        <v>6</v>
      </c>
      <c r="AT316" s="26" t="n">
        <v>4</v>
      </c>
      <c r="AU316" s="26" t="n">
        <v>3</v>
      </c>
      <c r="AV316" s="26" t="n">
        <f aca="false">SUM(AL316:AU316)</f>
        <v>47</v>
      </c>
      <c r="AW316" s="32" t="n">
        <f aca="false">IFERROR(AV316/R316*1000000,"")</f>
        <v>23761.3751263903</v>
      </c>
      <c r="AX316" s="33" t="n">
        <f aca="false">IFERROR((R316-AV316)/R316,"")</f>
        <v>0.97623862487361</v>
      </c>
      <c r="AY316" s="34" t="n">
        <f aca="false">IFERROR(AH316*AJ316*AX316,"")</f>
        <v>0.721264811952602</v>
      </c>
      <c r="AZ316" s="35" t="s">
        <v>93</v>
      </c>
    </row>
    <row r="317" customFormat="false" ht="12.75" hidden="false" customHeight="true" outlineLevel="0" collapsed="false">
      <c r="A317" s="24" t="n">
        <v>313</v>
      </c>
      <c r="B317" s="25" t="n">
        <v>46127</v>
      </c>
      <c r="C317" s="25" t="n">
        <v>12</v>
      </c>
      <c r="D317" s="26" t="s">
        <v>71</v>
      </c>
      <c r="E317" s="26" t="s">
        <v>72</v>
      </c>
      <c r="F317" s="26" t="s">
        <v>73</v>
      </c>
      <c r="G317" s="26" t="s">
        <v>8</v>
      </c>
      <c r="H317" s="27" t="n">
        <v>0.354166666666667</v>
      </c>
      <c r="I317" s="27" t="n">
        <v>0.854166666666667</v>
      </c>
      <c r="J317" s="26" t="n">
        <f aca="false">IFERROR((I317-H317)*24*60,"")</f>
        <v>720</v>
      </c>
      <c r="K317" s="26" t="s">
        <v>105</v>
      </c>
      <c r="L317" s="26" t="s">
        <v>107</v>
      </c>
      <c r="M317" s="26" t="s">
        <v>76</v>
      </c>
      <c r="N317" s="26" t="s">
        <v>77</v>
      </c>
      <c r="O317" s="26" t="n">
        <v>1</v>
      </c>
      <c r="P317" s="26" t="n">
        <v>52</v>
      </c>
      <c r="Q317" s="26" t="n">
        <f aca="false">IFERROR(3600/(P317/O317),"")</f>
        <v>69.2307692307692</v>
      </c>
      <c r="R317" s="26" t="n">
        <v>498</v>
      </c>
      <c r="S317" s="26" t="n">
        <v>72</v>
      </c>
      <c r="T317" s="26" t="n">
        <f aca="false">IFERROR(J317-S317,"")</f>
        <v>648</v>
      </c>
      <c r="U317" s="26"/>
      <c r="V317" s="26"/>
      <c r="W317" s="26"/>
      <c r="X317" s="26"/>
      <c r="Y317" s="26"/>
      <c r="Z317" s="26"/>
      <c r="AA317" s="26"/>
      <c r="AB317" s="26"/>
      <c r="AC317" s="26" t="n">
        <v>22</v>
      </c>
      <c r="AD317" s="26"/>
      <c r="AE317" s="26"/>
      <c r="AF317" s="26" t="n">
        <f aca="false">SUM(U317:AE317)</f>
        <v>22</v>
      </c>
      <c r="AG317" s="26" t="n">
        <f aca="false">T317-AF317</f>
        <v>626</v>
      </c>
      <c r="AH317" s="28" t="n">
        <f aca="false">IFERROR(AG317/T317,"")</f>
        <v>0.966049382716049</v>
      </c>
      <c r="AI317" s="29" t="n">
        <f aca="false">IFERROR(R317/AG317*60,"")</f>
        <v>47.7316293929712</v>
      </c>
      <c r="AJ317" s="30" t="n">
        <f aca="false">IFERROR(AI317/Q317,"")</f>
        <v>0.689456869009585</v>
      </c>
      <c r="AK317" s="31" t="n">
        <f aca="false">IFERROR(R317/(T317/60*Q317),"")</f>
        <v>0.666049382716049</v>
      </c>
      <c r="AL317" s="26"/>
      <c r="AM317" s="26"/>
      <c r="AN317" s="26" t="n">
        <v>2</v>
      </c>
      <c r="AO317" s="26"/>
      <c r="AP317" s="26"/>
      <c r="AQ317" s="26" t="n">
        <v>1</v>
      </c>
      <c r="AR317" s="26"/>
      <c r="AS317" s="26"/>
      <c r="AT317" s="26" t="n">
        <v>1</v>
      </c>
      <c r="AU317" s="26"/>
      <c r="AV317" s="26" t="n">
        <f aca="false">SUM(AL317:AU317)</f>
        <v>4</v>
      </c>
      <c r="AW317" s="32" t="n">
        <f aca="false">IFERROR(AV317/R317*1000000,"")</f>
        <v>8032.12851405622</v>
      </c>
      <c r="AX317" s="33" t="n">
        <f aca="false">IFERROR((R317-AV317)/R317,"")</f>
        <v>0.991967871485944</v>
      </c>
      <c r="AY317" s="34" t="n">
        <f aca="false">IFERROR(AH317*AJ317*AX317,"")</f>
        <v>0.660699588477366</v>
      </c>
      <c r="AZ317" s="35" t="s">
        <v>78</v>
      </c>
    </row>
    <row r="318" customFormat="false" ht="12.75" hidden="false" customHeight="true" outlineLevel="0" collapsed="false">
      <c r="A318" s="24" t="n">
        <v>314</v>
      </c>
      <c r="B318" s="25" t="n">
        <v>46127</v>
      </c>
      <c r="C318" s="25" t="n">
        <v>12</v>
      </c>
      <c r="D318" s="26" t="s">
        <v>79</v>
      </c>
      <c r="E318" s="26" t="s">
        <v>80</v>
      </c>
      <c r="F318" s="26" t="s">
        <v>81</v>
      </c>
      <c r="G318" s="26" t="s">
        <v>9</v>
      </c>
      <c r="H318" s="27" t="n">
        <v>0.354166666666667</v>
      </c>
      <c r="I318" s="27" t="n">
        <v>0.854166666666667</v>
      </c>
      <c r="J318" s="26" t="n">
        <f aca="false">IFERROR((I318-H318)*24*60,"")</f>
        <v>720</v>
      </c>
      <c r="K318" s="26" t="s">
        <v>105</v>
      </c>
      <c r="L318" s="26" t="s">
        <v>107</v>
      </c>
      <c r="M318" s="26" t="s">
        <v>84</v>
      </c>
      <c r="N318" s="26" t="s">
        <v>85</v>
      </c>
      <c r="O318" s="26" t="n">
        <v>1</v>
      </c>
      <c r="P318" s="26" t="n">
        <v>63</v>
      </c>
      <c r="Q318" s="26" t="n">
        <f aca="false">IFERROR(3600/(P318/O318),"")</f>
        <v>57.1428571428571</v>
      </c>
      <c r="R318" s="26" t="n">
        <v>536</v>
      </c>
      <c r="S318" s="26" t="n">
        <v>56</v>
      </c>
      <c r="T318" s="26" t="n">
        <f aca="false">IFERROR(J318-S318,"")</f>
        <v>664</v>
      </c>
      <c r="U318" s="26"/>
      <c r="V318" s="26" t="n">
        <v>49</v>
      </c>
      <c r="W318" s="26" t="n">
        <v>4</v>
      </c>
      <c r="X318" s="26"/>
      <c r="Y318" s="26"/>
      <c r="Z318" s="26" t="n">
        <v>23</v>
      </c>
      <c r="AA318" s="26"/>
      <c r="AB318" s="26"/>
      <c r="AC318" s="26"/>
      <c r="AD318" s="26"/>
      <c r="AE318" s="26"/>
      <c r="AF318" s="26" t="n">
        <f aca="false">SUM(U318:AE318)</f>
        <v>76</v>
      </c>
      <c r="AG318" s="26" t="n">
        <f aca="false">T318-AF318</f>
        <v>588</v>
      </c>
      <c r="AH318" s="28" t="n">
        <f aca="false">IFERROR(AG318/T318,"")</f>
        <v>0.885542168674699</v>
      </c>
      <c r="AI318" s="29" t="n">
        <f aca="false">IFERROR(R318/AG318*60,"")</f>
        <v>54.6938775510204</v>
      </c>
      <c r="AJ318" s="30" t="n">
        <f aca="false">IFERROR(AI318/Q318,"")</f>
        <v>0.957142857142857</v>
      </c>
      <c r="AK318" s="31" t="n">
        <f aca="false">IFERROR(R318/(T318/60*Q318),"")</f>
        <v>0.847590361445783</v>
      </c>
      <c r="AL318" s="26" t="n">
        <v>3</v>
      </c>
      <c r="AM318" s="26" t="n">
        <v>1</v>
      </c>
      <c r="AN318" s="26"/>
      <c r="AO318" s="26" t="n">
        <v>1</v>
      </c>
      <c r="AP318" s="26"/>
      <c r="AQ318" s="26"/>
      <c r="AR318" s="26" t="n">
        <v>2</v>
      </c>
      <c r="AS318" s="26"/>
      <c r="AT318" s="26"/>
      <c r="AU318" s="26" t="n">
        <v>2</v>
      </c>
      <c r="AV318" s="26" t="n">
        <f aca="false">SUM(AL318:AU318)</f>
        <v>9</v>
      </c>
      <c r="AW318" s="32" t="n">
        <f aca="false">IFERROR(AV318/R318*1000000,"")</f>
        <v>16791.0447761194</v>
      </c>
      <c r="AX318" s="33" t="n">
        <f aca="false">IFERROR((R318-AV318)/R318,"")</f>
        <v>0.983208955223881</v>
      </c>
      <c r="AY318" s="34" t="n">
        <f aca="false">IFERROR(AH318*AJ318*AX318,"")</f>
        <v>0.83335843373494</v>
      </c>
      <c r="AZ318" s="35" t="s">
        <v>78</v>
      </c>
    </row>
    <row r="319" customFormat="false" ht="12.75" hidden="false" customHeight="true" outlineLevel="0" collapsed="false">
      <c r="A319" s="24" t="n">
        <v>315</v>
      </c>
      <c r="B319" s="25" t="n">
        <v>46127</v>
      </c>
      <c r="C319" s="25" t="n">
        <v>12</v>
      </c>
      <c r="D319" s="26" t="s">
        <v>87</v>
      </c>
      <c r="E319" s="26" t="s">
        <v>88</v>
      </c>
      <c r="F319" s="26" t="s">
        <v>73</v>
      </c>
      <c r="G319" s="26" t="s">
        <v>10</v>
      </c>
      <c r="H319" s="27" t="n">
        <v>0.354166666666667</v>
      </c>
      <c r="I319" s="27" t="n">
        <v>0.854166666666667</v>
      </c>
      <c r="J319" s="26" t="n">
        <f aca="false">IFERROR((I319-H319)*24*60,"")</f>
        <v>720</v>
      </c>
      <c r="K319" s="26" t="s">
        <v>82</v>
      </c>
      <c r="L319" s="26" t="s">
        <v>102</v>
      </c>
      <c r="M319" s="26" t="s">
        <v>91</v>
      </c>
      <c r="N319" s="26" t="s">
        <v>92</v>
      </c>
      <c r="O319" s="26" t="n">
        <v>8</v>
      </c>
      <c r="P319" s="26" t="n">
        <v>42</v>
      </c>
      <c r="Q319" s="26" t="n">
        <f aca="false">IFERROR(3600/(P319/O319),"")</f>
        <v>685.714285714286</v>
      </c>
      <c r="R319" s="26" t="n">
        <v>6261</v>
      </c>
      <c r="S319" s="26" t="n">
        <v>71</v>
      </c>
      <c r="T319" s="26" t="n">
        <f aca="false">IFERROR(J319-S319,"")</f>
        <v>649</v>
      </c>
      <c r="U319" s="26"/>
      <c r="V319" s="26"/>
      <c r="W319" s="26"/>
      <c r="X319" s="26" t="n">
        <v>31</v>
      </c>
      <c r="Y319" s="26"/>
      <c r="Z319" s="26"/>
      <c r="AA319" s="26"/>
      <c r="AB319" s="26"/>
      <c r="AC319" s="26"/>
      <c r="AD319" s="26" t="n">
        <v>18</v>
      </c>
      <c r="AE319" s="26"/>
      <c r="AF319" s="26" t="n">
        <f aca="false">SUM(U319:AE319)</f>
        <v>49</v>
      </c>
      <c r="AG319" s="26" t="n">
        <f aca="false">T319-AF319</f>
        <v>600</v>
      </c>
      <c r="AH319" s="28" t="n">
        <f aca="false">IFERROR(AG319/T319,"")</f>
        <v>0.924499229583975</v>
      </c>
      <c r="AI319" s="29" t="n">
        <f aca="false">IFERROR(R319/AG319*60,"")</f>
        <v>626.1</v>
      </c>
      <c r="AJ319" s="30" t="n">
        <f aca="false">IFERROR(AI319/Q319,"")</f>
        <v>0.9130625</v>
      </c>
      <c r="AK319" s="31" t="n">
        <f aca="false">IFERROR(R319/(T319/60*Q319),"")</f>
        <v>0.844125577812019</v>
      </c>
      <c r="AL319" s="26" t="n">
        <v>2</v>
      </c>
      <c r="AM319" s="26"/>
      <c r="AN319" s="26" t="n">
        <v>7</v>
      </c>
      <c r="AO319" s="26" t="n">
        <v>8</v>
      </c>
      <c r="AP319" s="26" t="n">
        <v>3</v>
      </c>
      <c r="AQ319" s="26" t="n">
        <v>6</v>
      </c>
      <c r="AR319" s="26" t="n">
        <v>9</v>
      </c>
      <c r="AS319" s="26" t="n">
        <v>8</v>
      </c>
      <c r="AT319" s="26" t="n">
        <v>3</v>
      </c>
      <c r="AU319" s="26" t="n">
        <v>2</v>
      </c>
      <c r="AV319" s="26" t="n">
        <f aca="false">SUM(AL319:AU319)</f>
        <v>48</v>
      </c>
      <c r="AW319" s="32" t="n">
        <f aca="false">IFERROR(AV319/R319*1000000,"")</f>
        <v>7666.50694777192</v>
      </c>
      <c r="AX319" s="33" t="n">
        <f aca="false">IFERROR((R319-AV319)/R319,"")</f>
        <v>0.992333493052228</v>
      </c>
      <c r="AY319" s="34" t="n">
        <f aca="false">IFERROR(AH319*AJ319*AX319,"")</f>
        <v>0.837654083204931</v>
      </c>
      <c r="AZ319" s="35"/>
    </row>
    <row r="320" customFormat="false" ht="12.75" hidden="false" customHeight="true" outlineLevel="0" collapsed="false">
      <c r="A320" s="24" t="n">
        <v>316</v>
      </c>
      <c r="B320" s="25" t="n">
        <v>46128</v>
      </c>
      <c r="C320" s="25" t="n">
        <v>12</v>
      </c>
      <c r="D320" s="26" t="s">
        <v>71</v>
      </c>
      <c r="E320" s="26" t="s">
        <v>94</v>
      </c>
      <c r="F320" s="26" t="s">
        <v>81</v>
      </c>
      <c r="G320" s="26" t="s">
        <v>11</v>
      </c>
      <c r="H320" s="27" t="n">
        <v>0.354166666666667</v>
      </c>
      <c r="I320" s="27" t="n">
        <v>0.854166666666667</v>
      </c>
      <c r="J320" s="26" t="n">
        <f aca="false">IFERROR((I320-H320)*24*60,"")</f>
        <v>720</v>
      </c>
      <c r="K320" s="26" t="s">
        <v>74</v>
      </c>
      <c r="L320" s="26" t="s">
        <v>108</v>
      </c>
      <c r="M320" s="26" t="s">
        <v>95</v>
      </c>
      <c r="N320" s="26" t="s">
        <v>96</v>
      </c>
      <c r="O320" s="26" t="n">
        <v>2</v>
      </c>
      <c r="P320" s="26" t="n">
        <v>49</v>
      </c>
      <c r="Q320" s="26" t="n">
        <f aca="false">IFERROR(3600/(P320/O320),"")</f>
        <v>146.938775510204</v>
      </c>
      <c r="R320" s="26" t="n">
        <v>1160</v>
      </c>
      <c r="S320" s="26" t="n">
        <v>53</v>
      </c>
      <c r="T320" s="26" t="n">
        <f aca="false">IFERROR(J320-S320,"")</f>
        <v>667</v>
      </c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 t="n">
        <v>20</v>
      </c>
      <c r="AF320" s="26" t="n">
        <f aca="false">SUM(U320:AE320)</f>
        <v>20</v>
      </c>
      <c r="AG320" s="26" t="n">
        <f aca="false">T320-AF320</f>
        <v>647</v>
      </c>
      <c r="AH320" s="28" t="n">
        <f aca="false">IFERROR(AG320/T320,"")</f>
        <v>0.970014992503748</v>
      </c>
      <c r="AI320" s="29" t="n">
        <f aca="false">IFERROR(R320/AG320*60,"")</f>
        <v>107.57341576507</v>
      </c>
      <c r="AJ320" s="30" t="n">
        <f aca="false">IFERROR(AI320/Q320,"")</f>
        <v>0.732096857290057</v>
      </c>
      <c r="AK320" s="31" t="n">
        <f aca="false">IFERROR(R320/(T320/60*Q320),"")</f>
        <v>0.710144927536232</v>
      </c>
      <c r="AL320" s="26" t="n">
        <v>2</v>
      </c>
      <c r="AM320" s="26"/>
      <c r="AN320" s="26" t="n">
        <v>2</v>
      </c>
      <c r="AO320" s="26" t="n">
        <v>2</v>
      </c>
      <c r="AP320" s="26"/>
      <c r="AQ320" s="26" t="n">
        <v>1</v>
      </c>
      <c r="AR320" s="26" t="n">
        <v>3</v>
      </c>
      <c r="AS320" s="26" t="n">
        <v>1</v>
      </c>
      <c r="AT320" s="26" t="n">
        <v>2</v>
      </c>
      <c r="AU320" s="26" t="n">
        <v>1</v>
      </c>
      <c r="AV320" s="26" t="n">
        <f aca="false">SUM(AL320:AU320)</f>
        <v>14</v>
      </c>
      <c r="AW320" s="32" t="n">
        <f aca="false">IFERROR(AV320/R320*1000000,"")</f>
        <v>12068.9655172414</v>
      </c>
      <c r="AX320" s="33" t="n">
        <f aca="false">IFERROR((R320-AV320)/R320,"")</f>
        <v>0.987931034482759</v>
      </c>
      <c r="AY320" s="34" t="n">
        <f aca="false">IFERROR(AH320*AJ320*AX320,"")</f>
        <v>0.701574212893553</v>
      </c>
      <c r="AZ320" s="35" t="s">
        <v>86</v>
      </c>
    </row>
    <row r="321" customFormat="false" ht="12.75" hidden="false" customHeight="true" outlineLevel="0" collapsed="false">
      <c r="A321" s="24" t="n">
        <v>317</v>
      </c>
      <c r="B321" s="25" t="n">
        <v>46128</v>
      </c>
      <c r="C321" s="25" t="n">
        <v>12</v>
      </c>
      <c r="D321" s="26" t="s">
        <v>79</v>
      </c>
      <c r="E321" s="26" t="s">
        <v>97</v>
      </c>
      <c r="F321" s="26" t="s">
        <v>73</v>
      </c>
      <c r="G321" s="26" t="s">
        <v>12</v>
      </c>
      <c r="H321" s="27" t="n">
        <v>0.354166666666667</v>
      </c>
      <c r="I321" s="27" t="n">
        <v>0.854166666666667</v>
      </c>
      <c r="J321" s="26" t="n">
        <f aca="false">IFERROR((I321-H321)*24*60,"")</f>
        <v>720</v>
      </c>
      <c r="K321" s="26" t="s">
        <v>89</v>
      </c>
      <c r="L321" s="26" t="s">
        <v>98</v>
      </c>
      <c r="M321" s="26" t="s">
        <v>99</v>
      </c>
      <c r="N321" s="26" t="s">
        <v>100</v>
      </c>
      <c r="O321" s="26" t="n">
        <v>8</v>
      </c>
      <c r="P321" s="26" t="n">
        <v>60</v>
      </c>
      <c r="Q321" s="26" t="n">
        <f aca="false">IFERROR(3600/(P321/O321),"")</f>
        <v>480</v>
      </c>
      <c r="R321" s="26" t="n">
        <v>5038</v>
      </c>
      <c r="S321" s="26" t="n">
        <v>47</v>
      </c>
      <c r="T321" s="26" t="n">
        <f aca="false">IFERROR(J321-S321,"")</f>
        <v>673</v>
      </c>
      <c r="U321" s="26"/>
      <c r="V321" s="26"/>
      <c r="W321" s="26"/>
      <c r="X321" s="26"/>
      <c r="Y321" s="26"/>
      <c r="Z321" s="26"/>
      <c r="AA321" s="26" t="n">
        <v>5</v>
      </c>
      <c r="AB321" s="26"/>
      <c r="AC321" s="26"/>
      <c r="AD321" s="26"/>
      <c r="AE321" s="26"/>
      <c r="AF321" s="26" t="n">
        <f aca="false">SUM(U321:AE321)</f>
        <v>5</v>
      </c>
      <c r="AG321" s="26" t="n">
        <f aca="false">T321-AF321</f>
        <v>668</v>
      </c>
      <c r="AH321" s="28" t="n">
        <f aca="false">IFERROR(AG321/T321,"")</f>
        <v>0.992570579494799</v>
      </c>
      <c r="AI321" s="29" t="n">
        <f aca="false">IFERROR(R321/AG321*60,"")</f>
        <v>452.51497005988</v>
      </c>
      <c r="AJ321" s="30" t="n">
        <f aca="false">IFERROR(AI321/Q321,"")</f>
        <v>0.942739520958084</v>
      </c>
      <c r="AK321" s="31" t="n">
        <f aca="false">IFERROR(R321/(T321/60*Q321),"")</f>
        <v>0.935735512630015</v>
      </c>
      <c r="AL321" s="26" t="n">
        <v>4</v>
      </c>
      <c r="AM321" s="26" t="n">
        <v>7</v>
      </c>
      <c r="AN321" s="26" t="n">
        <v>7</v>
      </c>
      <c r="AO321" s="26" t="n">
        <v>3</v>
      </c>
      <c r="AP321" s="26" t="n">
        <v>3</v>
      </c>
      <c r="AQ321" s="26" t="n">
        <v>7</v>
      </c>
      <c r="AR321" s="26" t="n">
        <v>2</v>
      </c>
      <c r="AS321" s="26" t="n">
        <v>3</v>
      </c>
      <c r="AT321" s="26" t="n">
        <v>5</v>
      </c>
      <c r="AU321" s="26" t="n">
        <v>5</v>
      </c>
      <c r="AV321" s="26" t="n">
        <f aca="false">SUM(AL321:AU321)</f>
        <v>46</v>
      </c>
      <c r="AW321" s="32" t="n">
        <f aca="false">IFERROR(AV321/R321*1000000,"")</f>
        <v>9130.60738388249</v>
      </c>
      <c r="AX321" s="33" t="n">
        <f aca="false">IFERROR((R321-AV321)/R321,"")</f>
        <v>0.990869392616118</v>
      </c>
      <c r="AY321" s="34" t="n">
        <f aca="false">IFERROR(AH321*AJ321*AX321,"")</f>
        <v>0.927191679049034</v>
      </c>
      <c r="AZ321" s="35" t="s">
        <v>86</v>
      </c>
    </row>
    <row r="322" customFormat="false" ht="12.75" hidden="false" customHeight="true" outlineLevel="0" collapsed="false">
      <c r="A322" s="24" t="n">
        <v>318</v>
      </c>
      <c r="B322" s="25" t="n">
        <v>46128</v>
      </c>
      <c r="C322" s="25" t="n">
        <v>12</v>
      </c>
      <c r="D322" s="26" t="s">
        <v>87</v>
      </c>
      <c r="E322" s="26" t="s">
        <v>101</v>
      </c>
      <c r="F322" s="26" t="s">
        <v>81</v>
      </c>
      <c r="G322" s="26" t="s">
        <v>13</v>
      </c>
      <c r="H322" s="27" t="n">
        <v>0.354166666666667</v>
      </c>
      <c r="I322" s="27" t="n">
        <v>0.854166666666667</v>
      </c>
      <c r="J322" s="26" t="n">
        <f aca="false">IFERROR((I322-H322)*24*60,"")</f>
        <v>720</v>
      </c>
      <c r="K322" s="26" t="s">
        <v>105</v>
      </c>
      <c r="L322" s="26" t="s">
        <v>106</v>
      </c>
      <c r="M322" s="26" t="s">
        <v>103</v>
      </c>
      <c r="N322" s="26" t="s">
        <v>104</v>
      </c>
      <c r="O322" s="26" t="n">
        <v>8</v>
      </c>
      <c r="P322" s="26" t="n">
        <v>30</v>
      </c>
      <c r="Q322" s="26" t="n">
        <f aca="false">IFERROR(3600/(P322/O322),"")</f>
        <v>960</v>
      </c>
      <c r="R322" s="26" t="n">
        <v>10159</v>
      </c>
      <c r="S322" s="26" t="n">
        <v>37</v>
      </c>
      <c r="T322" s="26" t="n">
        <f aca="false">IFERROR(J322-S322,"")</f>
        <v>683</v>
      </c>
      <c r="U322" s="26"/>
      <c r="V322" s="26"/>
      <c r="W322" s="26"/>
      <c r="X322" s="26"/>
      <c r="Y322" s="26"/>
      <c r="Z322" s="26"/>
      <c r="AA322" s="26"/>
      <c r="AB322" s="26" t="n">
        <v>9</v>
      </c>
      <c r="AC322" s="26"/>
      <c r="AD322" s="26"/>
      <c r="AE322" s="26"/>
      <c r="AF322" s="26" t="n">
        <f aca="false">SUM(U322:AE322)</f>
        <v>9</v>
      </c>
      <c r="AG322" s="26" t="n">
        <f aca="false">T322-AF322</f>
        <v>674</v>
      </c>
      <c r="AH322" s="28" t="n">
        <f aca="false">IFERROR(AG322/T322,"")</f>
        <v>0.986822840409956</v>
      </c>
      <c r="AI322" s="29" t="n">
        <f aca="false">IFERROR(R322/AG322*60,"")</f>
        <v>904.362017804154</v>
      </c>
      <c r="AJ322" s="30" t="n">
        <f aca="false">IFERROR(AI322/Q322,"")</f>
        <v>0.942043768545994</v>
      </c>
      <c r="AK322" s="31" t="n">
        <f aca="false">IFERROR(R322/(T322/60*Q322),"")</f>
        <v>0.929630307467057</v>
      </c>
      <c r="AL322" s="26" t="n">
        <v>12</v>
      </c>
      <c r="AM322" s="26" t="n">
        <v>13</v>
      </c>
      <c r="AN322" s="26" t="n">
        <v>12</v>
      </c>
      <c r="AO322" s="26" t="n">
        <v>7</v>
      </c>
      <c r="AP322" s="26" t="n">
        <v>12</v>
      </c>
      <c r="AQ322" s="26" t="n">
        <v>16</v>
      </c>
      <c r="AR322" s="26" t="n">
        <v>9</v>
      </c>
      <c r="AS322" s="26" t="n">
        <v>10</v>
      </c>
      <c r="AT322" s="26" t="n">
        <v>6</v>
      </c>
      <c r="AU322" s="26" t="n">
        <v>11</v>
      </c>
      <c r="AV322" s="26" t="n">
        <f aca="false">SUM(AL322:AU322)</f>
        <v>108</v>
      </c>
      <c r="AW322" s="32" t="n">
        <f aca="false">IFERROR(AV322/R322*1000000,"")</f>
        <v>10630.9676149227</v>
      </c>
      <c r="AX322" s="33" t="n">
        <f aca="false">IFERROR((R322-AV322)/R322,"")</f>
        <v>0.989369032385077</v>
      </c>
      <c r="AY322" s="34" t="n">
        <f aca="false">IFERROR(AH322*AJ322*AX322,"")</f>
        <v>0.919747437774524</v>
      </c>
      <c r="AZ322" s="35" t="s">
        <v>78</v>
      </c>
    </row>
    <row r="323" customFormat="false" ht="12.75" hidden="false" customHeight="true" outlineLevel="0" collapsed="false">
      <c r="A323" s="24" t="n">
        <v>319</v>
      </c>
      <c r="B323" s="25" t="n">
        <v>46129</v>
      </c>
      <c r="C323" s="25" t="n">
        <v>12</v>
      </c>
      <c r="D323" s="26" t="s">
        <v>71</v>
      </c>
      <c r="E323" s="26" t="s">
        <v>72</v>
      </c>
      <c r="F323" s="26" t="s">
        <v>73</v>
      </c>
      <c r="G323" s="26" t="s">
        <v>8</v>
      </c>
      <c r="H323" s="27" t="n">
        <v>0.354166666666667</v>
      </c>
      <c r="I323" s="27" t="n">
        <v>0.854166666666667</v>
      </c>
      <c r="J323" s="26" t="n">
        <f aca="false">IFERROR((I323-H323)*24*60,"")</f>
        <v>720</v>
      </c>
      <c r="K323" s="26" t="s">
        <v>82</v>
      </c>
      <c r="L323" s="26" t="s">
        <v>108</v>
      </c>
      <c r="M323" s="26" t="s">
        <v>76</v>
      </c>
      <c r="N323" s="26" t="s">
        <v>77</v>
      </c>
      <c r="O323" s="26" t="n">
        <v>4</v>
      </c>
      <c r="P323" s="26" t="n">
        <v>74</v>
      </c>
      <c r="Q323" s="26" t="n">
        <f aca="false">IFERROR(3600/(P323/O323),"")</f>
        <v>194.594594594595</v>
      </c>
      <c r="R323" s="26" t="n">
        <v>1867</v>
      </c>
      <c r="S323" s="26" t="n">
        <v>39</v>
      </c>
      <c r="T323" s="26" t="n">
        <f aca="false">IFERROR(J323-S323,"")</f>
        <v>681</v>
      </c>
      <c r="U323" s="26" t="n">
        <v>10</v>
      </c>
      <c r="V323" s="26"/>
      <c r="W323" s="26" t="n">
        <v>25</v>
      </c>
      <c r="X323" s="26" t="n">
        <v>33</v>
      </c>
      <c r="Y323" s="26"/>
      <c r="Z323" s="26"/>
      <c r="AA323" s="26"/>
      <c r="AB323" s="26"/>
      <c r="AC323" s="26"/>
      <c r="AD323" s="26"/>
      <c r="AE323" s="26"/>
      <c r="AF323" s="26" t="n">
        <f aca="false">SUM(U323:AE323)</f>
        <v>68</v>
      </c>
      <c r="AG323" s="26" t="n">
        <f aca="false">T323-AF323</f>
        <v>613</v>
      </c>
      <c r="AH323" s="28" t="n">
        <f aca="false">IFERROR(AG323/T323,"")</f>
        <v>0.90014684287812</v>
      </c>
      <c r="AI323" s="29" t="n">
        <f aca="false">IFERROR(R323/AG323*60,"")</f>
        <v>182.740619902121</v>
      </c>
      <c r="AJ323" s="30" t="n">
        <f aca="false">IFERROR(AI323/Q323,"")</f>
        <v>0.939083741163676</v>
      </c>
      <c r="AK323" s="31" t="n">
        <f aca="false">IFERROR(R323/(T323/60*Q323),"")</f>
        <v>0.845313264806657</v>
      </c>
      <c r="AL323" s="26" t="n">
        <v>4</v>
      </c>
      <c r="AM323" s="26" t="n">
        <v>7</v>
      </c>
      <c r="AN323" s="26" t="n">
        <v>7</v>
      </c>
      <c r="AO323" s="26" t="n">
        <v>8</v>
      </c>
      <c r="AP323" s="26" t="n">
        <v>2</v>
      </c>
      <c r="AQ323" s="26" t="n">
        <v>2</v>
      </c>
      <c r="AR323" s="26" t="n">
        <v>3</v>
      </c>
      <c r="AS323" s="26" t="n">
        <v>4</v>
      </c>
      <c r="AT323" s="26" t="n">
        <v>3</v>
      </c>
      <c r="AU323" s="26" t="n">
        <v>3</v>
      </c>
      <c r="AV323" s="26" t="n">
        <f aca="false">SUM(AL323:AU323)</f>
        <v>43</v>
      </c>
      <c r="AW323" s="32" t="n">
        <f aca="false">IFERROR(AV323/R323*1000000,"")</f>
        <v>23031.6014997322</v>
      </c>
      <c r="AX323" s="33" t="n">
        <f aca="false">IFERROR((R323-AV323)/R323,"")</f>
        <v>0.976968398500268</v>
      </c>
      <c r="AY323" s="34" t="n">
        <f aca="false">IFERROR(AH323*AJ323*AX323,"")</f>
        <v>0.825844346549193</v>
      </c>
      <c r="AZ323" s="35" t="s">
        <v>93</v>
      </c>
    </row>
    <row r="324" customFormat="false" ht="12.75" hidden="false" customHeight="true" outlineLevel="0" collapsed="false">
      <c r="A324" s="24" t="n">
        <v>320</v>
      </c>
      <c r="B324" s="25" t="n">
        <v>46129</v>
      </c>
      <c r="C324" s="25" t="n">
        <v>12</v>
      </c>
      <c r="D324" s="26" t="s">
        <v>79</v>
      </c>
      <c r="E324" s="26" t="s">
        <v>80</v>
      </c>
      <c r="F324" s="26" t="s">
        <v>81</v>
      </c>
      <c r="G324" s="26" t="s">
        <v>9</v>
      </c>
      <c r="H324" s="27" t="n">
        <v>0.354166666666667</v>
      </c>
      <c r="I324" s="27" t="n">
        <v>0.854166666666667</v>
      </c>
      <c r="J324" s="26" t="n">
        <f aca="false">IFERROR((I324-H324)*24*60,"")</f>
        <v>720</v>
      </c>
      <c r="K324" s="26" t="s">
        <v>74</v>
      </c>
      <c r="L324" s="26" t="s">
        <v>75</v>
      </c>
      <c r="M324" s="26" t="s">
        <v>84</v>
      </c>
      <c r="N324" s="26" t="s">
        <v>85</v>
      </c>
      <c r="O324" s="26" t="n">
        <v>4</v>
      </c>
      <c r="P324" s="26" t="n">
        <v>46</v>
      </c>
      <c r="Q324" s="26" t="n">
        <f aca="false">IFERROR(3600/(P324/O324),"")</f>
        <v>313.04347826087</v>
      </c>
      <c r="R324" s="26" t="n">
        <v>3078</v>
      </c>
      <c r="S324" s="26" t="n">
        <v>43</v>
      </c>
      <c r="T324" s="26" t="n">
        <f aca="false">IFERROR(J324-S324,"")</f>
        <v>677</v>
      </c>
      <c r="U324" s="26"/>
      <c r="V324" s="26"/>
      <c r="W324" s="26"/>
      <c r="X324" s="26"/>
      <c r="Y324" s="26" t="n">
        <v>61</v>
      </c>
      <c r="Z324" s="26"/>
      <c r="AA324" s="26"/>
      <c r="AB324" s="26"/>
      <c r="AC324" s="26"/>
      <c r="AD324" s="26"/>
      <c r="AE324" s="26" t="n">
        <v>3</v>
      </c>
      <c r="AF324" s="26" t="n">
        <f aca="false">SUM(U324:AE324)</f>
        <v>64</v>
      </c>
      <c r="AG324" s="26" t="n">
        <f aca="false">T324-AF324</f>
        <v>613</v>
      </c>
      <c r="AH324" s="28" t="n">
        <f aca="false">IFERROR(AG324/T324,"")</f>
        <v>0.905465288035451</v>
      </c>
      <c r="AI324" s="29" t="n">
        <f aca="false">IFERROR(R324/AG324*60,"")</f>
        <v>301.272430668842</v>
      </c>
      <c r="AJ324" s="30" t="n">
        <f aca="false">IFERROR(AI324/Q324,"")</f>
        <v>0.962398042414356</v>
      </c>
      <c r="AK324" s="31" t="n">
        <f aca="false">IFERROR(R324/(T324/60*Q324),"")</f>
        <v>0.871418020679468</v>
      </c>
      <c r="AL324" s="26" t="n">
        <v>6</v>
      </c>
      <c r="AM324" s="26" t="n">
        <v>5</v>
      </c>
      <c r="AN324" s="26" t="n">
        <v>7</v>
      </c>
      <c r="AO324" s="26" t="n">
        <v>2</v>
      </c>
      <c r="AP324" s="26" t="n">
        <v>2</v>
      </c>
      <c r="AQ324" s="26" t="n">
        <v>11</v>
      </c>
      <c r="AR324" s="26" t="n">
        <v>8</v>
      </c>
      <c r="AS324" s="26" t="n">
        <v>11</v>
      </c>
      <c r="AT324" s="26" t="n">
        <v>1</v>
      </c>
      <c r="AU324" s="26" t="n">
        <v>6</v>
      </c>
      <c r="AV324" s="26" t="n">
        <f aca="false">SUM(AL324:AU324)</f>
        <v>59</v>
      </c>
      <c r="AW324" s="32" t="n">
        <f aca="false">IFERROR(AV324/R324*1000000,"")</f>
        <v>19168.2910981157</v>
      </c>
      <c r="AX324" s="33" t="n">
        <f aca="false">IFERROR((R324-AV324)/R324,"")</f>
        <v>0.980831708901884</v>
      </c>
      <c r="AY324" s="34" t="n">
        <f aca="false">IFERROR(AH324*AJ324*AX324,"")</f>
        <v>0.85471442639094</v>
      </c>
      <c r="AZ324" s="35" t="s">
        <v>78</v>
      </c>
    </row>
    <row r="325" customFormat="false" ht="12.75" hidden="false" customHeight="true" outlineLevel="0" collapsed="false">
      <c r="A325" s="24" t="n">
        <v>321</v>
      </c>
      <c r="B325" s="25" t="n">
        <v>46129</v>
      </c>
      <c r="C325" s="25" t="n">
        <v>12</v>
      </c>
      <c r="D325" s="26" t="s">
        <v>87</v>
      </c>
      <c r="E325" s="26" t="s">
        <v>88</v>
      </c>
      <c r="F325" s="26" t="s">
        <v>73</v>
      </c>
      <c r="G325" s="26" t="s">
        <v>10</v>
      </c>
      <c r="H325" s="27" t="n">
        <v>0.354166666666667</v>
      </c>
      <c r="I325" s="27" t="n">
        <v>0.854166666666667</v>
      </c>
      <c r="J325" s="26" t="n">
        <f aca="false">IFERROR((I325-H325)*24*60,"")</f>
        <v>720</v>
      </c>
      <c r="K325" s="26" t="s">
        <v>82</v>
      </c>
      <c r="L325" s="26" t="s">
        <v>107</v>
      </c>
      <c r="M325" s="26" t="s">
        <v>91</v>
      </c>
      <c r="N325" s="26" t="s">
        <v>92</v>
      </c>
      <c r="O325" s="26" t="n">
        <v>8</v>
      </c>
      <c r="P325" s="26" t="n">
        <v>33</v>
      </c>
      <c r="Q325" s="26" t="n">
        <f aca="false">IFERROR(3600/(P325/O325),"")</f>
        <v>872.727272727273</v>
      </c>
      <c r="R325" s="26" t="n">
        <v>7405</v>
      </c>
      <c r="S325" s="26" t="n">
        <v>31</v>
      </c>
      <c r="T325" s="26" t="n">
        <f aca="false">IFERROR(J325-S325,"")</f>
        <v>689</v>
      </c>
      <c r="U325" s="26"/>
      <c r="V325" s="26"/>
      <c r="W325" s="26"/>
      <c r="X325" s="26"/>
      <c r="Y325" s="26"/>
      <c r="Z325" s="26"/>
      <c r="AA325" s="26"/>
      <c r="AB325" s="26" t="n">
        <v>3</v>
      </c>
      <c r="AC325" s="26"/>
      <c r="AD325" s="26"/>
      <c r="AE325" s="26"/>
      <c r="AF325" s="26" t="n">
        <f aca="false">SUM(U325:AE325)</f>
        <v>3</v>
      </c>
      <c r="AG325" s="26" t="n">
        <f aca="false">T325-AF325</f>
        <v>686</v>
      </c>
      <c r="AH325" s="28" t="n">
        <f aca="false">IFERROR(AG325/T325,"")</f>
        <v>0.995645863570392</v>
      </c>
      <c r="AI325" s="29" t="n">
        <f aca="false">IFERROR(R325/AG325*60,"")</f>
        <v>647.667638483965</v>
      </c>
      <c r="AJ325" s="30" t="n">
        <f aca="false">IFERROR(AI325/Q325,"")</f>
        <v>0.74211916909621</v>
      </c>
      <c r="AK325" s="31" t="n">
        <f aca="false">IFERROR(R325/(T325/60*Q325),"")</f>
        <v>0.738887880986938</v>
      </c>
      <c r="AL325" s="26" t="n">
        <v>4</v>
      </c>
      <c r="AM325" s="26" t="n">
        <v>5</v>
      </c>
      <c r="AN325" s="26" t="n">
        <v>7</v>
      </c>
      <c r="AO325" s="26" t="n">
        <v>11</v>
      </c>
      <c r="AP325" s="26" t="n">
        <v>7</v>
      </c>
      <c r="AQ325" s="26" t="n">
        <v>13</v>
      </c>
      <c r="AR325" s="26" t="n">
        <v>6</v>
      </c>
      <c r="AS325" s="26" t="n">
        <v>11</v>
      </c>
      <c r="AT325" s="26" t="n">
        <v>5</v>
      </c>
      <c r="AU325" s="26" t="n">
        <v>12</v>
      </c>
      <c r="AV325" s="26" t="n">
        <f aca="false">SUM(AL325:AU325)</f>
        <v>81</v>
      </c>
      <c r="AW325" s="32" t="n">
        <f aca="false">IFERROR(AV325/R325*1000000,"")</f>
        <v>10938.5550303849</v>
      </c>
      <c r="AX325" s="33" t="n">
        <f aca="false">IFERROR((R325-AV325)/R325,"")</f>
        <v>0.989061444969615</v>
      </c>
      <c r="AY325" s="34" t="n">
        <f aca="false">IFERROR(AH325*AJ325*AX325,"")</f>
        <v>0.730805515239478</v>
      </c>
      <c r="AZ325" s="35"/>
    </row>
    <row r="326" customFormat="false" ht="12.75" hidden="false" customHeight="true" outlineLevel="0" collapsed="false">
      <c r="A326" s="24" t="n">
        <v>322</v>
      </c>
      <c r="B326" s="25" t="n">
        <v>46130</v>
      </c>
      <c r="C326" s="25" t="n">
        <v>12</v>
      </c>
      <c r="D326" s="26" t="s">
        <v>71</v>
      </c>
      <c r="E326" s="26" t="s">
        <v>94</v>
      </c>
      <c r="F326" s="26" t="s">
        <v>81</v>
      </c>
      <c r="G326" s="26" t="s">
        <v>11</v>
      </c>
      <c r="H326" s="27" t="n">
        <v>0.354166666666667</v>
      </c>
      <c r="I326" s="27" t="n">
        <v>0.854166666666667</v>
      </c>
      <c r="J326" s="26" t="n">
        <f aca="false">IFERROR((I326-H326)*24*60,"")</f>
        <v>720</v>
      </c>
      <c r="K326" s="26" t="s">
        <v>82</v>
      </c>
      <c r="L326" s="26" t="s">
        <v>102</v>
      </c>
      <c r="M326" s="26" t="s">
        <v>95</v>
      </c>
      <c r="N326" s="26" t="s">
        <v>96</v>
      </c>
      <c r="O326" s="26" t="n">
        <v>1</v>
      </c>
      <c r="P326" s="26" t="n">
        <v>52</v>
      </c>
      <c r="Q326" s="26" t="n">
        <f aca="false">IFERROR(3600/(P326/O326),"")</f>
        <v>69.2307692307692</v>
      </c>
      <c r="R326" s="26" t="n">
        <v>604</v>
      </c>
      <c r="S326" s="26" t="n">
        <v>59</v>
      </c>
      <c r="T326" s="26" t="n">
        <f aca="false">IFERROR(J326-S326,"")</f>
        <v>661</v>
      </c>
      <c r="U326" s="26"/>
      <c r="V326" s="26"/>
      <c r="W326" s="26" t="n">
        <v>11</v>
      </c>
      <c r="X326" s="26"/>
      <c r="Y326" s="26"/>
      <c r="Z326" s="26"/>
      <c r="AA326" s="26"/>
      <c r="AB326" s="26"/>
      <c r="AC326" s="26"/>
      <c r="AD326" s="26"/>
      <c r="AE326" s="26"/>
      <c r="AF326" s="26" t="n">
        <f aca="false">SUM(U326:AE326)</f>
        <v>11</v>
      </c>
      <c r="AG326" s="26" t="n">
        <f aca="false">T326-AF326</f>
        <v>650</v>
      </c>
      <c r="AH326" s="28" t="n">
        <f aca="false">IFERROR(AG326/T326,"")</f>
        <v>0.983358547655068</v>
      </c>
      <c r="AI326" s="29" t="n">
        <f aca="false">IFERROR(R326/AG326*60,"")</f>
        <v>55.7538461538462</v>
      </c>
      <c r="AJ326" s="30" t="n">
        <f aca="false">IFERROR(AI326/Q326,"")</f>
        <v>0.805333333333333</v>
      </c>
      <c r="AK326" s="31" t="n">
        <f aca="false">IFERROR(R326/(T326/60*Q326),"")</f>
        <v>0.791931417044882</v>
      </c>
      <c r="AL326" s="26" t="n">
        <v>2</v>
      </c>
      <c r="AM326" s="26"/>
      <c r="AN326" s="26"/>
      <c r="AO326" s="26" t="n">
        <v>2</v>
      </c>
      <c r="AP326" s="26"/>
      <c r="AQ326" s="26" t="n">
        <v>1</v>
      </c>
      <c r="AR326" s="26"/>
      <c r="AS326" s="26" t="n">
        <v>1</v>
      </c>
      <c r="AT326" s="26"/>
      <c r="AU326" s="26"/>
      <c r="AV326" s="26" t="n">
        <f aca="false">SUM(AL326:AU326)</f>
        <v>6</v>
      </c>
      <c r="AW326" s="32" t="n">
        <f aca="false">IFERROR(AV326/R326*1000000,"")</f>
        <v>9933.77483443709</v>
      </c>
      <c r="AX326" s="33" t="n">
        <f aca="false">IFERROR((R326-AV326)/R326,"")</f>
        <v>0.990066225165563</v>
      </c>
      <c r="AY326" s="34" t="n">
        <f aca="false">IFERROR(AH326*AJ326*AX326,"")</f>
        <v>0.784064548663641</v>
      </c>
      <c r="AZ326" s="35" t="s">
        <v>86</v>
      </c>
    </row>
    <row r="327" customFormat="false" ht="12.75" hidden="false" customHeight="true" outlineLevel="0" collapsed="false">
      <c r="A327" s="24" t="n">
        <v>323</v>
      </c>
      <c r="B327" s="25" t="n">
        <v>46130</v>
      </c>
      <c r="C327" s="25" t="n">
        <v>12</v>
      </c>
      <c r="D327" s="26" t="s">
        <v>79</v>
      </c>
      <c r="E327" s="26" t="s">
        <v>97</v>
      </c>
      <c r="F327" s="26" t="s">
        <v>73</v>
      </c>
      <c r="G327" s="26" t="s">
        <v>12</v>
      </c>
      <c r="H327" s="27" t="n">
        <v>0.354166666666667</v>
      </c>
      <c r="I327" s="27" t="n">
        <v>0.854166666666667</v>
      </c>
      <c r="J327" s="26" t="n">
        <f aca="false">IFERROR((I327-H327)*24*60,"")</f>
        <v>720</v>
      </c>
      <c r="K327" s="26" t="s">
        <v>82</v>
      </c>
      <c r="L327" s="26" t="s">
        <v>102</v>
      </c>
      <c r="M327" s="26" t="s">
        <v>99</v>
      </c>
      <c r="N327" s="26" t="s">
        <v>100</v>
      </c>
      <c r="O327" s="26" t="n">
        <v>8</v>
      </c>
      <c r="P327" s="26" t="n">
        <v>44</v>
      </c>
      <c r="Q327" s="26" t="n">
        <f aca="false">IFERROR(3600/(P327/O327),"")</f>
        <v>654.545454545455</v>
      </c>
      <c r="R327" s="26" t="n">
        <v>6249</v>
      </c>
      <c r="S327" s="26" t="n">
        <v>47</v>
      </c>
      <c r="T327" s="26" t="n">
        <f aca="false">IFERROR(J327-S327,"")</f>
        <v>673</v>
      </c>
      <c r="U327" s="26"/>
      <c r="V327" s="26"/>
      <c r="W327" s="26"/>
      <c r="X327" s="26"/>
      <c r="Y327" s="26"/>
      <c r="Z327" s="26"/>
      <c r="AA327" s="26"/>
      <c r="AB327" s="26"/>
      <c r="AC327" s="26"/>
      <c r="AD327" s="26" t="n">
        <v>41</v>
      </c>
      <c r="AE327" s="26" t="n">
        <v>9</v>
      </c>
      <c r="AF327" s="26" t="n">
        <f aca="false">SUM(U327:AE327)</f>
        <v>50</v>
      </c>
      <c r="AG327" s="26" t="n">
        <f aca="false">T327-AF327</f>
        <v>623</v>
      </c>
      <c r="AH327" s="28" t="n">
        <f aca="false">IFERROR(AG327/T327,"")</f>
        <v>0.925705794947994</v>
      </c>
      <c r="AI327" s="29" t="n">
        <f aca="false">IFERROR(R327/AG327*60,"")</f>
        <v>601.829855537721</v>
      </c>
      <c r="AJ327" s="30" t="n">
        <f aca="false">IFERROR(AI327/Q327,"")</f>
        <v>0.91946227929374</v>
      </c>
      <c r="AK327" s="31" t="n">
        <f aca="false">IFERROR(R327/(T327/60*Q327),"")</f>
        <v>0.851151560178306</v>
      </c>
      <c r="AL327" s="26" t="n">
        <v>4</v>
      </c>
      <c r="AM327" s="26" t="n">
        <v>2</v>
      </c>
      <c r="AN327" s="26" t="n">
        <v>3</v>
      </c>
      <c r="AO327" s="26" t="n">
        <v>3</v>
      </c>
      <c r="AP327" s="26" t="n">
        <v>4</v>
      </c>
      <c r="AQ327" s="26" t="n">
        <v>2</v>
      </c>
      <c r="AR327" s="26" t="n">
        <v>4</v>
      </c>
      <c r="AS327" s="26" t="n">
        <v>3</v>
      </c>
      <c r="AT327" s="26" t="n">
        <v>3</v>
      </c>
      <c r="AU327" s="26" t="n">
        <v>1</v>
      </c>
      <c r="AV327" s="26" t="n">
        <f aca="false">SUM(AL327:AU327)</f>
        <v>29</v>
      </c>
      <c r="AW327" s="32" t="n">
        <f aca="false">IFERROR(AV327/R327*1000000,"")</f>
        <v>4640.74251880301</v>
      </c>
      <c r="AX327" s="33" t="n">
        <f aca="false">IFERROR((R327-AV327)/R327,"")</f>
        <v>0.995359257481197</v>
      </c>
      <c r="AY327" s="34" t="n">
        <f aca="false">IFERROR(AH327*AJ327*AX327,"")</f>
        <v>0.847201584943041</v>
      </c>
      <c r="AZ327" s="35" t="s">
        <v>93</v>
      </c>
    </row>
    <row r="328" customFormat="false" ht="12.75" hidden="false" customHeight="true" outlineLevel="0" collapsed="false">
      <c r="A328" s="24" t="n">
        <v>324</v>
      </c>
      <c r="B328" s="25" t="n">
        <v>46130</v>
      </c>
      <c r="C328" s="25" t="n">
        <v>12</v>
      </c>
      <c r="D328" s="26" t="s">
        <v>87</v>
      </c>
      <c r="E328" s="26" t="s">
        <v>101</v>
      </c>
      <c r="F328" s="26" t="s">
        <v>81</v>
      </c>
      <c r="G328" s="26" t="s">
        <v>13</v>
      </c>
      <c r="H328" s="27" t="n">
        <v>0.354166666666667</v>
      </c>
      <c r="I328" s="27" t="n">
        <v>0.854166666666667</v>
      </c>
      <c r="J328" s="26" t="n">
        <f aca="false">IFERROR((I328-H328)*24*60,"")</f>
        <v>720</v>
      </c>
      <c r="K328" s="26" t="s">
        <v>105</v>
      </c>
      <c r="L328" s="26" t="s">
        <v>90</v>
      </c>
      <c r="M328" s="26" t="s">
        <v>103</v>
      </c>
      <c r="N328" s="26" t="s">
        <v>104</v>
      </c>
      <c r="O328" s="26" t="n">
        <v>4</v>
      </c>
      <c r="P328" s="26" t="n">
        <v>34</v>
      </c>
      <c r="Q328" s="26" t="n">
        <f aca="false">IFERROR(3600/(P328/O328),"")</f>
        <v>423.529411764706</v>
      </c>
      <c r="R328" s="26" t="n">
        <v>3933</v>
      </c>
      <c r="S328" s="26" t="n">
        <v>42</v>
      </c>
      <c r="T328" s="26" t="n">
        <f aca="false">IFERROR(J328-S328,"")</f>
        <v>678</v>
      </c>
      <c r="U328" s="26"/>
      <c r="V328" s="26" t="n">
        <v>4</v>
      </c>
      <c r="W328" s="26"/>
      <c r="X328" s="26"/>
      <c r="Y328" s="26"/>
      <c r="Z328" s="26" t="n">
        <v>4</v>
      </c>
      <c r="AA328" s="26"/>
      <c r="AB328" s="26"/>
      <c r="AC328" s="26"/>
      <c r="AD328" s="26"/>
      <c r="AE328" s="26"/>
      <c r="AF328" s="26" t="n">
        <f aca="false">SUM(U328:AE328)</f>
        <v>8</v>
      </c>
      <c r="AG328" s="26" t="n">
        <f aca="false">T328-AF328</f>
        <v>670</v>
      </c>
      <c r="AH328" s="28" t="n">
        <f aca="false">IFERROR(AG328/T328,"")</f>
        <v>0.988200589970501</v>
      </c>
      <c r="AI328" s="29" t="n">
        <f aca="false">IFERROR(R328/AG328*60,"")</f>
        <v>352.208955223881</v>
      </c>
      <c r="AJ328" s="30" t="n">
        <f aca="false">IFERROR(AI328/Q328,"")</f>
        <v>0.83160447761194</v>
      </c>
      <c r="AK328" s="31" t="n">
        <f aca="false">IFERROR(R328/(T328/60*Q328),"")</f>
        <v>0.82179203539823</v>
      </c>
      <c r="AL328" s="26" t="n">
        <v>6</v>
      </c>
      <c r="AM328" s="26" t="n">
        <v>8</v>
      </c>
      <c r="AN328" s="26" t="n">
        <v>8</v>
      </c>
      <c r="AO328" s="26" t="n">
        <v>4</v>
      </c>
      <c r="AP328" s="26" t="n">
        <v>2</v>
      </c>
      <c r="AQ328" s="26" t="n">
        <v>9</v>
      </c>
      <c r="AR328" s="26" t="n">
        <v>7</v>
      </c>
      <c r="AS328" s="26" t="n">
        <v>3</v>
      </c>
      <c r="AT328" s="26" t="n">
        <v>7</v>
      </c>
      <c r="AU328" s="26" t="n">
        <v>3</v>
      </c>
      <c r="AV328" s="26" t="n">
        <f aca="false">SUM(AL328:AU328)</f>
        <v>57</v>
      </c>
      <c r="AW328" s="32" t="n">
        <f aca="false">IFERROR(AV328/R328*1000000,"")</f>
        <v>14492.7536231884</v>
      </c>
      <c r="AX328" s="33" t="n">
        <f aca="false">IFERROR((R328-AV328)/R328,"")</f>
        <v>0.985507246376812</v>
      </c>
      <c r="AY328" s="34" t="n">
        <f aca="false">IFERROR(AH328*AJ328*AX328,"")</f>
        <v>0.809882005899705</v>
      </c>
      <c r="AZ328" s="35" t="s">
        <v>86</v>
      </c>
    </row>
    <row r="329" customFormat="false" ht="12.75" hidden="false" customHeight="true" outlineLevel="0" collapsed="false">
      <c r="A329" s="24" t="n">
        <v>325</v>
      </c>
      <c r="B329" s="25" t="n">
        <v>46131</v>
      </c>
      <c r="C329" s="25" t="n">
        <v>12</v>
      </c>
      <c r="D329" s="26" t="s">
        <v>71</v>
      </c>
      <c r="E329" s="26" t="s">
        <v>72</v>
      </c>
      <c r="F329" s="26" t="s">
        <v>73</v>
      </c>
      <c r="G329" s="26" t="s">
        <v>8</v>
      </c>
      <c r="H329" s="27" t="n">
        <v>0.354166666666667</v>
      </c>
      <c r="I329" s="27" t="n">
        <v>0.854166666666667</v>
      </c>
      <c r="J329" s="26" t="n">
        <f aca="false">IFERROR((I329-H329)*24*60,"")</f>
        <v>720</v>
      </c>
      <c r="K329" s="26" t="s">
        <v>105</v>
      </c>
      <c r="L329" s="26" t="s">
        <v>90</v>
      </c>
      <c r="M329" s="26" t="s">
        <v>76</v>
      </c>
      <c r="N329" s="26" t="s">
        <v>77</v>
      </c>
      <c r="O329" s="26" t="n">
        <v>1</v>
      </c>
      <c r="P329" s="26" t="n">
        <v>38</v>
      </c>
      <c r="Q329" s="26" t="n">
        <f aca="false">IFERROR(3600/(P329/O329),"")</f>
        <v>94.7368421052632</v>
      </c>
      <c r="R329" s="26" t="n">
        <v>988</v>
      </c>
      <c r="S329" s="26" t="n">
        <v>60</v>
      </c>
      <c r="T329" s="26" t="n">
        <f aca="false">IFERROR(J329-S329,"")</f>
        <v>660</v>
      </c>
      <c r="U329" s="26"/>
      <c r="V329" s="26"/>
      <c r="W329" s="26"/>
      <c r="X329" s="26"/>
      <c r="Y329" s="26"/>
      <c r="Z329" s="26"/>
      <c r="AA329" s="26"/>
      <c r="AB329" s="26"/>
      <c r="AC329" s="26" t="n">
        <v>4</v>
      </c>
      <c r="AD329" s="26"/>
      <c r="AE329" s="26"/>
      <c r="AF329" s="26" t="n">
        <f aca="false">SUM(U329:AE329)</f>
        <v>4</v>
      </c>
      <c r="AG329" s="26" t="n">
        <f aca="false">T329-AF329</f>
        <v>656</v>
      </c>
      <c r="AH329" s="28" t="n">
        <f aca="false">IFERROR(AG329/T329,"")</f>
        <v>0.993939393939394</v>
      </c>
      <c r="AI329" s="29" t="n">
        <f aca="false">IFERROR(R329/AG329*60,"")</f>
        <v>90.3658536585366</v>
      </c>
      <c r="AJ329" s="30" t="n">
        <f aca="false">IFERROR(AI329/Q329,"")</f>
        <v>0.953861788617886</v>
      </c>
      <c r="AK329" s="31" t="n">
        <f aca="false">IFERROR(R329/(T329/60*Q329),"")</f>
        <v>0.948080808080808</v>
      </c>
      <c r="AL329" s="26" t="n">
        <v>2</v>
      </c>
      <c r="AM329" s="26"/>
      <c r="AN329" s="26"/>
      <c r="AO329" s="26"/>
      <c r="AP329" s="26" t="n">
        <v>1</v>
      </c>
      <c r="AQ329" s="26"/>
      <c r="AR329" s="26" t="n">
        <v>3</v>
      </c>
      <c r="AS329" s="26" t="n">
        <v>1</v>
      </c>
      <c r="AT329" s="26" t="n">
        <v>2</v>
      </c>
      <c r="AU329" s="26"/>
      <c r="AV329" s="26" t="n">
        <f aca="false">SUM(AL329:AU329)</f>
        <v>9</v>
      </c>
      <c r="AW329" s="32" t="n">
        <f aca="false">IFERROR(AV329/R329*1000000,"")</f>
        <v>9109.31174089069</v>
      </c>
      <c r="AX329" s="33" t="n">
        <f aca="false">IFERROR((R329-AV329)/R329,"")</f>
        <v>0.990890688259109</v>
      </c>
      <c r="AY329" s="34" t="n">
        <f aca="false">IFERROR(AH329*AJ329*AX329,"")</f>
        <v>0.939444444444444</v>
      </c>
      <c r="AZ329" s="35" t="s">
        <v>86</v>
      </c>
    </row>
    <row r="330" customFormat="false" ht="12.75" hidden="false" customHeight="true" outlineLevel="0" collapsed="false">
      <c r="A330" s="24" t="n">
        <v>326</v>
      </c>
      <c r="B330" s="25" t="n">
        <v>46131</v>
      </c>
      <c r="C330" s="25" t="n">
        <v>12</v>
      </c>
      <c r="D330" s="26" t="s">
        <v>79</v>
      </c>
      <c r="E330" s="26" t="s">
        <v>80</v>
      </c>
      <c r="F330" s="26" t="s">
        <v>81</v>
      </c>
      <c r="G330" s="26" t="s">
        <v>9</v>
      </c>
      <c r="H330" s="27" t="n">
        <v>0.354166666666667</v>
      </c>
      <c r="I330" s="27" t="n">
        <v>0.854166666666667</v>
      </c>
      <c r="J330" s="26" t="n">
        <f aca="false">IFERROR((I330-H330)*24*60,"")</f>
        <v>720</v>
      </c>
      <c r="K330" s="26" t="s">
        <v>89</v>
      </c>
      <c r="L330" s="26" t="s">
        <v>108</v>
      </c>
      <c r="M330" s="26" t="s">
        <v>84</v>
      </c>
      <c r="N330" s="26" t="s">
        <v>85</v>
      </c>
      <c r="O330" s="26" t="n">
        <v>2</v>
      </c>
      <c r="P330" s="26" t="n">
        <v>38</v>
      </c>
      <c r="Q330" s="26" t="n">
        <f aca="false">IFERROR(3600/(P330/O330),"")</f>
        <v>189.473684210526</v>
      </c>
      <c r="R330" s="26" t="n">
        <v>1840</v>
      </c>
      <c r="S330" s="26" t="n">
        <v>67</v>
      </c>
      <c r="T330" s="26" t="n">
        <f aca="false">IFERROR(J330-S330,"")</f>
        <v>653</v>
      </c>
      <c r="U330" s="26"/>
      <c r="V330" s="26" t="n">
        <v>5</v>
      </c>
      <c r="W330" s="26"/>
      <c r="X330" s="26"/>
      <c r="Y330" s="26"/>
      <c r="Z330" s="26"/>
      <c r="AA330" s="26"/>
      <c r="AB330" s="26"/>
      <c r="AC330" s="26"/>
      <c r="AD330" s="26"/>
      <c r="AE330" s="26"/>
      <c r="AF330" s="26" t="n">
        <f aca="false">SUM(U330:AE330)</f>
        <v>5</v>
      </c>
      <c r="AG330" s="26" t="n">
        <f aca="false">T330-AF330</f>
        <v>648</v>
      </c>
      <c r="AH330" s="28" t="n">
        <f aca="false">IFERROR(AG330/T330,"")</f>
        <v>0.992343032159265</v>
      </c>
      <c r="AI330" s="29" t="n">
        <f aca="false">IFERROR(R330/AG330*60,"")</f>
        <v>170.37037037037</v>
      </c>
      <c r="AJ330" s="30" t="n">
        <f aca="false">IFERROR(AI330/Q330,"")</f>
        <v>0.89917695473251</v>
      </c>
      <c r="AK330" s="31" t="n">
        <f aca="false">IFERROR(R330/(T330/60*Q330),"")</f>
        <v>0.892291985706993</v>
      </c>
      <c r="AL330" s="26" t="n">
        <v>2</v>
      </c>
      <c r="AM330" s="26" t="n">
        <v>1</v>
      </c>
      <c r="AN330" s="26" t="n">
        <v>3</v>
      </c>
      <c r="AO330" s="26" t="n">
        <v>3</v>
      </c>
      <c r="AP330" s="26" t="n">
        <v>5</v>
      </c>
      <c r="AQ330" s="26" t="n">
        <v>4</v>
      </c>
      <c r="AR330" s="26" t="n">
        <v>3</v>
      </c>
      <c r="AS330" s="26" t="n">
        <v>1</v>
      </c>
      <c r="AT330" s="26" t="n">
        <v>4</v>
      </c>
      <c r="AU330" s="26" t="n">
        <v>2</v>
      </c>
      <c r="AV330" s="26" t="n">
        <f aca="false">SUM(AL330:AU330)</f>
        <v>28</v>
      </c>
      <c r="AW330" s="32" t="n">
        <f aca="false">IFERROR(AV330/R330*1000000,"")</f>
        <v>15217.3913043478</v>
      </c>
      <c r="AX330" s="33" t="n">
        <f aca="false">IFERROR((R330-AV330)/R330,"")</f>
        <v>0.984782608695652</v>
      </c>
      <c r="AY330" s="34" t="n">
        <f aca="false">IFERROR(AH330*AJ330*AX330,"")</f>
        <v>0.878713629402756</v>
      </c>
      <c r="AZ330" s="35" t="s">
        <v>86</v>
      </c>
    </row>
    <row r="331" customFormat="false" ht="12.75" hidden="false" customHeight="true" outlineLevel="0" collapsed="false">
      <c r="A331" s="24" t="n">
        <v>327</v>
      </c>
      <c r="B331" s="25" t="n">
        <v>46131</v>
      </c>
      <c r="C331" s="25" t="n">
        <v>12</v>
      </c>
      <c r="D331" s="26" t="s">
        <v>87</v>
      </c>
      <c r="E331" s="26" t="s">
        <v>88</v>
      </c>
      <c r="F331" s="26" t="s">
        <v>73</v>
      </c>
      <c r="G331" s="26" t="s">
        <v>10</v>
      </c>
      <c r="H331" s="27" t="n">
        <v>0.354166666666667</v>
      </c>
      <c r="I331" s="27" t="n">
        <v>0.854166666666667</v>
      </c>
      <c r="J331" s="26" t="n">
        <f aca="false">IFERROR((I331-H331)*24*60,"")</f>
        <v>720</v>
      </c>
      <c r="K331" s="26" t="s">
        <v>74</v>
      </c>
      <c r="L331" s="26" t="s">
        <v>102</v>
      </c>
      <c r="M331" s="26" t="s">
        <v>91</v>
      </c>
      <c r="N331" s="26" t="s">
        <v>92</v>
      </c>
      <c r="O331" s="26" t="n">
        <v>1</v>
      </c>
      <c r="P331" s="26" t="n">
        <v>48</v>
      </c>
      <c r="Q331" s="26" t="n">
        <f aca="false">IFERROR(3600/(P331/O331),"")</f>
        <v>75</v>
      </c>
      <c r="R331" s="26" t="n">
        <v>806</v>
      </c>
      <c r="S331" s="26" t="n">
        <v>41</v>
      </c>
      <c r="T331" s="26" t="n">
        <f aca="false">IFERROR(J331-S331,"")</f>
        <v>679</v>
      </c>
      <c r="U331" s="26"/>
      <c r="V331" s="26"/>
      <c r="W331" s="26"/>
      <c r="X331" s="26" t="n">
        <v>6</v>
      </c>
      <c r="Y331" s="26" t="n">
        <v>9</v>
      </c>
      <c r="Z331" s="26"/>
      <c r="AA331" s="26"/>
      <c r="AB331" s="26"/>
      <c r="AC331" s="26"/>
      <c r="AD331" s="26" t="n">
        <v>9</v>
      </c>
      <c r="AE331" s="26"/>
      <c r="AF331" s="26" t="n">
        <f aca="false">SUM(U331:AE331)</f>
        <v>24</v>
      </c>
      <c r="AG331" s="26" t="n">
        <f aca="false">T331-AF331</f>
        <v>655</v>
      </c>
      <c r="AH331" s="28" t="n">
        <f aca="false">IFERROR(AG331/T331,"")</f>
        <v>0.964653902798233</v>
      </c>
      <c r="AI331" s="29" t="n">
        <f aca="false">IFERROR(R331/AG331*60,"")</f>
        <v>73.8320610687023</v>
      </c>
      <c r="AJ331" s="30" t="n">
        <f aca="false">IFERROR(AI331/Q331,"")</f>
        <v>0.984427480916031</v>
      </c>
      <c r="AK331" s="31" t="n">
        <f aca="false">IFERROR(R331/(T331/60*Q331),"")</f>
        <v>0.949631811487482</v>
      </c>
      <c r="AL331" s="26" t="n">
        <v>3</v>
      </c>
      <c r="AM331" s="26"/>
      <c r="AN331" s="26" t="n">
        <v>1</v>
      </c>
      <c r="AO331" s="26" t="n">
        <v>4</v>
      </c>
      <c r="AP331" s="26" t="n">
        <v>3</v>
      </c>
      <c r="AQ331" s="26" t="n">
        <v>2</v>
      </c>
      <c r="AR331" s="26"/>
      <c r="AS331" s="26" t="n">
        <v>1</v>
      </c>
      <c r="AT331" s="26" t="n">
        <v>1</v>
      </c>
      <c r="AU331" s="26" t="n">
        <v>2</v>
      </c>
      <c r="AV331" s="26" t="n">
        <f aca="false">SUM(AL331:AU331)</f>
        <v>17</v>
      </c>
      <c r="AW331" s="32" t="n">
        <f aca="false">IFERROR(AV331/R331*1000000,"")</f>
        <v>21091.8114143921</v>
      </c>
      <c r="AX331" s="33" t="n">
        <f aca="false">IFERROR((R331-AV331)/R331,"")</f>
        <v>0.978908188585608</v>
      </c>
      <c r="AY331" s="34" t="n">
        <f aca="false">IFERROR(AH331*AJ331*AX331,"")</f>
        <v>0.92960235640648</v>
      </c>
      <c r="AZ331" s="35"/>
    </row>
    <row r="332" customFormat="false" ht="12.75" hidden="false" customHeight="true" outlineLevel="0" collapsed="false">
      <c r="A332" s="24" t="n">
        <v>328</v>
      </c>
      <c r="B332" s="25" t="n">
        <v>46132</v>
      </c>
      <c r="C332" s="25" t="n">
        <v>12</v>
      </c>
      <c r="D332" s="26" t="s">
        <v>71</v>
      </c>
      <c r="E332" s="26" t="s">
        <v>94</v>
      </c>
      <c r="F332" s="26" t="s">
        <v>81</v>
      </c>
      <c r="G332" s="26" t="s">
        <v>11</v>
      </c>
      <c r="H332" s="27" t="n">
        <v>0.354166666666667</v>
      </c>
      <c r="I332" s="27" t="n">
        <v>0.854166666666667</v>
      </c>
      <c r="J332" s="26" t="n">
        <f aca="false">IFERROR((I332-H332)*24*60,"")</f>
        <v>720</v>
      </c>
      <c r="K332" s="26" t="s">
        <v>89</v>
      </c>
      <c r="L332" s="26" t="s">
        <v>102</v>
      </c>
      <c r="M332" s="26" t="s">
        <v>95</v>
      </c>
      <c r="N332" s="26" t="s">
        <v>96</v>
      </c>
      <c r="O332" s="26" t="n">
        <v>8</v>
      </c>
      <c r="P332" s="26" t="n">
        <v>62</v>
      </c>
      <c r="Q332" s="26" t="n">
        <f aca="false">IFERROR(3600/(P332/O332),"")</f>
        <v>464.516129032258</v>
      </c>
      <c r="R332" s="26" t="n">
        <v>4515</v>
      </c>
      <c r="S332" s="26" t="n">
        <v>50</v>
      </c>
      <c r="T332" s="26" t="n">
        <f aca="false">IFERROR(J332-S332,"")</f>
        <v>670</v>
      </c>
      <c r="U332" s="26"/>
      <c r="V332" s="26"/>
      <c r="W332" s="26"/>
      <c r="X332" s="26"/>
      <c r="Y332" s="26" t="n">
        <v>12</v>
      </c>
      <c r="Z332" s="26"/>
      <c r="AA332" s="26"/>
      <c r="AB332" s="26"/>
      <c r="AC332" s="26" t="n">
        <v>33</v>
      </c>
      <c r="AD332" s="26"/>
      <c r="AE332" s="26"/>
      <c r="AF332" s="26" t="n">
        <f aca="false">SUM(U332:AE332)</f>
        <v>45</v>
      </c>
      <c r="AG332" s="26" t="n">
        <f aca="false">T332-AF332</f>
        <v>625</v>
      </c>
      <c r="AH332" s="28" t="n">
        <f aca="false">IFERROR(AG332/T332,"")</f>
        <v>0.932835820895522</v>
      </c>
      <c r="AI332" s="29" t="n">
        <f aca="false">IFERROR(R332/AG332*60,"")</f>
        <v>433.44</v>
      </c>
      <c r="AJ332" s="30" t="n">
        <f aca="false">IFERROR(AI332/Q332,"")</f>
        <v>0.9331</v>
      </c>
      <c r="AK332" s="31" t="n">
        <f aca="false">IFERROR(R332/(T332/60*Q332),"")</f>
        <v>0.870429104477612</v>
      </c>
      <c r="AL332" s="26" t="n">
        <v>19</v>
      </c>
      <c r="AM332" s="26" t="n">
        <v>12</v>
      </c>
      <c r="AN332" s="26" t="n">
        <v>5</v>
      </c>
      <c r="AO332" s="26" t="n">
        <v>10</v>
      </c>
      <c r="AP332" s="26" t="n">
        <v>13</v>
      </c>
      <c r="AQ332" s="26" t="n">
        <v>4</v>
      </c>
      <c r="AR332" s="26" t="n">
        <v>8</v>
      </c>
      <c r="AS332" s="26" t="n">
        <v>10</v>
      </c>
      <c r="AT332" s="26" t="n">
        <v>2</v>
      </c>
      <c r="AU332" s="26" t="n">
        <v>8</v>
      </c>
      <c r="AV332" s="26" t="n">
        <f aca="false">SUM(AL332:AU332)</f>
        <v>91</v>
      </c>
      <c r="AW332" s="32" t="n">
        <f aca="false">IFERROR(AV332/R332*1000000,"")</f>
        <v>20155.0387596899</v>
      </c>
      <c r="AX332" s="33" t="n">
        <f aca="false">IFERROR((R332-AV332)/R332,"")</f>
        <v>0.97984496124031</v>
      </c>
      <c r="AY332" s="34" t="n">
        <f aca="false">IFERROR(AH332*AJ332*AX332,"")</f>
        <v>0.852885572139304</v>
      </c>
      <c r="AZ332" s="35" t="s">
        <v>86</v>
      </c>
    </row>
    <row r="333" customFormat="false" ht="12.75" hidden="false" customHeight="true" outlineLevel="0" collapsed="false">
      <c r="A333" s="24" t="n">
        <v>329</v>
      </c>
      <c r="B333" s="25" t="n">
        <v>46132</v>
      </c>
      <c r="C333" s="25" t="n">
        <v>12</v>
      </c>
      <c r="D333" s="26" t="s">
        <v>79</v>
      </c>
      <c r="E333" s="26" t="s">
        <v>97</v>
      </c>
      <c r="F333" s="26" t="s">
        <v>73</v>
      </c>
      <c r="G333" s="26" t="s">
        <v>12</v>
      </c>
      <c r="H333" s="27" t="n">
        <v>0.354166666666667</v>
      </c>
      <c r="I333" s="27" t="n">
        <v>0.854166666666667</v>
      </c>
      <c r="J333" s="26" t="n">
        <f aca="false">IFERROR((I333-H333)*24*60,"")</f>
        <v>720</v>
      </c>
      <c r="K333" s="26" t="s">
        <v>74</v>
      </c>
      <c r="L333" s="26" t="s">
        <v>106</v>
      </c>
      <c r="M333" s="26" t="s">
        <v>99</v>
      </c>
      <c r="N333" s="26" t="s">
        <v>100</v>
      </c>
      <c r="O333" s="26" t="n">
        <v>2</v>
      </c>
      <c r="P333" s="26" t="n">
        <v>44</v>
      </c>
      <c r="Q333" s="26" t="n">
        <f aca="false">IFERROR(3600/(P333/O333),"")</f>
        <v>163.636363636364</v>
      </c>
      <c r="R333" s="26" t="n">
        <v>1601</v>
      </c>
      <c r="S333" s="26" t="n">
        <v>53</v>
      </c>
      <c r="T333" s="26" t="n">
        <f aca="false">IFERROR(J333-S333,"")</f>
        <v>667</v>
      </c>
      <c r="U333" s="26"/>
      <c r="V333" s="26"/>
      <c r="W333" s="26" t="n">
        <v>16</v>
      </c>
      <c r="X333" s="26"/>
      <c r="Y333" s="26"/>
      <c r="Z333" s="26" t="n">
        <v>15</v>
      </c>
      <c r="AA333" s="26"/>
      <c r="AB333" s="26"/>
      <c r="AC333" s="26"/>
      <c r="AD333" s="26"/>
      <c r="AE333" s="26"/>
      <c r="AF333" s="26" t="n">
        <f aca="false">SUM(U333:AE333)</f>
        <v>31</v>
      </c>
      <c r="AG333" s="26" t="n">
        <f aca="false">T333-AF333</f>
        <v>636</v>
      </c>
      <c r="AH333" s="28" t="n">
        <f aca="false">IFERROR(AG333/T333,"")</f>
        <v>0.95352323838081</v>
      </c>
      <c r="AI333" s="29" t="n">
        <f aca="false">IFERROR(R333/AG333*60,"")</f>
        <v>151.037735849057</v>
      </c>
      <c r="AJ333" s="30" t="n">
        <f aca="false">IFERROR(AI333/Q333,"")</f>
        <v>0.923008385744235</v>
      </c>
      <c r="AK333" s="31" t="n">
        <f aca="false">IFERROR(R333/(T333/60*Q333),"")</f>
        <v>0.880109945027486</v>
      </c>
      <c r="AL333" s="26" t="n">
        <v>1</v>
      </c>
      <c r="AM333" s="26" t="n">
        <v>1</v>
      </c>
      <c r="AN333" s="26" t="n">
        <v>3</v>
      </c>
      <c r="AO333" s="26"/>
      <c r="AP333" s="26" t="n">
        <v>2</v>
      </c>
      <c r="AQ333" s="26" t="n">
        <v>5</v>
      </c>
      <c r="AR333" s="26" t="n">
        <v>2</v>
      </c>
      <c r="AS333" s="26" t="n">
        <v>3</v>
      </c>
      <c r="AT333" s="26" t="n">
        <v>2</v>
      </c>
      <c r="AU333" s="26" t="n">
        <v>1</v>
      </c>
      <c r="AV333" s="26" t="n">
        <f aca="false">SUM(AL333:AU333)</f>
        <v>20</v>
      </c>
      <c r="AW333" s="32" t="n">
        <f aca="false">IFERROR(AV333/R333*1000000,"")</f>
        <v>12492.1923797626</v>
      </c>
      <c r="AX333" s="33" t="n">
        <f aca="false">IFERROR((R333-AV333)/R333,"")</f>
        <v>0.987507807620237</v>
      </c>
      <c r="AY333" s="34" t="n">
        <f aca="false">IFERROR(AH333*AJ333*AX333,"")</f>
        <v>0.869115442278861</v>
      </c>
      <c r="AZ333" s="35" t="s">
        <v>86</v>
      </c>
    </row>
    <row r="334" customFormat="false" ht="12.75" hidden="false" customHeight="true" outlineLevel="0" collapsed="false">
      <c r="A334" s="24" t="n">
        <v>330</v>
      </c>
      <c r="B334" s="25" t="n">
        <v>46132</v>
      </c>
      <c r="C334" s="25" t="n">
        <v>12</v>
      </c>
      <c r="D334" s="26" t="s">
        <v>87</v>
      </c>
      <c r="E334" s="26" t="s">
        <v>101</v>
      </c>
      <c r="F334" s="26" t="s">
        <v>81</v>
      </c>
      <c r="G334" s="26" t="s">
        <v>13</v>
      </c>
      <c r="H334" s="27" t="n">
        <v>0.354166666666667</v>
      </c>
      <c r="I334" s="27" t="n">
        <v>0.854166666666667</v>
      </c>
      <c r="J334" s="26" t="n">
        <f aca="false">IFERROR((I334-H334)*24*60,"")</f>
        <v>720</v>
      </c>
      <c r="K334" s="26" t="s">
        <v>89</v>
      </c>
      <c r="L334" s="26" t="s">
        <v>75</v>
      </c>
      <c r="M334" s="26" t="s">
        <v>103</v>
      </c>
      <c r="N334" s="26" t="s">
        <v>104</v>
      </c>
      <c r="O334" s="26" t="n">
        <v>2</v>
      </c>
      <c r="P334" s="26" t="n">
        <v>68</v>
      </c>
      <c r="Q334" s="26" t="n">
        <f aca="false">IFERROR(3600/(P334/O334),"")</f>
        <v>105.882352941176</v>
      </c>
      <c r="R334" s="26" t="n">
        <v>941</v>
      </c>
      <c r="S334" s="26" t="n">
        <v>66</v>
      </c>
      <c r="T334" s="26" t="n">
        <f aca="false">IFERROR(J334-S334,"")</f>
        <v>654</v>
      </c>
      <c r="U334" s="26" t="n">
        <v>11</v>
      </c>
      <c r="V334" s="26"/>
      <c r="W334" s="26"/>
      <c r="X334" s="26"/>
      <c r="Y334" s="26"/>
      <c r="Z334" s="26"/>
      <c r="AA334" s="26"/>
      <c r="AB334" s="26"/>
      <c r="AC334" s="26" t="n">
        <v>4</v>
      </c>
      <c r="AD334" s="26"/>
      <c r="AE334" s="26"/>
      <c r="AF334" s="26" t="n">
        <f aca="false">SUM(U334:AE334)</f>
        <v>15</v>
      </c>
      <c r="AG334" s="26" t="n">
        <f aca="false">T334-AF334</f>
        <v>639</v>
      </c>
      <c r="AH334" s="28" t="n">
        <f aca="false">IFERROR(AG334/T334,"")</f>
        <v>0.977064220183486</v>
      </c>
      <c r="AI334" s="29" t="n">
        <f aca="false">IFERROR(R334/AG334*60,"")</f>
        <v>88.3568075117371</v>
      </c>
      <c r="AJ334" s="30" t="n">
        <f aca="false">IFERROR(AI334/Q334,"")</f>
        <v>0.834480959833073</v>
      </c>
      <c r="AK334" s="31" t="n">
        <f aca="false">IFERROR(R334/(T334/60*Q334),"")</f>
        <v>0.815341488277268</v>
      </c>
      <c r="AL334" s="26" t="n">
        <v>1</v>
      </c>
      <c r="AM334" s="26" t="n">
        <v>1</v>
      </c>
      <c r="AN334" s="26" t="n">
        <v>1</v>
      </c>
      <c r="AO334" s="26" t="n">
        <v>1</v>
      </c>
      <c r="AP334" s="26" t="n">
        <v>1</v>
      </c>
      <c r="AQ334" s="26" t="n">
        <v>3</v>
      </c>
      <c r="AR334" s="26" t="n">
        <v>1</v>
      </c>
      <c r="AS334" s="26" t="n">
        <v>1</v>
      </c>
      <c r="AT334" s="26" t="n">
        <v>2</v>
      </c>
      <c r="AU334" s="26" t="n">
        <v>1</v>
      </c>
      <c r="AV334" s="26" t="n">
        <f aca="false">SUM(AL334:AU334)</f>
        <v>13</v>
      </c>
      <c r="AW334" s="32" t="n">
        <f aca="false">IFERROR(AV334/R334*1000000,"")</f>
        <v>13815.0903294368</v>
      </c>
      <c r="AX334" s="33" t="n">
        <f aca="false">IFERROR((R334-AV334)/R334,"")</f>
        <v>0.986184909670563</v>
      </c>
      <c r="AY334" s="34" t="n">
        <f aca="false">IFERROR(AH334*AJ334*AX334,"")</f>
        <v>0.80407747196738</v>
      </c>
      <c r="AZ334" s="35" t="s">
        <v>93</v>
      </c>
    </row>
    <row r="335" customFormat="false" ht="12.75" hidden="false" customHeight="true" outlineLevel="0" collapsed="false">
      <c r="A335" s="24" t="n">
        <v>331</v>
      </c>
      <c r="B335" s="25" t="n">
        <v>46133</v>
      </c>
      <c r="C335" s="25" t="n">
        <v>12</v>
      </c>
      <c r="D335" s="26" t="s">
        <v>71</v>
      </c>
      <c r="E335" s="26" t="s">
        <v>72</v>
      </c>
      <c r="F335" s="26" t="s">
        <v>73</v>
      </c>
      <c r="G335" s="26" t="s">
        <v>8</v>
      </c>
      <c r="H335" s="27" t="n">
        <v>0.354166666666667</v>
      </c>
      <c r="I335" s="27" t="n">
        <v>0.854166666666667</v>
      </c>
      <c r="J335" s="26" t="n">
        <f aca="false">IFERROR((I335-H335)*24*60,"")</f>
        <v>720</v>
      </c>
      <c r="K335" s="26" t="s">
        <v>89</v>
      </c>
      <c r="L335" s="26" t="s">
        <v>106</v>
      </c>
      <c r="M335" s="26" t="s">
        <v>76</v>
      </c>
      <c r="N335" s="26" t="s">
        <v>77</v>
      </c>
      <c r="O335" s="26" t="n">
        <v>2</v>
      </c>
      <c r="P335" s="26" t="n">
        <v>64</v>
      </c>
      <c r="Q335" s="26" t="n">
        <f aca="false">IFERROR(3600/(P335/O335),"")</f>
        <v>112.5</v>
      </c>
      <c r="R335" s="26" t="n">
        <v>1120</v>
      </c>
      <c r="S335" s="26" t="n">
        <v>56</v>
      </c>
      <c r="T335" s="26" t="n">
        <f aca="false">IFERROR(J335-S335,"")</f>
        <v>664</v>
      </c>
      <c r="U335" s="26" t="n">
        <v>6</v>
      </c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 t="n">
        <f aca="false">SUM(U335:AE335)</f>
        <v>6</v>
      </c>
      <c r="AG335" s="26" t="n">
        <f aca="false">T335-AF335</f>
        <v>658</v>
      </c>
      <c r="AH335" s="28" t="n">
        <f aca="false">IFERROR(AG335/T335,"")</f>
        <v>0.990963855421687</v>
      </c>
      <c r="AI335" s="29" t="n">
        <f aca="false">IFERROR(R335/AG335*60,"")</f>
        <v>102.127659574468</v>
      </c>
      <c r="AJ335" s="30" t="n">
        <f aca="false">IFERROR(AI335/Q335,"")</f>
        <v>0.907801418439716</v>
      </c>
      <c r="AK335" s="31" t="n">
        <f aca="false">IFERROR(R335/(T335/60*Q335),"")</f>
        <v>0.899598393574297</v>
      </c>
      <c r="AL335" s="26" t="n">
        <v>3</v>
      </c>
      <c r="AM335" s="26" t="n">
        <v>7</v>
      </c>
      <c r="AN335" s="26" t="n">
        <v>2</v>
      </c>
      <c r="AO335" s="26" t="n">
        <v>4</v>
      </c>
      <c r="AP335" s="26" t="n">
        <v>4</v>
      </c>
      <c r="AQ335" s="26"/>
      <c r="AR335" s="26" t="n">
        <v>1</v>
      </c>
      <c r="AS335" s="26" t="n">
        <v>2</v>
      </c>
      <c r="AT335" s="26" t="n">
        <v>2</v>
      </c>
      <c r="AU335" s="26"/>
      <c r="AV335" s="26" t="n">
        <f aca="false">SUM(AL335:AU335)</f>
        <v>25</v>
      </c>
      <c r="AW335" s="32" t="n">
        <f aca="false">IFERROR(AV335/R335*1000000,"")</f>
        <v>22321.4285714286</v>
      </c>
      <c r="AX335" s="33" t="n">
        <f aca="false">IFERROR((R335-AV335)/R335,"")</f>
        <v>0.977678571428571</v>
      </c>
      <c r="AY335" s="34" t="n">
        <f aca="false">IFERROR(AH335*AJ335*AX335,"")</f>
        <v>0.879518072289157</v>
      </c>
      <c r="AZ335" s="35"/>
    </row>
    <row r="336" customFormat="false" ht="12.75" hidden="false" customHeight="true" outlineLevel="0" collapsed="false">
      <c r="A336" s="24" t="n">
        <v>332</v>
      </c>
      <c r="B336" s="25" t="n">
        <v>46133</v>
      </c>
      <c r="C336" s="25" t="n">
        <v>12</v>
      </c>
      <c r="D336" s="26" t="s">
        <v>79</v>
      </c>
      <c r="E336" s="26" t="s">
        <v>80</v>
      </c>
      <c r="F336" s="26" t="s">
        <v>81</v>
      </c>
      <c r="G336" s="26" t="s">
        <v>9</v>
      </c>
      <c r="H336" s="27" t="n">
        <v>0.354166666666667</v>
      </c>
      <c r="I336" s="27" t="n">
        <v>0.854166666666667</v>
      </c>
      <c r="J336" s="26" t="n">
        <f aca="false">IFERROR((I336-H336)*24*60,"")</f>
        <v>720</v>
      </c>
      <c r="K336" s="26" t="s">
        <v>105</v>
      </c>
      <c r="L336" s="26" t="s">
        <v>90</v>
      </c>
      <c r="M336" s="26" t="s">
        <v>84</v>
      </c>
      <c r="N336" s="26" t="s">
        <v>85</v>
      </c>
      <c r="O336" s="26" t="n">
        <v>4</v>
      </c>
      <c r="P336" s="26" t="n">
        <v>48</v>
      </c>
      <c r="Q336" s="26" t="n">
        <f aca="false">IFERROR(3600/(P336/O336),"")</f>
        <v>300</v>
      </c>
      <c r="R336" s="26" t="n">
        <v>2708</v>
      </c>
      <c r="S336" s="26" t="n">
        <v>30</v>
      </c>
      <c r="T336" s="26" t="n">
        <f aca="false">IFERROR(J336-S336,"")</f>
        <v>690</v>
      </c>
      <c r="U336" s="26"/>
      <c r="V336" s="26"/>
      <c r="W336" s="26"/>
      <c r="X336" s="26"/>
      <c r="Y336" s="26"/>
      <c r="Z336" s="26"/>
      <c r="AA336" s="26"/>
      <c r="AB336" s="26" t="n">
        <v>12</v>
      </c>
      <c r="AC336" s="26"/>
      <c r="AD336" s="26" t="n">
        <v>16</v>
      </c>
      <c r="AE336" s="26"/>
      <c r="AF336" s="26" t="n">
        <f aca="false">SUM(U336:AE336)</f>
        <v>28</v>
      </c>
      <c r="AG336" s="26" t="n">
        <f aca="false">T336-AF336</f>
        <v>662</v>
      </c>
      <c r="AH336" s="28" t="n">
        <f aca="false">IFERROR(AG336/T336,"")</f>
        <v>0.959420289855072</v>
      </c>
      <c r="AI336" s="29" t="n">
        <f aca="false">IFERROR(R336/AG336*60,"")</f>
        <v>245.438066465257</v>
      </c>
      <c r="AJ336" s="30" t="n">
        <f aca="false">IFERROR(AI336/Q336,"")</f>
        <v>0.818126888217523</v>
      </c>
      <c r="AK336" s="31" t="n">
        <f aca="false">IFERROR(R336/(T336/60*Q336),"")</f>
        <v>0.784927536231884</v>
      </c>
      <c r="AL336" s="26" t="n">
        <v>6</v>
      </c>
      <c r="AM336" s="26" t="n">
        <v>5</v>
      </c>
      <c r="AN336" s="26"/>
      <c r="AO336" s="26" t="n">
        <v>3</v>
      </c>
      <c r="AP336" s="26" t="n">
        <v>3</v>
      </c>
      <c r="AQ336" s="26" t="n">
        <v>5</v>
      </c>
      <c r="AR336" s="26" t="n">
        <v>5</v>
      </c>
      <c r="AS336" s="26" t="n">
        <v>9</v>
      </c>
      <c r="AT336" s="26" t="n">
        <v>3</v>
      </c>
      <c r="AU336" s="26" t="n">
        <v>5</v>
      </c>
      <c r="AV336" s="26" t="n">
        <f aca="false">SUM(AL336:AU336)</f>
        <v>44</v>
      </c>
      <c r="AW336" s="32" t="n">
        <f aca="false">IFERROR(AV336/R336*1000000,"")</f>
        <v>16248.1536189069</v>
      </c>
      <c r="AX336" s="33" t="n">
        <f aca="false">IFERROR((R336-AV336)/R336,"")</f>
        <v>0.983751846381093</v>
      </c>
      <c r="AY336" s="34" t="n">
        <f aca="false">IFERROR(AH336*AJ336*AX336,"")</f>
        <v>0.772173913043478</v>
      </c>
      <c r="AZ336" s="35" t="s">
        <v>86</v>
      </c>
    </row>
    <row r="337" customFormat="false" ht="12.75" hidden="false" customHeight="true" outlineLevel="0" collapsed="false">
      <c r="A337" s="24" t="n">
        <v>333</v>
      </c>
      <c r="B337" s="25" t="n">
        <v>46133</v>
      </c>
      <c r="C337" s="25" t="n">
        <v>12</v>
      </c>
      <c r="D337" s="26" t="s">
        <v>87</v>
      </c>
      <c r="E337" s="26" t="s">
        <v>88</v>
      </c>
      <c r="F337" s="26" t="s">
        <v>73</v>
      </c>
      <c r="G337" s="26" t="s">
        <v>10</v>
      </c>
      <c r="H337" s="27" t="n">
        <v>0.354166666666667</v>
      </c>
      <c r="I337" s="27" t="n">
        <v>0.854166666666667</v>
      </c>
      <c r="J337" s="26" t="n">
        <f aca="false">IFERROR((I337-H337)*24*60,"")</f>
        <v>720</v>
      </c>
      <c r="K337" s="26" t="s">
        <v>105</v>
      </c>
      <c r="L337" s="26" t="s">
        <v>108</v>
      </c>
      <c r="M337" s="26" t="s">
        <v>91</v>
      </c>
      <c r="N337" s="26" t="s">
        <v>92</v>
      </c>
      <c r="O337" s="26" t="n">
        <v>8</v>
      </c>
      <c r="P337" s="26" t="n">
        <v>28</v>
      </c>
      <c r="Q337" s="26" t="n">
        <f aca="false">IFERROR(3600/(P337/O337),"")</f>
        <v>1028.57142857143</v>
      </c>
      <c r="R337" s="26" t="n">
        <v>9717</v>
      </c>
      <c r="S337" s="26" t="n">
        <v>67</v>
      </c>
      <c r="T337" s="26" t="n">
        <f aca="false">IFERROR(J337-S337,"")</f>
        <v>653</v>
      </c>
      <c r="U337" s="26"/>
      <c r="V337" s="26"/>
      <c r="W337" s="26"/>
      <c r="X337" s="26"/>
      <c r="Y337" s="26"/>
      <c r="Z337" s="26"/>
      <c r="AA337" s="26"/>
      <c r="AB337" s="26"/>
      <c r="AC337" s="26" t="n">
        <v>4</v>
      </c>
      <c r="AD337" s="26" t="n">
        <v>5</v>
      </c>
      <c r="AE337" s="26"/>
      <c r="AF337" s="26" t="n">
        <f aca="false">SUM(U337:AE337)</f>
        <v>9</v>
      </c>
      <c r="AG337" s="26" t="n">
        <f aca="false">T337-AF337</f>
        <v>644</v>
      </c>
      <c r="AH337" s="28" t="n">
        <f aca="false">IFERROR(AG337/T337,"")</f>
        <v>0.986217457886677</v>
      </c>
      <c r="AI337" s="29" t="n">
        <f aca="false">IFERROR(R337/AG337*60,"")</f>
        <v>905.310559006211</v>
      </c>
      <c r="AJ337" s="30" t="n">
        <f aca="false">IFERROR(AI337/Q337,"")</f>
        <v>0.880163043478261</v>
      </c>
      <c r="AK337" s="31" t="n">
        <f aca="false">IFERROR(R337/(T337/60*Q337),"")</f>
        <v>0.868032159264931</v>
      </c>
      <c r="AL337" s="26" t="n">
        <v>16</v>
      </c>
      <c r="AM337" s="26" t="n">
        <v>19</v>
      </c>
      <c r="AN337" s="26" t="n">
        <v>22</v>
      </c>
      <c r="AO337" s="26" t="n">
        <v>17</v>
      </c>
      <c r="AP337" s="26" t="n">
        <v>12</v>
      </c>
      <c r="AQ337" s="26" t="n">
        <v>11</v>
      </c>
      <c r="AR337" s="26" t="n">
        <v>18</v>
      </c>
      <c r="AS337" s="26" t="n">
        <v>20</v>
      </c>
      <c r="AT337" s="26" t="n">
        <v>17</v>
      </c>
      <c r="AU337" s="26" t="n">
        <v>13</v>
      </c>
      <c r="AV337" s="26" t="n">
        <f aca="false">SUM(AL337:AU337)</f>
        <v>165</v>
      </c>
      <c r="AW337" s="32" t="n">
        <f aca="false">IFERROR(AV337/R337*1000000,"")</f>
        <v>16980.549552331</v>
      </c>
      <c r="AX337" s="33" t="n">
        <f aca="false">IFERROR((R337-AV337)/R337,"")</f>
        <v>0.983019450447669</v>
      </c>
      <c r="AY337" s="34" t="n">
        <f aca="false">IFERROR(AH337*AJ337*AX337,"")</f>
        <v>0.853292496171516</v>
      </c>
      <c r="AZ337" s="35" t="s">
        <v>78</v>
      </c>
    </row>
    <row r="338" customFormat="false" ht="12.75" hidden="false" customHeight="true" outlineLevel="0" collapsed="false">
      <c r="A338" s="24" t="n">
        <v>334</v>
      </c>
      <c r="B338" s="25" t="n">
        <v>46134</v>
      </c>
      <c r="C338" s="25" t="n">
        <v>12</v>
      </c>
      <c r="D338" s="26" t="s">
        <v>71</v>
      </c>
      <c r="E338" s="26" t="s">
        <v>94</v>
      </c>
      <c r="F338" s="26" t="s">
        <v>81</v>
      </c>
      <c r="G338" s="26" t="s">
        <v>11</v>
      </c>
      <c r="H338" s="27" t="n">
        <v>0.354166666666667</v>
      </c>
      <c r="I338" s="27" t="n">
        <v>0.854166666666667</v>
      </c>
      <c r="J338" s="26" t="n">
        <f aca="false">IFERROR((I338-H338)*24*60,"")</f>
        <v>720</v>
      </c>
      <c r="K338" s="26" t="s">
        <v>89</v>
      </c>
      <c r="L338" s="26" t="s">
        <v>106</v>
      </c>
      <c r="M338" s="26" t="s">
        <v>95</v>
      </c>
      <c r="N338" s="26" t="s">
        <v>96</v>
      </c>
      <c r="O338" s="26" t="n">
        <v>2</v>
      </c>
      <c r="P338" s="26" t="n">
        <v>73</v>
      </c>
      <c r="Q338" s="26" t="n">
        <f aca="false">IFERROR(3600/(P338/O338),"")</f>
        <v>98.6301369863014</v>
      </c>
      <c r="R338" s="26" t="n">
        <v>972</v>
      </c>
      <c r="S338" s="26" t="n">
        <v>65</v>
      </c>
      <c r="T338" s="26" t="n">
        <f aca="false">IFERROR(J338-S338,"")</f>
        <v>655</v>
      </c>
      <c r="U338" s="26"/>
      <c r="V338" s="26"/>
      <c r="W338" s="26"/>
      <c r="X338" s="26"/>
      <c r="Y338" s="26"/>
      <c r="Z338" s="26"/>
      <c r="AA338" s="26" t="n">
        <v>7</v>
      </c>
      <c r="AB338" s="26" t="n">
        <v>5</v>
      </c>
      <c r="AC338" s="26"/>
      <c r="AD338" s="26"/>
      <c r="AE338" s="26"/>
      <c r="AF338" s="26" t="n">
        <f aca="false">SUM(U338:AE338)</f>
        <v>12</v>
      </c>
      <c r="AG338" s="26" t="n">
        <f aca="false">T338-AF338</f>
        <v>643</v>
      </c>
      <c r="AH338" s="28" t="n">
        <f aca="false">IFERROR(AG338/T338,"")</f>
        <v>0.981679389312977</v>
      </c>
      <c r="AI338" s="29" t="n">
        <f aca="false">IFERROR(R338/AG338*60,"")</f>
        <v>90.6998444790047</v>
      </c>
      <c r="AJ338" s="30" t="n">
        <f aca="false">IFERROR(AI338/Q338,"")</f>
        <v>0.919595645412131</v>
      </c>
      <c r="AK338" s="31" t="n">
        <f aca="false">IFERROR(R338/(T338/60*Q338),"")</f>
        <v>0.902748091603054</v>
      </c>
      <c r="AL338" s="26"/>
      <c r="AM338" s="26"/>
      <c r="AN338" s="26" t="n">
        <v>1</v>
      </c>
      <c r="AO338" s="26"/>
      <c r="AP338" s="26" t="n">
        <v>2</v>
      </c>
      <c r="AQ338" s="26" t="n">
        <v>2</v>
      </c>
      <c r="AR338" s="26" t="n">
        <v>1</v>
      </c>
      <c r="AS338" s="26" t="n">
        <v>2</v>
      </c>
      <c r="AT338" s="26" t="n">
        <v>3</v>
      </c>
      <c r="AU338" s="26" t="n">
        <v>5</v>
      </c>
      <c r="AV338" s="26" t="n">
        <f aca="false">SUM(AL338:AU338)</f>
        <v>16</v>
      </c>
      <c r="AW338" s="32" t="n">
        <f aca="false">IFERROR(AV338/R338*1000000,"")</f>
        <v>16460.9053497942</v>
      </c>
      <c r="AX338" s="33" t="n">
        <f aca="false">IFERROR((R338-AV338)/R338,"")</f>
        <v>0.983539094650206</v>
      </c>
      <c r="AY338" s="34" t="n">
        <f aca="false">IFERROR(AH338*AJ338*AX338,"")</f>
        <v>0.887888040712468</v>
      </c>
      <c r="AZ338" s="35" t="s">
        <v>78</v>
      </c>
    </row>
    <row r="339" customFormat="false" ht="12.75" hidden="false" customHeight="true" outlineLevel="0" collapsed="false">
      <c r="A339" s="24" t="n">
        <v>335</v>
      </c>
      <c r="B339" s="25" t="n">
        <v>46134</v>
      </c>
      <c r="C339" s="25" t="n">
        <v>12</v>
      </c>
      <c r="D339" s="26" t="s">
        <v>79</v>
      </c>
      <c r="E339" s="26" t="s">
        <v>97</v>
      </c>
      <c r="F339" s="26" t="s">
        <v>73</v>
      </c>
      <c r="G339" s="26" t="s">
        <v>12</v>
      </c>
      <c r="H339" s="27" t="n">
        <v>0.354166666666667</v>
      </c>
      <c r="I339" s="27" t="n">
        <v>0.854166666666667</v>
      </c>
      <c r="J339" s="26" t="n">
        <f aca="false">IFERROR((I339-H339)*24*60,"")</f>
        <v>720</v>
      </c>
      <c r="K339" s="26" t="s">
        <v>89</v>
      </c>
      <c r="L339" s="26" t="s">
        <v>106</v>
      </c>
      <c r="M339" s="26" t="s">
        <v>99</v>
      </c>
      <c r="N339" s="26" t="s">
        <v>100</v>
      </c>
      <c r="O339" s="26" t="n">
        <v>4</v>
      </c>
      <c r="P339" s="26" t="n">
        <v>58</v>
      </c>
      <c r="Q339" s="26" t="n">
        <f aca="false">IFERROR(3600/(P339/O339),"")</f>
        <v>248.275862068966</v>
      </c>
      <c r="R339" s="26" t="n">
        <v>2115</v>
      </c>
      <c r="S339" s="26" t="n">
        <v>74</v>
      </c>
      <c r="T339" s="26" t="n">
        <f aca="false">IFERROR(J339-S339,"")</f>
        <v>646</v>
      </c>
      <c r="U339" s="26"/>
      <c r="V339" s="26"/>
      <c r="W339" s="26"/>
      <c r="X339" s="26"/>
      <c r="Y339" s="26" t="n">
        <v>72</v>
      </c>
      <c r="Z339" s="26"/>
      <c r="AA339" s="26"/>
      <c r="AB339" s="26"/>
      <c r="AC339" s="26"/>
      <c r="AD339" s="26"/>
      <c r="AE339" s="26"/>
      <c r="AF339" s="26" t="n">
        <f aca="false">SUM(U339:AE339)</f>
        <v>72</v>
      </c>
      <c r="AG339" s="26" t="n">
        <f aca="false">T339-AF339</f>
        <v>574</v>
      </c>
      <c r="AH339" s="28" t="n">
        <f aca="false">IFERROR(AG339/T339,"")</f>
        <v>0.888544891640867</v>
      </c>
      <c r="AI339" s="29" t="n">
        <f aca="false">IFERROR(R339/AG339*60,"")</f>
        <v>221.080139372822</v>
      </c>
      <c r="AJ339" s="30" t="n">
        <f aca="false">IFERROR(AI339/Q339,"")</f>
        <v>0.890461672473868</v>
      </c>
      <c r="AK339" s="31" t="n">
        <f aca="false">IFERROR(R339/(T339/60*Q339),"")</f>
        <v>0.791215170278638</v>
      </c>
      <c r="AL339" s="26"/>
      <c r="AM339" s="26" t="n">
        <v>1</v>
      </c>
      <c r="AN339" s="26" t="n">
        <v>3</v>
      </c>
      <c r="AO339" s="26" t="n">
        <v>10</v>
      </c>
      <c r="AP339" s="26" t="n">
        <v>6</v>
      </c>
      <c r="AQ339" s="26" t="n">
        <v>8</v>
      </c>
      <c r="AR339" s="26" t="n">
        <v>3</v>
      </c>
      <c r="AS339" s="26" t="n">
        <v>3</v>
      </c>
      <c r="AT339" s="26" t="n">
        <v>5</v>
      </c>
      <c r="AU339" s="26" t="n">
        <v>7</v>
      </c>
      <c r="AV339" s="26" t="n">
        <f aca="false">SUM(AL339:AU339)</f>
        <v>46</v>
      </c>
      <c r="AW339" s="32" t="n">
        <f aca="false">IFERROR(AV339/R339*1000000,"")</f>
        <v>21749.4089834515</v>
      </c>
      <c r="AX339" s="33" t="n">
        <f aca="false">IFERROR((R339-AV339)/R339,"")</f>
        <v>0.978250591016548</v>
      </c>
      <c r="AY339" s="34" t="n">
        <f aca="false">IFERROR(AH339*AJ339*AX339,"")</f>
        <v>0.774006707946337</v>
      </c>
      <c r="AZ339" s="35" t="s">
        <v>86</v>
      </c>
    </row>
    <row r="340" customFormat="false" ht="12.75" hidden="false" customHeight="true" outlineLevel="0" collapsed="false">
      <c r="A340" s="24" t="n">
        <v>336</v>
      </c>
      <c r="B340" s="25" t="n">
        <v>46134</v>
      </c>
      <c r="C340" s="25" t="n">
        <v>12</v>
      </c>
      <c r="D340" s="26" t="s">
        <v>87</v>
      </c>
      <c r="E340" s="26" t="s">
        <v>101</v>
      </c>
      <c r="F340" s="26" t="s">
        <v>81</v>
      </c>
      <c r="G340" s="26" t="s">
        <v>13</v>
      </c>
      <c r="H340" s="27" t="n">
        <v>0.354166666666667</v>
      </c>
      <c r="I340" s="27" t="n">
        <v>0.854166666666667</v>
      </c>
      <c r="J340" s="26" t="n">
        <f aca="false">IFERROR((I340-H340)*24*60,"")</f>
        <v>720</v>
      </c>
      <c r="K340" s="26" t="s">
        <v>82</v>
      </c>
      <c r="L340" s="26" t="s">
        <v>83</v>
      </c>
      <c r="M340" s="26" t="s">
        <v>103</v>
      </c>
      <c r="N340" s="26" t="s">
        <v>104</v>
      </c>
      <c r="O340" s="26" t="n">
        <v>4</v>
      </c>
      <c r="P340" s="26" t="n">
        <v>31</v>
      </c>
      <c r="Q340" s="26" t="n">
        <f aca="false">IFERROR(3600/(P340/O340),"")</f>
        <v>464.516129032258</v>
      </c>
      <c r="R340" s="26" t="n">
        <v>5268</v>
      </c>
      <c r="S340" s="26" t="n">
        <v>46</v>
      </c>
      <c r="T340" s="26" t="n">
        <f aca="false">IFERROR(J340-S340,"")</f>
        <v>674</v>
      </c>
      <c r="U340" s="26" t="n">
        <v>6</v>
      </c>
      <c r="V340" s="26"/>
      <c r="W340" s="26"/>
      <c r="X340" s="26" t="n">
        <v>3</v>
      </c>
      <c r="Y340" s="26" t="n">
        <v>10</v>
      </c>
      <c r="Z340" s="26"/>
      <c r="AA340" s="26"/>
      <c r="AB340" s="26"/>
      <c r="AC340" s="26"/>
      <c r="AD340" s="26"/>
      <c r="AE340" s="26"/>
      <c r="AF340" s="26" t="n">
        <f aca="false">SUM(U340:AE340)</f>
        <v>19</v>
      </c>
      <c r="AG340" s="26" t="n">
        <f aca="false">T340-AF340</f>
        <v>655</v>
      </c>
      <c r="AH340" s="28" t="n">
        <f aca="false">IFERROR(AG340/T340,"")</f>
        <v>0.971810089020772</v>
      </c>
      <c r="AI340" s="29" t="n">
        <f aca="false">IFERROR(R340/AG340*60,"")</f>
        <v>482.564885496183</v>
      </c>
      <c r="AJ340" s="30" t="n">
        <f aca="false">IFERROR(AI340/Q340,"")</f>
        <v>1.03885496183206</v>
      </c>
      <c r="AK340" s="31" t="n">
        <f aca="false">IFERROR(R340/(T340/60*Q340),"")</f>
        <v>1.00956973293769</v>
      </c>
      <c r="AL340" s="26" t="n">
        <v>11</v>
      </c>
      <c r="AM340" s="26" t="n">
        <v>13</v>
      </c>
      <c r="AN340" s="26" t="n">
        <v>9</v>
      </c>
      <c r="AO340" s="26" t="n">
        <v>17</v>
      </c>
      <c r="AP340" s="26" t="n">
        <v>11</v>
      </c>
      <c r="AQ340" s="26" t="n">
        <v>7</v>
      </c>
      <c r="AR340" s="26" t="n">
        <v>15</v>
      </c>
      <c r="AS340" s="26" t="n">
        <v>11</v>
      </c>
      <c r="AT340" s="26" t="n">
        <v>10</v>
      </c>
      <c r="AU340" s="26" t="n">
        <v>18</v>
      </c>
      <c r="AV340" s="26" t="n">
        <f aca="false">SUM(AL340:AU340)</f>
        <v>122</v>
      </c>
      <c r="AW340" s="32" t="n">
        <f aca="false">IFERROR(AV340/R340*1000000,"")</f>
        <v>23158.6940015186</v>
      </c>
      <c r="AX340" s="33" t="n">
        <f aca="false">IFERROR((R340-AV340)/R340,"")</f>
        <v>0.976841305998481</v>
      </c>
      <c r="AY340" s="34" t="n">
        <f aca="false">IFERROR(AH340*AJ340*AX340,"")</f>
        <v>0.986189416419387</v>
      </c>
      <c r="AZ340" s="35" t="s">
        <v>78</v>
      </c>
    </row>
    <row r="341" customFormat="false" ht="12.75" hidden="false" customHeight="true" outlineLevel="0" collapsed="false">
      <c r="A341" s="24" t="n">
        <v>337</v>
      </c>
      <c r="B341" s="25" t="n">
        <v>46135</v>
      </c>
      <c r="C341" s="25" t="n">
        <v>12</v>
      </c>
      <c r="D341" s="26" t="s">
        <v>71</v>
      </c>
      <c r="E341" s="26" t="s">
        <v>72</v>
      </c>
      <c r="F341" s="26" t="s">
        <v>73</v>
      </c>
      <c r="G341" s="26" t="s">
        <v>8</v>
      </c>
      <c r="H341" s="27" t="n">
        <v>0.354166666666667</v>
      </c>
      <c r="I341" s="27" t="n">
        <v>0.854166666666667</v>
      </c>
      <c r="J341" s="26" t="n">
        <f aca="false">IFERROR((I341-H341)*24*60,"")</f>
        <v>720</v>
      </c>
      <c r="K341" s="26" t="s">
        <v>105</v>
      </c>
      <c r="L341" s="26" t="s">
        <v>102</v>
      </c>
      <c r="M341" s="26" t="s">
        <v>76</v>
      </c>
      <c r="N341" s="26" t="s">
        <v>77</v>
      </c>
      <c r="O341" s="26" t="n">
        <v>2</v>
      </c>
      <c r="P341" s="26" t="n">
        <v>74</v>
      </c>
      <c r="Q341" s="26" t="n">
        <f aca="false">IFERROR(3600/(P341/O341),"")</f>
        <v>97.2972972972973</v>
      </c>
      <c r="R341" s="26" t="n">
        <v>821</v>
      </c>
      <c r="S341" s="26" t="n">
        <v>68</v>
      </c>
      <c r="T341" s="26" t="n">
        <f aca="false">IFERROR(J341-S341,"")</f>
        <v>652</v>
      </c>
      <c r="U341" s="26"/>
      <c r="V341" s="26"/>
      <c r="W341" s="26"/>
      <c r="X341" s="26"/>
      <c r="Y341" s="26"/>
      <c r="Z341" s="26" t="n">
        <v>13</v>
      </c>
      <c r="AA341" s="26"/>
      <c r="AB341" s="26"/>
      <c r="AC341" s="26"/>
      <c r="AD341" s="26"/>
      <c r="AE341" s="26"/>
      <c r="AF341" s="26" t="n">
        <f aca="false">SUM(U341:AE341)</f>
        <v>13</v>
      </c>
      <c r="AG341" s="26" t="n">
        <f aca="false">T341-AF341</f>
        <v>639</v>
      </c>
      <c r="AH341" s="28" t="n">
        <f aca="false">IFERROR(AG341/T341,"")</f>
        <v>0.980061349693252</v>
      </c>
      <c r="AI341" s="29" t="n">
        <f aca="false">IFERROR(R341/AG341*60,"")</f>
        <v>77.0892018779343</v>
      </c>
      <c r="AJ341" s="30" t="n">
        <f aca="false">IFERROR(AI341/Q341,"")</f>
        <v>0.792305685967658</v>
      </c>
      <c r="AK341" s="31" t="n">
        <f aca="false">IFERROR(R341/(T341/60*Q341),"")</f>
        <v>0.7765081799591</v>
      </c>
      <c r="AL341" s="26" t="n">
        <v>1</v>
      </c>
      <c r="AM341" s="26"/>
      <c r="AN341" s="26"/>
      <c r="AO341" s="26" t="n">
        <v>3</v>
      </c>
      <c r="AP341" s="26" t="n">
        <v>1</v>
      </c>
      <c r="AQ341" s="26"/>
      <c r="AR341" s="26" t="n">
        <v>1</v>
      </c>
      <c r="AS341" s="26" t="n">
        <v>1</v>
      </c>
      <c r="AT341" s="26"/>
      <c r="AU341" s="26" t="n">
        <v>2</v>
      </c>
      <c r="AV341" s="26" t="n">
        <f aca="false">SUM(AL341:AU341)</f>
        <v>9</v>
      </c>
      <c r="AW341" s="32" t="n">
        <f aca="false">IFERROR(AV341/R341*1000000,"")</f>
        <v>10962.2411693057</v>
      </c>
      <c r="AX341" s="33" t="n">
        <f aca="false">IFERROR((R341-AV341)/R341,"")</f>
        <v>0.989037758830694</v>
      </c>
      <c r="AY341" s="34" t="n">
        <f aca="false">IFERROR(AH341*AJ341*AX341,"")</f>
        <v>0.76799591002045</v>
      </c>
      <c r="AZ341" s="35" t="s">
        <v>78</v>
      </c>
    </row>
    <row r="342" customFormat="false" ht="12.75" hidden="false" customHeight="true" outlineLevel="0" collapsed="false">
      <c r="A342" s="24" t="n">
        <v>338</v>
      </c>
      <c r="B342" s="25" t="n">
        <v>46135</v>
      </c>
      <c r="C342" s="25" t="n">
        <v>12</v>
      </c>
      <c r="D342" s="26" t="s">
        <v>79</v>
      </c>
      <c r="E342" s="26" t="s">
        <v>80</v>
      </c>
      <c r="F342" s="26" t="s">
        <v>81</v>
      </c>
      <c r="G342" s="26" t="s">
        <v>9</v>
      </c>
      <c r="H342" s="27" t="n">
        <v>0.354166666666667</v>
      </c>
      <c r="I342" s="27" t="n">
        <v>0.854166666666667</v>
      </c>
      <c r="J342" s="26" t="n">
        <f aca="false">IFERROR((I342-H342)*24*60,"")</f>
        <v>720</v>
      </c>
      <c r="K342" s="26" t="s">
        <v>105</v>
      </c>
      <c r="L342" s="26" t="s">
        <v>98</v>
      </c>
      <c r="M342" s="26" t="s">
        <v>84</v>
      </c>
      <c r="N342" s="26" t="s">
        <v>85</v>
      </c>
      <c r="O342" s="26" t="n">
        <v>4</v>
      </c>
      <c r="P342" s="26" t="n">
        <v>48</v>
      </c>
      <c r="Q342" s="26" t="n">
        <f aca="false">IFERROR(3600/(P342/O342),"")</f>
        <v>300</v>
      </c>
      <c r="R342" s="26" t="n">
        <v>2223</v>
      </c>
      <c r="S342" s="26" t="n">
        <v>54</v>
      </c>
      <c r="T342" s="26" t="n">
        <f aca="false">IFERROR(J342-S342,"")</f>
        <v>666</v>
      </c>
      <c r="U342" s="26"/>
      <c r="V342" s="26" t="n">
        <v>9</v>
      </c>
      <c r="W342" s="26"/>
      <c r="X342" s="26"/>
      <c r="Y342" s="26"/>
      <c r="Z342" s="26"/>
      <c r="AA342" s="26"/>
      <c r="AB342" s="26" t="n">
        <v>26</v>
      </c>
      <c r="AC342" s="26"/>
      <c r="AD342" s="26"/>
      <c r="AE342" s="26"/>
      <c r="AF342" s="26" t="n">
        <f aca="false">SUM(U342:AE342)</f>
        <v>35</v>
      </c>
      <c r="AG342" s="26" t="n">
        <f aca="false">T342-AF342</f>
        <v>631</v>
      </c>
      <c r="AH342" s="28" t="n">
        <f aca="false">IFERROR(AG342/T342,"")</f>
        <v>0.947447447447448</v>
      </c>
      <c r="AI342" s="29" t="n">
        <f aca="false">IFERROR(R342/AG342*60,"")</f>
        <v>211.378763866878</v>
      </c>
      <c r="AJ342" s="30" t="n">
        <f aca="false">IFERROR(AI342/Q342,"")</f>
        <v>0.70459587955626</v>
      </c>
      <c r="AK342" s="31" t="n">
        <f aca="false">IFERROR(R342/(T342/60*Q342),"")</f>
        <v>0.667567567567568</v>
      </c>
      <c r="AL342" s="26" t="n">
        <v>3</v>
      </c>
      <c r="AM342" s="26" t="n">
        <v>2</v>
      </c>
      <c r="AN342" s="26" t="n">
        <v>3</v>
      </c>
      <c r="AO342" s="26" t="n">
        <v>4</v>
      </c>
      <c r="AP342" s="26" t="n">
        <v>3</v>
      </c>
      <c r="AQ342" s="26" t="n">
        <v>3</v>
      </c>
      <c r="AR342" s="26" t="n">
        <v>1</v>
      </c>
      <c r="AS342" s="26" t="n">
        <v>1</v>
      </c>
      <c r="AT342" s="26" t="n">
        <v>3</v>
      </c>
      <c r="AU342" s="26" t="n">
        <v>3</v>
      </c>
      <c r="AV342" s="26" t="n">
        <f aca="false">SUM(AL342:AU342)</f>
        <v>26</v>
      </c>
      <c r="AW342" s="32" t="n">
        <f aca="false">IFERROR(AV342/R342*1000000,"")</f>
        <v>11695.9064327485</v>
      </c>
      <c r="AX342" s="33" t="n">
        <f aca="false">IFERROR((R342-AV342)/R342,"")</f>
        <v>0.988304093567252</v>
      </c>
      <c r="AY342" s="34" t="n">
        <f aca="false">IFERROR(AH342*AJ342*AX342,"")</f>
        <v>0.65975975975976</v>
      </c>
      <c r="AZ342" s="35"/>
    </row>
    <row r="343" customFormat="false" ht="12.75" hidden="false" customHeight="true" outlineLevel="0" collapsed="false">
      <c r="A343" s="24" t="n">
        <v>339</v>
      </c>
      <c r="B343" s="25" t="n">
        <v>46135</v>
      </c>
      <c r="C343" s="25" t="n">
        <v>12</v>
      </c>
      <c r="D343" s="26" t="s">
        <v>87</v>
      </c>
      <c r="E343" s="26" t="s">
        <v>88</v>
      </c>
      <c r="F343" s="26" t="s">
        <v>73</v>
      </c>
      <c r="G343" s="26" t="s">
        <v>10</v>
      </c>
      <c r="H343" s="27" t="n">
        <v>0.354166666666667</v>
      </c>
      <c r="I343" s="27" t="n">
        <v>0.854166666666667</v>
      </c>
      <c r="J343" s="26" t="n">
        <f aca="false">IFERROR((I343-H343)*24*60,"")</f>
        <v>720</v>
      </c>
      <c r="K343" s="26" t="s">
        <v>89</v>
      </c>
      <c r="L343" s="26" t="s">
        <v>83</v>
      </c>
      <c r="M343" s="26" t="s">
        <v>91</v>
      </c>
      <c r="N343" s="26" t="s">
        <v>92</v>
      </c>
      <c r="O343" s="26" t="n">
        <v>2</v>
      </c>
      <c r="P343" s="26" t="n">
        <v>51</v>
      </c>
      <c r="Q343" s="26" t="n">
        <f aca="false">IFERROR(3600/(P343/O343),"")</f>
        <v>141.176470588235</v>
      </c>
      <c r="R343" s="26" t="n">
        <v>1211</v>
      </c>
      <c r="S343" s="26" t="n">
        <v>39</v>
      </c>
      <c r="T343" s="26" t="n">
        <f aca="false">IFERROR(J343-S343,"")</f>
        <v>681</v>
      </c>
      <c r="U343" s="26"/>
      <c r="V343" s="26"/>
      <c r="W343" s="26"/>
      <c r="X343" s="26"/>
      <c r="Y343" s="26"/>
      <c r="Z343" s="26"/>
      <c r="AA343" s="26" t="n">
        <v>10</v>
      </c>
      <c r="AB343" s="26"/>
      <c r="AC343" s="26"/>
      <c r="AD343" s="26"/>
      <c r="AE343" s="26"/>
      <c r="AF343" s="26" t="n">
        <f aca="false">SUM(U343:AE343)</f>
        <v>10</v>
      </c>
      <c r="AG343" s="26" t="n">
        <f aca="false">T343-AF343</f>
        <v>671</v>
      </c>
      <c r="AH343" s="28" t="n">
        <f aca="false">IFERROR(AG343/T343,"")</f>
        <v>0.985315712187959</v>
      </c>
      <c r="AI343" s="29" t="n">
        <f aca="false">IFERROR(R343/AG343*60,"")</f>
        <v>108.286140089419</v>
      </c>
      <c r="AJ343" s="30" t="n">
        <f aca="false">IFERROR(AI343/Q343,"")</f>
        <v>0.767026825633383</v>
      </c>
      <c r="AK343" s="31" t="n">
        <f aca="false">IFERROR(R343/(T343/60*Q343),"")</f>
        <v>0.755763582966226</v>
      </c>
      <c r="AL343" s="26" t="n">
        <v>1</v>
      </c>
      <c r="AM343" s="26" t="n">
        <v>2</v>
      </c>
      <c r="AN343" s="26" t="n">
        <v>1</v>
      </c>
      <c r="AO343" s="26" t="n">
        <v>1</v>
      </c>
      <c r="AP343" s="26" t="n">
        <v>1</v>
      </c>
      <c r="AQ343" s="26"/>
      <c r="AR343" s="26"/>
      <c r="AS343" s="26" t="n">
        <v>1</v>
      </c>
      <c r="AT343" s="26" t="n">
        <v>2</v>
      </c>
      <c r="AU343" s="26" t="n">
        <v>2</v>
      </c>
      <c r="AV343" s="26" t="n">
        <f aca="false">SUM(AL343:AU343)</f>
        <v>11</v>
      </c>
      <c r="AW343" s="32" t="n">
        <f aca="false">IFERROR(AV343/R343*1000000,"")</f>
        <v>9083.40214698596</v>
      </c>
      <c r="AX343" s="33" t="n">
        <f aca="false">IFERROR((R343-AV343)/R343,"")</f>
        <v>0.990916597853014</v>
      </c>
      <c r="AY343" s="34" t="n">
        <f aca="false">IFERROR(AH343*AJ343*AX343,"")</f>
        <v>0.748898678414097</v>
      </c>
      <c r="AZ343" s="35" t="s">
        <v>86</v>
      </c>
    </row>
    <row r="344" customFormat="false" ht="12.75" hidden="false" customHeight="true" outlineLevel="0" collapsed="false">
      <c r="A344" s="24" t="n">
        <v>340</v>
      </c>
      <c r="B344" s="25" t="n">
        <v>46136</v>
      </c>
      <c r="C344" s="25" t="n">
        <v>12</v>
      </c>
      <c r="D344" s="26" t="s">
        <v>71</v>
      </c>
      <c r="E344" s="26" t="s">
        <v>94</v>
      </c>
      <c r="F344" s="26" t="s">
        <v>81</v>
      </c>
      <c r="G344" s="26" t="s">
        <v>11</v>
      </c>
      <c r="H344" s="27" t="n">
        <v>0.354166666666667</v>
      </c>
      <c r="I344" s="27" t="n">
        <v>0.854166666666667</v>
      </c>
      <c r="J344" s="26" t="n">
        <f aca="false">IFERROR((I344-H344)*24*60,"")</f>
        <v>720</v>
      </c>
      <c r="K344" s="26" t="s">
        <v>82</v>
      </c>
      <c r="L344" s="26" t="s">
        <v>102</v>
      </c>
      <c r="M344" s="26" t="s">
        <v>95</v>
      </c>
      <c r="N344" s="26" t="s">
        <v>96</v>
      </c>
      <c r="O344" s="26" t="n">
        <v>1</v>
      </c>
      <c r="P344" s="26" t="n">
        <v>28</v>
      </c>
      <c r="Q344" s="26" t="n">
        <f aca="false">IFERROR(3600/(P344/O344),"")</f>
        <v>128.571428571429</v>
      </c>
      <c r="R344" s="26" t="n">
        <v>1366</v>
      </c>
      <c r="S344" s="26" t="n">
        <v>31</v>
      </c>
      <c r="T344" s="26" t="n">
        <f aca="false">IFERROR(J344-S344,"")</f>
        <v>689</v>
      </c>
      <c r="U344" s="26"/>
      <c r="V344" s="26" t="n">
        <v>7</v>
      </c>
      <c r="W344" s="26" t="n">
        <v>16</v>
      </c>
      <c r="X344" s="26"/>
      <c r="Y344" s="26"/>
      <c r="Z344" s="26"/>
      <c r="AA344" s="26"/>
      <c r="AB344" s="26"/>
      <c r="AC344" s="26"/>
      <c r="AD344" s="26"/>
      <c r="AE344" s="26"/>
      <c r="AF344" s="26" t="n">
        <f aca="false">SUM(U344:AE344)</f>
        <v>23</v>
      </c>
      <c r="AG344" s="26" t="n">
        <f aca="false">T344-AF344</f>
        <v>666</v>
      </c>
      <c r="AH344" s="28" t="n">
        <f aca="false">IFERROR(AG344/T344,"")</f>
        <v>0.966618287373004</v>
      </c>
      <c r="AI344" s="29" t="n">
        <f aca="false">IFERROR(R344/AG344*60,"")</f>
        <v>123.063063063063</v>
      </c>
      <c r="AJ344" s="30" t="n">
        <f aca="false">IFERROR(AI344/Q344,"")</f>
        <v>0.957157157157157</v>
      </c>
      <c r="AK344" s="31" t="n">
        <f aca="false">IFERROR(R344/(T344/60*Q344),"")</f>
        <v>0.925205611998065</v>
      </c>
      <c r="AL344" s="26" t="n">
        <v>4</v>
      </c>
      <c r="AM344" s="26"/>
      <c r="AN344" s="26" t="n">
        <v>8</v>
      </c>
      <c r="AO344" s="26" t="n">
        <v>2</v>
      </c>
      <c r="AP344" s="26" t="n">
        <v>1</v>
      </c>
      <c r="AQ344" s="26" t="n">
        <v>3</v>
      </c>
      <c r="AR344" s="26" t="n">
        <v>1</v>
      </c>
      <c r="AS344" s="26" t="n">
        <v>1</v>
      </c>
      <c r="AT344" s="26" t="n">
        <v>5</v>
      </c>
      <c r="AU344" s="26" t="n">
        <v>2</v>
      </c>
      <c r="AV344" s="26" t="n">
        <f aca="false">SUM(AL344:AU344)</f>
        <v>27</v>
      </c>
      <c r="AW344" s="32" t="n">
        <f aca="false">IFERROR(AV344/R344*1000000,"")</f>
        <v>19765.7393850659</v>
      </c>
      <c r="AX344" s="33" t="n">
        <f aca="false">IFERROR((R344-AV344)/R344,"")</f>
        <v>0.980234260614934</v>
      </c>
      <c r="AY344" s="34" t="n">
        <f aca="false">IFERROR(AH344*AJ344*AX344,"")</f>
        <v>0.906918238993711</v>
      </c>
      <c r="AZ344" s="35" t="s">
        <v>86</v>
      </c>
    </row>
    <row r="345" customFormat="false" ht="12.75" hidden="false" customHeight="true" outlineLevel="0" collapsed="false">
      <c r="A345" s="24" t="n">
        <v>341</v>
      </c>
      <c r="B345" s="25" t="n">
        <v>46136</v>
      </c>
      <c r="C345" s="25" t="n">
        <v>12</v>
      </c>
      <c r="D345" s="26" t="s">
        <v>79</v>
      </c>
      <c r="E345" s="26" t="s">
        <v>97</v>
      </c>
      <c r="F345" s="26" t="s">
        <v>73</v>
      </c>
      <c r="G345" s="26" t="s">
        <v>12</v>
      </c>
      <c r="H345" s="27" t="n">
        <v>0.354166666666667</v>
      </c>
      <c r="I345" s="27" t="n">
        <v>0.854166666666667</v>
      </c>
      <c r="J345" s="26" t="n">
        <f aca="false">IFERROR((I345-H345)*24*60,"")</f>
        <v>720</v>
      </c>
      <c r="K345" s="26" t="s">
        <v>89</v>
      </c>
      <c r="L345" s="26" t="s">
        <v>102</v>
      </c>
      <c r="M345" s="26" t="s">
        <v>99</v>
      </c>
      <c r="N345" s="26" t="s">
        <v>100</v>
      </c>
      <c r="O345" s="26" t="n">
        <v>1</v>
      </c>
      <c r="P345" s="26" t="n">
        <v>69</v>
      </c>
      <c r="Q345" s="26" t="n">
        <f aca="false">IFERROR(3600/(P345/O345),"")</f>
        <v>52.1739130434783</v>
      </c>
      <c r="R345" s="26" t="n">
        <v>438</v>
      </c>
      <c r="S345" s="26" t="n">
        <v>59</v>
      </c>
      <c r="T345" s="26" t="n">
        <f aca="false">IFERROR(J345-S345,"")</f>
        <v>661</v>
      </c>
      <c r="U345" s="26" t="n">
        <v>12</v>
      </c>
      <c r="V345" s="26"/>
      <c r="W345" s="26" t="n">
        <v>16</v>
      </c>
      <c r="X345" s="26"/>
      <c r="Y345" s="26"/>
      <c r="Z345" s="26"/>
      <c r="AA345" s="26" t="n">
        <v>4</v>
      </c>
      <c r="AB345" s="26"/>
      <c r="AC345" s="26"/>
      <c r="AD345" s="26"/>
      <c r="AE345" s="26"/>
      <c r="AF345" s="26" t="n">
        <f aca="false">SUM(U345:AE345)</f>
        <v>32</v>
      </c>
      <c r="AG345" s="26" t="n">
        <f aca="false">T345-AF345</f>
        <v>629</v>
      </c>
      <c r="AH345" s="28" t="n">
        <f aca="false">IFERROR(AG345/T345,"")</f>
        <v>0.951588502269289</v>
      </c>
      <c r="AI345" s="29" t="n">
        <f aca="false">IFERROR(R345/AG345*60,"")</f>
        <v>41.7806041335453</v>
      </c>
      <c r="AJ345" s="30" t="n">
        <f aca="false">IFERROR(AI345/Q345,"")</f>
        <v>0.800794912559619</v>
      </c>
      <c r="AK345" s="31" t="n">
        <f aca="false">IFERROR(R345/(T345/60*Q345),"")</f>
        <v>0.762027231467473</v>
      </c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 t="n">
        <f aca="false">SUM(AL345:AU345)</f>
        <v>0</v>
      </c>
      <c r="AW345" s="32" t="n">
        <f aca="false">IFERROR(AV345/R345*1000000,"")</f>
        <v>0</v>
      </c>
      <c r="AX345" s="33" t="n">
        <f aca="false">IFERROR((R345-AV345)/R345,"")</f>
        <v>1</v>
      </c>
      <c r="AY345" s="34" t="n">
        <f aca="false">IFERROR(AH345*AJ345*AX345,"")</f>
        <v>0.762027231467474</v>
      </c>
      <c r="AZ345" s="35"/>
    </row>
    <row r="346" customFormat="false" ht="12.75" hidden="false" customHeight="true" outlineLevel="0" collapsed="false">
      <c r="A346" s="24" t="n">
        <v>342</v>
      </c>
      <c r="B346" s="25" t="n">
        <v>46136</v>
      </c>
      <c r="C346" s="25" t="n">
        <v>12</v>
      </c>
      <c r="D346" s="26" t="s">
        <v>87</v>
      </c>
      <c r="E346" s="26" t="s">
        <v>101</v>
      </c>
      <c r="F346" s="26" t="s">
        <v>81</v>
      </c>
      <c r="G346" s="26" t="s">
        <v>13</v>
      </c>
      <c r="H346" s="27" t="n">
        <v>0.354166666666667</v>
      </c>
      <c r="I346" s="27" t="n">
        <v>0.854166666666667</v>
      </c>
      <c r="J346" s="26" t="n">
        <f aca="false">IFERROR((I346-H346)*24*60,"")</f>
        <v>720</v>
      </c>
      <c r="K346" s="26" t="s">
        <v>82</v>
      </c>
      <c r="L346" s="26" t="s">
        <v>106</v>
      </c>
      <c r="M346" s="26" t="s">
        <v>103</v>
      </c>
      <c r="N346" s="26" t="s">
        <v>104</v>
      </c>
      <c r="O346" s="26" t="n">
        <v>8</v>
      </c>
      <c r="P346" s="26" t="n">
        <v>57</v>
      </c>
      <c r="Q346" s="26" t="n">
        <f aca="false">IFERROR(3600/(P346/O346),"")</f>
        <v>505.263157894737</v>
      </c>
      <c r="R346" s="26" t="n">
        <v>4239</v>
      </c>
      <c r="S346" s="26" t="n">
        <v>65</v>
      </c>
      <c r="T346" s="26" t="n">
        <f aca="false">IFERROR(J346-S346,"")</f>
        <v>655</v>
      </c>
      <c r="U346" s="26"/>
      <c r="V346" s="26"/>
      <c r="W346" s="26"/>
      <c r="X346" s="26"/>
      <c r="Y346" s="26" t="n">
        <v>22</v>
      </c>
      <c r="Z346" s="26" t="n">
        <v>36</v>
      </c>
      <c r="AA346" s="26" t="n">
        <v>21</v>
      </c>
      <c r="AB346" s="26"/>
      <c r="AC346" s="26"/>
      <c r="AD346" s="26"/>
      <c r="AE346" s="26"/>
      <c r="AF346" s="26" t="n">
        <f aca="false">SUM(U346:AE346)</f>
        <v>79</v>
      </c>
      <c r="AG346" s="26" t="n">
        <f aca="false">T346-AF346</f>
        <v>576</v>
      </c>
      <c r="AH346" s="28" t="n">
        <f aca="false">IFERROR(AG346/T346,"")</f>
        <v>0.879389312977099</v>
      </c>
      <c r="AI346" s="29" t="n">
        <f aca="false">IFERROR(R346/AG346*60,"")</f>
        <v>441.5625</v>
      </c>
      <c r="AJ346" s="30" t="n">
        <f aca="false">IFERROR(AI346/Q346,"")</f>
        <v>0.87392578125</v>
      </c>
      <c r="AK346" s="31" t="n">
        <f aca="false">IFERROR(R346/(T346/60*Q346),"")</f>
        <v>0.768520992366412</v>
      </c>
      <c r="AL346" s="26" t="n">
        <v>6</v>
      </c>
      <c r="AM346" s="26" t="n">
        <v>4</v>
      </c>
      <c r="AN346" s="26" t="n">
        <v>7</v>
      </c>
      <c r="AO346" s="26" t="n">
        <v>7</v>
      </c>
      <c r="AP346" s="26" t="n">
        <v>5</v>
      </c>
      <c r="AQ346" s="26" t="n">
        <v>6</v>
      </c>
      <c r="AR346" s="26" t="n">
        <v>10</v>
      </c>
      <c r="AS346" s="26" t="n">
        <v>9</v>
      </c>
      <c r="AT346" s="26" t="n">
        <v>1</v>
      </c>
      <c r="AU346" s="26" t="n">
        <v>4</v>
      </c>
      <c r="AV346" s="26" t="n">
        <f aca="false">SUM(AL346:AU346)</f>
        <v>59</v>
      </c>
      <c r="AW346" s="32" t="n">
        <f aca="false">IFERROR(AV346/R346*1000000,"")</f>
        <v>13918.3769757018</v>
      </c>
      <c r="AX346" s="33" t="n">
        <f aca="false">IFERROR((R346-AV346)/R346,"")</f>
        <v>0.986081623024298</v>
      </c>
      <c r="AY346" s="34" t="n">
        <f aca="false">IFERROR(AH346*AJ346*AX346,"")</f>
        <v>0.757824427480916</v>
      </c>
      <c r="AZ346" s="35"/>
    </row>
    <row r="347" customFormat="false" ht="12.75" hidden="false" customHeight="true" outlineLevel="0" collapsed="false">
      <c r="A347" s="24" t="n">
        <v>343</v>
      </c>
      <c r="B347" s="25" t="n">
        <v>46137</v>
      </c>
      <c r="C347" s="25" t="n">
        <v>12</v>
      </c>
      <c r="D347" s="26" t="s">
        <v>71</v>
      </c>
      <c r="E347" s="26" t="s">
        <v>72</v>
      </c>
      <c r="F347" s="26" t="s">
        <v>73</v>
      </c>
      <c r="G347" s="26" t="s">
        <v>8</v>
      </c>
      <c r="H347" s="27" t="n">
        <v>0.354166666666667</v>
      </c>
      <c r="I347" s="27" t="n">
        <v>0.854166666666667</v>
      </c>
      <c r="J347" s="26" t="n">
        <f aca="false">IFERROR((I347-H347)*24*60,"")</f>
        <v>720</v>
      </c>
      <c r="K347" s="26" t="s">
        <v>105</v>
      </c>
      <c r="L347" s="26" t="s">
        <v>75</v>
      </c>
      <c r="M347" s="26" t="s">
        <v>76</v>
      </c>
      <c r="N347" s="26" t="s">
        <v>77</v>
      </c>
      <c r="O347" s="26" t="n">
        <v>1</v>
      </c>
      <c r="P347" s="26" t="n">
        <v>46</v>
      </c>
      <c r="Q347" s="26" t="n">
        <f aca="false">IFERROR(3600/(P347/O347),"")</f>
        <v>78.2608695652174</v>
      </c>
      <c r="R347" s="26" t="n">
        <v>667</v>
      </c>
      <c r="S347" s="26" t="n">
        <v>32</v>
      </c>
      <c r="T347" s="26" t="n">
        <f aca="false">IFERROR(J347-S347,"")</f>
        <v>688</v>
      </c>
      <c r="U347" s="26"/>
      <c r="V347" s="26" t="n">
        <v>3</v>
      </c>
      <c r="W347" s="26" t="n">
        <v>35</v>
      </c>
      <c r="X347" s="26"/>
      <c r="Y347" s="26"/>
      <c r="Z347" s="26"/>
      <c r="AA347" s="26"/>
      <c r="AB347" s="26"/>
      <c r="AC347" s="26"/>
      <c r="AD347" s="26"/>
      <c r="AE347" s="26"/>
      <c r="AF347" s="26" t="n">
        <f aca="false">SUM(U347:AE347)</f>
        <v>38</v>
      </c>
      <c r="AG347" s="26" t="n">
        <f aca="false">T347-AF347</f>
        <v>650</v>
      </c>
      <c r="AH347" s="28" t="n">
        <f aca="false">IFERROR(AG347/T347,"")</f>
        <v>0.944767441860465</v>
      </c>
      <c r="AI347" s="29" t="n">
        <f aca="false">IFERROR(R347/AG347*60,"")</f>
        <v>61.5692307692308</v>
      </c>
      <c r="AJ347" s="30" t="n">
        <f aca="false">IFERROR(AI347/Q347,"")</f>
        <v>0.786717948717949</v>
      </c>
      <c r="AK347" s="31" t="n">
        <f aca="false">IFERROR(R347/(T347/60*Q347),"")</f>
        <v>0.743265503875969</v>
      </c>
      <c r="AL347" s="26" t="n">
        <v>1</v>
      </c>
      <c r="AM347" s="26"/>
      <c r="AN347" s="26"/>
      <c r="AO347" s="26"/>
      <c r="AP347" s="26" t="n">
        <v>1</v>
      </c>
      <c r="AQ347" s="26"/>
      <c r="AR347" s="26"/>
      <c r="AS347" s="26"/>
      <c r="AT347" s="26" t="n">
        <v>1</v>
      </c>
      <c r="AU347" s="26"/>
      <c r="AV347" s="26" t="n">
        <f aca="false">SUM(AL347:AU347)</f>
        <v>3</v>
      </c>
      <c r="AW347" s="32" t="n">
        <f aca="false">IFERROR(AV347/R347*1000000,"")</f>
        <v>4497.75112443778</v>
      </c>
      <c r="AX347" s="33" t="n">
        <f aca="false">IFERROR((R347-AV347)/R347,"")</f>
        <v>0.995502248875562</v>
      </c>
      <c r="AY347" s="34" t="n">
        <f aca="false">IFERROR(AH347*AJ347*AX347,"")</f>
        <v>0.739922480620155</v>
      </c>
      <c r="AZ347" s="35" t="s">
        <v>93</v>
      </c>
    </row>
    <row r="348" customFormat="false" ht="12.75" hidden="false" customHeight="true" outlineLevel="0" collapsed="false">
      <c r="A348" s="24" t="n">
        <v>344</v>
      </c>
      <c r="B348" s="25" t="n">
        <v>46137</v>
      </c>
      <c r="C348" s="25" t="n">
        <v>12</v>
      </c>
      <c r="D348" s="26" t="s">
        <v>79</v>
      </c>
      <c r="E348" s="26" t="s">
        <v>80</v>
      </c>
      <c r="F348" s="26" t="s">
        <v>81</v>
      </c>
      <c r="G348" s="26" t="s">
        <v>9</v>
      </c>
      <c r="H348" s="27" t="n">
        <v>0.354166666666667</v>
      </c>
      <c r="I348" s="27" t="n">
        <v>0.854166666666667</v>
      </c>
      <c r="J348" s="26" t="n">
        <f aca="false">IFERROR((I348-H348)*24*60,"")</f>
        <v>720</v>
      </c>
      <c r="K348" s="26" t="s">
        <v>82</v>
      </c>
      <c r="L348" s="26" t="s">
        <v>75</v>
      </c>
      <c r="M348" s="26" t="s">
        <v>84</v>
      </c>
      <c r="N348" s="26" t="s">
        <v>85</v>
      </c>
      <c r="O348" s="26" t="n">
        <v>8</v>
      </c>
      <c r="P348" s="26" t="n">
        <v>45</v>
      </c>
      <c r="Q348" s="26" t="n">
        <f aca="false">IFERROR(3600/(P348/O348),"")</f>
        <v>640</v>
      </c>
      <c r="R348" s="26" t="n">
        <v>6525</v>
      </c>
      <c r="S348" s="26" t="n">
        <v>31</v>
      </c>
      <c r="T348" s="26" t="n">
        <f aca="false">IFERROR(J348-S348,"")</f>
        <v>689</v>
      </c>
      <c r="U348" s="26"/>
      <c r="V348" s="26"/>
      <c r="W348" s="26"/>
      <c r="X348" s="26"/>
      <c r="Y348" s="26" t="n">
        <v>13</v>
      </c>
      <c r="Z348" s="26"/>
      <c r="AA348" s="26"/>
      <c r="AB348" s="26"/>
      <c r="AC348" s="26"/>
      <c r="AD348" s="26" t="n">
        <v>14</v>
      </c>
      <c r="AE348" s="26"/>
      <c r="AF348" s="26" t="n">
        <f aca="false">SUM(U348:AE348)</f>
        <v>27</v>
      </c>
      <c r="AG348" s="26" t="n">
        <f aca="false">T348-AF348</f>
        <v>662</v>
      </c>
      <c r="AH348" s="28" t="n">
        <f aca="false">IFERROR(AG348/T348,"")</f>
        <v>0.960812772133527</v>
      </c>
      <c r="AI348" s="29" t="n">
        <f aca="false">IFERROR(R348/AG348*60,"")</f>
        <v>591.389728096677</v>
      </c>
      <c r="AJ348" s="30" t="n">
        <f aca="false">IFERROR(AI348/Q348,"")</f>
        <v>0.924046450151057</v>
      </c>
      <c r="AK348" s="31" t="n">
        <f aca="false">IFERROR(R348/(T348/60*Q348),"")</f>
        <v>0.887835631349782</v>
      </c>
      <c r="AL348" s="26" t="n">
        <v>6</v>
      </c>
      <c r="AM348" s="26" t="n">
        <v>7</v>
      </c>
      <c r="AN348" s="26" t="n">
        <v>8</v>
      </c>
      <c r="AO348" s="26" t="n">
        <v>6</v>
      </c>
      <c r="AP348" s="26" t="n">
        <v>6</v>
      </c>
      <c r="AQ348" s="26" t="n">
        <v>5</v>
      </c>
      <c r="AR348" s="26" t="n">
        <v>7</v>
      </c>
      <c r="AS348" s="26" t="n">
        <v>8</v>
      </c>
      <c r="AT348" s="26" t="n">
        <v>8</v>
      </c>
      <c r="AU348" s="26" t="n">
        <v>7</v>
      </c>
      <c r="AV348" s="26" t="n">
        <f aca="false">SUM(AL348:AU348)</f>
        <v>68</v>
      </c>
      <c r="AW348" s="32" t="n">
        <f aca="false">IFERROR(AV348/R348*1000000,"")</f>
        <v>10421.4559386973</v>
      </c>
      <c r="AX348" s="33" t="n">
        <f aca="false">IFERROR((R348-AV348)/R348,"")</f>
        <v>0.989578544061303</v>
      </c>
      <c r="AY348" s="34" t="n">
        <f aca="false">IFERROR(AH348*AJ348*AX348,"")</f>
        <v>0.878583091436865</v>
      </c>
      <c r="AZ348" s="35" t="s">
        <v>86</v>
      </c>
    </row>
    <row r="349" customFormat="false" ht="12.75" hidden="false" customHeight="true" outlineLevel="0" collapsed="false">
      <c r="A349" s="24" t="n">
        <v>345</v>
      </c>
      <c r="B349" s="25" t="n">
        <v>46137</v>
      </c>
      <c r="C349" s="25" t="n">
        <v>12</v>
      </c>
      <c r="D349" s="26" t="s">
        <v>87</v>
      </c>
      <c r="E349" s="26" t="s">
        <v>88</v>
      </c>
      <c r="F349" s="26" t="s">
        <v>73</v>
      </c>
      <c r="G349" s="26" t="s">
        <v>10</v>
      </c>
      <c r="H349" s="27" t="n">
        <v>0.354166666666667</v>
      </c>
      <c r="I349" s="27" t="n">
        <v>0.854166666666667</v>
      </c>
      <c r="J349" s="26" t="n">
        <f aca="false">IFERROR((I349-H349)*24*60,"")</f>
        <v>720</v>
      </c>
      <c r="K349" s="26" t="s">
        <v>74</v>
      </c>
      <c r="L349" s="26" t="s">
        <v>83</v>
      </c>
      <c r="M349" s="26" t="s">
        <v>91</v>
      </c>
      <c r="N349" s="26" t="s">
        <v>92</v>
      </c>
      <c r="O349" s="26" t="n">
        <v>8</v>
      </c>
      <c r="P349" s="26" t="n">
        <v>41</v>
      </c>
      <c r="Q349" s="26" t="n">
        <f aca="false">IFERROR(3600/(P349/O349),"")</f>
        <v>702.439024390244</v>
      </c>
      <c r="R349" s="26" t="n">
        <v>6050</v>
      </c>
      <c r="S349" s="26" t="n">
        <v>31</v>
      </c>
      <c r="T349" s="26" t="n">
        <f aca="false">IFERROR(J349-S349,"")</f>
        <v>689</v>
      </c>
      <c r="U349" s="26" t="n">
        <v>27</v>
      </c>
      <c r="V349" s="26"/>
      <c r="W349" s="26"/>
      <c r="X349" s="26"/>
      <c r="Y349" s="26"/>
      <c r="Z349" s="26"/>
      <c r="AA349" s="26" t="n">
        <v>26</v>
      </c>
      <c r="AB349" s="26" t="n">
        <v>12</v>
      </c>
      <c r="AC349" s="26"/>
      <c r="AD349" s="26"/>
      <c r="AE349" s="26"/>
      <c r="AF349" s="26" t="n">
        <f aca="false">SUM(U349:AE349)</f>
        <v>65</v>
      </c>
      <c r="AG349" s="26" t="n">
        <f aca="false">T349-AF349</f>
        <v>624</v>
      </c>
      <c r="AH349" s="28" t="n">
        <f aca="false">IFERROR(AG349/T349,"")</f>
        <v>0.905660377358491</v>
      </c>
      <c r="AI349" s="29" t="n">
        <f aca="false">IFERROR(R349/AG349*60,"")</f>
        <v>581.730769230769</v>
      </c>
      <c r="AJ349" s="30" t="n">
        <f aca="false">IFERROR(AI349/Q349,"")</f>
        <v>0.828158386752137</v>
      </c>
      <c r="AK349" s="31" t="n">
        <f aca="false">IFERROR(R349/(T349/60*Q349),"")</f>
        <v>0.750030237058539</v>
      </c>
      <c r="AL349" s="26" t="n">
        <v>13</v>
      </c>
      <c r="AM349" s="26" t="n">
        <v>20</v>
      </c>
      <c r="AN349" s="26" t="n">
        <v>18</v>
      </c>
      <c r="AO349" s="26" t="n">
        <v>13</v>
      </c>
      <c r="AP349" s="26" t="n">
        <v>15</v>
      </c>
      <c r="AQ349" s="26" t="n">
        <v>13</v>
      </c>
      <c r="AR349" s="26" t="n">
        <v>16</v>
      </c>
      <c r="AS349" s="26" t="n">
        <v>14</v>
      </c>
      <c r="AT349" s="26" t="n">
        <v>7</v>
      </c>
      <c r="AU349" s="26" t="n">
        <v>15</v>
      </c>
      <c r="AV349" s="26" t="n">
        <f aca="false">SUM(AL349:AU349)</f>
        <v>144</v>
      </c>
      <c r="AW349" s="32" t="n">
        <f aca="false">IFERROR(AV349/R349*1000000,"")</f>
        <v>23801.652892562</v>
      </c>
      <c r="AX349" s="33" t="n">
        <f aca="false">IFERROR((R349-AV349)/R349,"")</f>
        <v>0.976198347107438</v>
      </c>
      <c r="AY349" s="34" t="n">
        <f aca="false">IFERROR(AH349*AJ349*AX349,"")</f>
        <v>0.732178277697146</v>
      </c>
      <c r="AZ349" s="35" t="s">
        <v>78</v>
      </c>
    </row>
    <row r="350" customFormat="false" ht="12.75" hidden="false" customHeight="true" outlineLevel="0" collapsed="false">
      <c r="A350" s="24" t="n">
        <v>346</v>
      </c>
      <c r="B350" s="25" t="n">
        <v>46138</v>
      </c>
      <c r="C350" s="25" t="n">
        <v>12</v>
      </c>
      <c r="D350" s="26" t="s">
        <v>71</v>
      </c>
      <c r="E350" s="26" t="s">
        <v>94</v>
      </c>
      <c r="F350" s="26" t="s">
        <v>81</v>
      </c>
      <c r="G350" s="26" t="s">
        <v>11</v>
      </c>
      <c r="H350" s="27" t="n">
        <v>0.354166666666667</v>
      </c>
      <c r="I350" s="27" t="n">
        <v>0.854166666666667</v>
      </c>
      <c r="J350" s="26" t="n">
        <f aca="false">IFERROR((I350-H350)*24*60,"")</f>
        <v>720</v>
      </c>
      <c r="K350" s="26" t="s">
        <v>89</v>
      </c>
      <c r="L350" s="26" t="s">
        <v>106</v>
      </c>
      <c r="M350" s="26" t="s">
        <v>95</v>
      </c>
      <c r="N350" s="26" t="s">
        <v>96</v>
      </c>
      <c r="O350" s="26" t="n">
        <v>4</v>
      </c>
      <c r="P350" s="26" t="n">
        <v>61</v>
      </c>
      <c r="Q350" s="26" t="n">
        <f aca="false">IFERROR(3600/(P350/O350),"")</f>
        <v>236.065573770492</v>
      </c>
      <c r="R350" s="26" t="n">
        <v>1948</v>
      </c>
      <c r="S350" s="26" t="n">
        <v>48</v>
      </c>
      <c r="T350" s="26" t="n">
        <f aca="false">IFERROR(J350-S350,"")</f>
        <v>672</v>
      </c>
      <c r="U350" s="26"/>
      <c r="V350" s="26"/>
      <c r="W350" s="26"/>
      <c r="X350" s="26"/>
      <c r="Y350" s="26"/>
      <c r="Z350" s="26"/>
      <c r="AA350" s="26" t="n">
        <v>16</v>
      </c>
      <c r="AB350" s="26"/>
      <c r="AC350" s="26"/>
      <c r="AD350" s="26"/>
      <c r="AE350" s="26" t="n">
        <v>6</v>
      </c>
      <c r="AF350" s="26" t="n">
        <f aca="false">SUM(U350:AE350)</f>
        <v>22</v>
      </c>
      <c r="AG350" s="26" t="n">
        <f aca="false">T350-AF350</f>
        <v>650</v>
      </c>
      <c r="AH350" s="28" t="n">
        <f aca="false">IFERROR(AG350/T350,"")</f>
        <v>0.967261904761905</v>
      </c>
      <c r="AI350" s="29" t="n">
        <f aca="false">IFERROR(R350/AG350*60,"")</f>
        <v>179.815384615385</v>
      </c>
      <c r="AJ350" s="30" t="n">
        <f aca="false">IFERROR(AI350/Q350,"")</f>
        <v>0.761717948717949</v>
      </c>
      <c r="AK350" s="31" t="n">
        <f aca="false">IFERROR(R350/(T350/60*Q350),"")</f>
        <v>0.736780753968254</v>
      </c>
      <c r="AL350" s="26" t="n">
        <v>4</v>
      </c>
      <c r="AM350" s="26" t="n">
        <v>2</v>
      </c>
      <c r="AN350" s="26" t="n">
        <v>5</v>
      </c>
      <c r="AO350" s="26" t="n">
        <v>2</v>
      </c>
      <c r="AP350" s="26" t="n">
        <v>3</v>
      </c>
      <c r="AQ350" s="26" t="n">
        <v>5</v>
      </c>
      <c r="AR350" s="26" t="n">
        <v>5</v>
      </c>
      <c r="AS350" s="26" t="n">
        <v>4</v>
      </c>
      <c r="AT350" s="26" t="n">
        <v>1</v>
      </c>
      <c r="AU350" s="26" t="n">
        <v>2</v>
      </c>
      <c r="AV350" s="26" t="n">
        <f aca="false">SUM(AL350:AU350)</f>
        <v>33</v>
      </c>
      <c r="AW350" s="32" t="n">
        <f aca="false">IFERROR(AV350/R350*1000000,"")</f>
        <v>16940.4517453799</v>
      </c>
      <c r="AX350" s="33" t="n">
        <f aca="false">IFERROR((R350-AV350)/R350,"")</f>
        <v>0.98305954825462</v>
      </c>
      <c r="AY350" s="34" t="n">
        <f aca="false">IFERROR(AH350*AJ350*AX350,"")</f>
        <v>0.72429935515873</v>
      </c>
      <c r="AZ350" s="35" t="s">
        <v>86</v>
      </c>
    </row>
    <row r="351" customFormat="false" ht="12.75" hidden="false" customHeight="true" outlineLevel="0" collapsed="false">
      <c r="A351" s="24" t="n">
        <v>347</v>
      </c>
      <c r="B351" s="25" t="n">
        <v>46138</v>
      </c>
      <c r="C351" s="25" t="n">
        <v>12</v>
      </c>
      <c r="D351" s="26" t="s">
        <v>79</v>
      </c>
      <c r="E351" s="26" t="s">
        <v>97</v>
      </c>
      <c r="F351" s="26" t="s">
        <v>73</v>
      </c>
      <c r="G351" s="26" t="s">
        <v>12</v>
      </c>
      <c r="H351" s="27" t="n">
        <v>0.354166666666667</v>
      </c>
      <c r="I351" s="27" t="n">
        <v>0.854166666666667</v>
      </c>
      <c r="J351" s="26" t="n">
        <f aca="false">IFERROR((I351-H351)*24*60,"")</f>
        <v>720</v>
      </c>
      <c r="K351" s="26" t="s">
        <v>82</v>
      </c>
      <c r="L351" s="26" t="s">
        <v>102</v>
      </c>
      <c r="M351" s="26" t="s">
        <v>99</v>
      </c>
      <c r="N351" s="26" t="s">
        <v>100</v>
      </c>
      <c r="O351" s="26" t="n">
        <v>2</v>
      </c>
      <c r="P351" s="26" t="n">
        <v>56</v>
      </c>
      <c r="Q351" s="26" t="n">
        <f aca="false">IFERROR(3600/(P351/O351),"")</f>
        <v>128.571428571429</v>
      </c>
      <c r="R351" s="26" t="n">
        <v>1302</v>
      </c>
      <c r="S351" s="26" t="n">
        <v>32</v>
      </c>
      <c r="T351" s="26" t="n">
        <f aca="false">IFERROR(J351-S351,"")</f>
        <v>688</v>
      </c>
      <c r="U351" s="26" t="n">
        <v>9</v>
      </c>
      <c r="V351" s="26"/>
      <c r="W351" s="26" t="n">
        <v>6</v>
      </c>
      <c r="X351" s="26"/>
      <c r="Y351" s="26"/>
      <c r="Z351" s="26"/>
      <c r="AA351" s="26"/>
      <c r="AB351" s="26"/>
      <c r="AC351" s="26"/>
      <c r="AD351" s="26"/>
      <c r="AE351" s="26"/>
      <c r="AF351" s="26" t="n">
        <f aca="false">SUM(U351:AE351)</f>
        <v>15</v>
      </c>
      <c r="AG351" s="26" t="n">
        <f aca="false">T351-AF351</f>
        <v>673</v>
      </c>
      <c r="AH351" s="28" t="n">
        <f aca="false">IFERROR(AG351/T351,"")</f>
        <v>0.978197674418605</v>
      </c>
      <c r="AI351" s="29" t="n">
        <f aca="false">IFERROR(R351/AG351*60,"")</f>
        <v>116.077265973254</v>
      </c>
      <c r="AJ351" s="30" t="n">
        <f aca="false">IFERROR(AI351/Q351,"")</f>
        <v>0.902823179791976</v>
      </c>
      <c r="AK351" s="31" t="n">
        <f aca="false">IFERROR(R351/(T351/60*Q351),"")</f>
        <v>0.883139534883721</v>
      </c>
      <c r="AL351" s="26" t="n">
        <v>2</v>
      </c>
      <c r="AM351" s="26" t="n">
        <v>1</v>
      </c>
      <c r="AN351" s="26" t="n">
        <v>1</v>
      </c>
      <c r="AO351" s="26" t="n">
        <v>3</v>
      </c>
      <c r="AP351" s="26" t="n">
        <v>1</v>
      </c>
      <c r="AQ351" s="26" t="n">
        <v>5</v>
      </c>
      <c r="AR351" s="26" t="n">
        <v>2</v>
      </c>
      <c r="AS351" s="26" t="n">
        <v>2</v>
      </c>
      <c r="AT351" s="26" t="n">
        <v>4</v>
      </c>
      <c r="AU351" s="26" t="n">
        <v>4</v>
      </c>
      <c r="AV351" s="26" t="n">
        <f aca="false">SUM(AL351:AU351)</f>
        <v>25</v>
      </c>
      <c r="AW351" s="32" t="n">
        <f aca="false">IFERROR(AV351/R351*1000000,"")</f>
        <v>19201.2288786482</v>
      </c>
      <c r="AX351" s="33" t="n">
        <f aca="false">IFERROR((R351-AV351)/R351,"")</f>
        <v>0.980798771121352</v>
      </c>
      <c r="AY351" s="34" t="n">
        <f aca="false">IFERROR(AH351*AJ351*AX351,"")</f>
        <v>0.866182170542636</v>
      </c>
      <c r="AZ351" s="35" t="s">
        <v>78</v>
      </c>
    </row>
    <row r="352" customFormat="false" ht="12.75" hidden="false" customHeight="true" outlineLevel="0" collapsed="false">
      <c r="A352" s="24" t="n">
        <v>348</v>
      </c>
      <c r="B352" s="25" t="n">
        <v>46138</v>
      </c>
      <c r="C352" s="25" t="n">
        <v>12</v>
      </c>
      <c r="D352" s="26" t="s">
        <v>87</v>
      </c>
      <c r="E352" s="26" t="s">
        <v>101</v>
      </c>
      <c r="F352" s="26" t="s">
        <v>81</v>
      </c>
      <c r="G352" s="26" t="s">
        <v>13</v>
      </c>
      <c r="H352" s="27" t="n">
        <v>0.354166666666667</v>
      </c>
      <c r="I352" s="27" t="n">
        <v>0.854166666666667</v>
      </c>
      <c r="J352" s="26" t="n">
        <f aca="false">IFERROR((I352-H352)*24*60,"")</f>
        <v>720</v>
      </c>
      <c r="K352" s="26" t="s">
        <v>105</v>
      </c>
      <c r="L352" s="26" t="s">
        <v>75</v>
      </c>
      <c r="M352" s="26" t="s">
        <v>103</v>
      </c>
      <c r="N352" s="26" t="s">
        <v>104</v>
      </c>
      <c r="O352" s="26" t="n">
        <v>1</v>
      </c>
      <c r="P352" s="26" t="n">
        <v>50</v>
      </c>
      <c r="Q352" s="26" t="n">
        <f aca="false">IFERROR(3600/(P352/O352),"")</f>
        <v>72</v>
      </c>
      <c r="R352" s="26" t="n">
        <v>680</v>
      </c>
      <c r="S352" s="26" t="n">
        <v>48</v>
      </c>
      <c r="T352" s="26" t="n">
        <f aca="false">IFERROR(J352-S352,"")</f>
        <v>672</v>
      </c>
      <c r="U352" s="26"/>
      <c r="V352" s="26"/>
      <c r="W352" s="26"/>
      <c r="X352" s="26"/>
      <c r="Y352" s="26"/>
      <c r="Z352" s="26"/>
      <c r="AA352" s="26" t="n">
        <v>18</v>
      </c>
      <c r="AB352" s="26"/>
      <c r="AC352" s="26"/>
      <c r="AD352" s="26"/>
      <c r="AE352" s="26"/>
      <c r="AF352" s="26" t="n">
        <f aca="false">SUM(U352:AE352)</f>
        <v>18</v>
      </c>
      <c r="AG352" s="26" t="n">
        <f aca="false">T352-AF352</f>
        <v>654</v>
      </c>
      <c r="AH352" s="28" t="n">
        <f aca="false">IFERROR(AG352/T352,"")</f>
        <v>0.973214285714286</v>
      </c>
      <c r="AI352" s="29" t="n">
        <f aca="false">IFERROR(R352/AG352*60,"")</f>
        <v>62.3853211009174</v>
      </c>
      <c r="AJ352" s="30" t="n">
        <f aca="false">IFERROR(AI352/Q352,"")</f>
        <v>0.866462793068298</v>
      </c>
      <c r="AK352" s="31" t="n">
        <f aca="false">IFERROR(R352/(T352/60*Q352),"")</f>
        <v>0.843253968253968</v>
      </c>
      <c r="AL352" s="26" t="n">
        <v>1</v>
      </c>
      <c r="AM352" s="26"/>
      <c r="AN352" s="26"/>
      <c r="AO352" s="26" t="n">
        <v>3</v>
      </c>
      <c r="AP352" s="26" t="n">
        <v>4</v>
      </c>
      <c r="AQ352" s="26" t="n">
        <v>1</v>
      </c>
      <c r="AR352" s="26" t="n">
        <v>1</v>
      </c>
      <c r="AS352" s="26" t="n">
        <v>1</v>
      </c>
      <c r="AT352" s="26"/>
      <c r="AU352" s="26" t="n">
        <v>4</v>
      </c>
      <c r="AV352" s="26" t="n">
        <f aca="false">SUM(AL352:AU352)</f>
        <v>15</v>
      </c>
      <c r="AW352" s="32" t="n">
        <f aca="false">IFERROR(AV352/R352*1000000,"")</f>
        <v>22058.8235294118</v>
      </c>
      <c r="AX352" s="33" t="n">
        <f aca="false">IFERROR((R352-AV352)/R352,"")</f>
        <v>0.977941176470588</v>
      </c>
      <c r="AY352" s="34" t="n">
        <f aca="false">IFERROR(AH352*AJ352*AX352,"")</f>
        <v>0.824652777777778</v>
      </c>
      <c r="AZ352" s="35" t="s">
        <v>78</v>
      </c>
    </row>
    <row r="353" customFormat="false" ht="12.75" hidden="false" customHeight="true" outlineLevel="0" collapsed="false">
      <c r="A353" s="24" t="n">
        <v>349</v>
      </c>
      <c r="B353" s="25" t="n">
        <v>46139</v>
      </c>
      <c r="C353" s="25" t="n">
        <v>12</v>
      </c>
      <c r="D353" s="26" t="s">
        <v>71</v>
      </c>
      <c r="E353" s="26" t="s">
        <v>72</v>
      </c>
      <c r="F353" s="26" t="s">
        <v>73</v>
      </c>
      <c r="G353" s="26" t="s">
        <v>8</v>
      </c>
      <c r="H353" s="27" t="n">
        <v>0.354166666666667</v>
      </c>
      <c r="I353" s="27" t="n">
        <v>0.854166666666667</v>
      </c>
      <c r="J353" s="26" t="n">
        <f aca="false">IFERROR((I353-H353)*24*60,"")</f>
        <v>720</v>
      </c>
      <c r="K353" s="26" t="s">
        <v>74</v>
      </c>
      <c r="L353" s="26" t="s">
        <v>90</v>
      </c>
      <c r="M353" s="26" t="s">
        <v>76</v>
      </c>
      <c r="N353" s="26" t="s">
        <v>77</v>
      </c>
      <c r="O353" s="26" t="n">
        <v>2</v>
      </c>
      <c r="P353" s="26" t="n">
        <v>49</v>
      </c>
      <c r="Q353" s="26" t="n">
        <f aca="false">IFERROR(3600/(P353/O353),"")</f>
        <v>146.938775510204</v>
      </c>
      <c r="R353" s="26" t="n">
        <v>1074</v>
      </c>
      <c r="S353" s="26" t="n">
        <v>44</v>
      </c>
      <c r="T353" s="26" t="n">
        <f aca="false">IFERROR(J353-S353,"")</f>
        <v>676</v>
      </c>
      <c r="U353" s="26"/>
      <c r="V353" s="26" t="n">
        <v>33</v>
      </c>
      <c r="W353" s="26"/>
      <c r="X353" s="26"/>
      <c r="Y353" s="26"/>
      <c r="Z353" s="26"/>
      <c r="AA353" s="26"/>
      <c r="AB353" s="26"/>
      <c r="AC353" s="26"/>
      <c r="AD353" s="26"/>
      <c r="AE353" s="26"/>
      <c r="AF353" s="26" t="n">
        <f aca="false">SUM(U353:AE353)</f>
        <v>33</v>
      </c>
      <c r="AG353" s="26" t="n">
        <f aca="false">T353-AF353</f>
        <v>643</v>
      </c>
      <c r="AH353" s="28" t="n">
        <f aca="false">IFERROR(AG353/T353,"")</f>
        <v>0.951183431952663</v>
      </c>
      <c r="AI353" s="29" t="n">
        <f aca="false">IFERROR(R353/AG353*60,"")</f>
        <v>100.217729393468</v>
      </c>
      <c r="AJ353" s="30" t="n">
        <f aca="false">IFERROR(AI353/Q353,"")</f>
        <v>0.68203732503888</v>
      </c>
      <c r="AK353" s="31" t="n">
        <f aca="false">IFERROR(R353/(T353/60*Q353),"")</f>
        <v>0.648742603550296</v>
      </c>
      <c r="AL353" s="26" t="n">
        <v>2</v>
      </c>
      <c r="AM353" s="26" t="n">
        <v>1</v>
      </c>
      <c r="AN353" s="26" t="n">
        <v>1</v>
      </c>
      <c r="AO353" s="26" t="n">
        <v>2</v>
      </c>
      <c r="AP353" s="26" t="n">
        <v>3</v>
      </c>
      <c r="AQ353" s="26" t="n">
        <v>1</v>
      </c>
      <c r="AR353" s="26" t="n">
        <v>2</v>
      </c>
      <c r="AS353" s="26" t="n">
        <v>1</v>
      </c>
      <c r="AT353" s="26" t="n">
        <v>6</v>
      </c>
      <c r="AU353" s="26" t="n">
        <v>2</v>
      </c>
      <c r="AV353" s="26" t="n">
        <f aca="false">SUM(AL353:AU353)</f>
        <v>21</v>
      </c>
      <c r="AW353" s="32" t="n">
        <f aca="false">IFERROR(AV353/R353*1000000,"")</f>
        <v>19553.0726256983</v>
      </c>
      <c r="AX353" s="33" t="n">
        <f aca="false">IFERROR((R353-AV353)/R353,"")</f>
        <v>0.980446927374302</v>
      </c>
      <c r="AY353" s="34" t="n">
        <f aca="false">IFERROR(AH353*AJ353*AX353,"")</f>
        <v>0.636057692307692</v>
      </c>
      <c r="AZ353" s="35"/>
    </row>
    <row r="354" customFormat="false" ht="12.75" hidden="false" customHeight="true" outlineLevel="0" collapsed="false">
      <c r="A354" s="24" t="n">
        <v>350</v>
      </c>
      <c r="B354" s="25" t="n">
        <v>46139</v>
      </c>
      <c r="C354" s="25" t="n">
        <v>12</v>
      </c>
      <c r="D354" s="26" t="s">
        <v>79</v>
      </c>
      <c r="E354" s="26" t="s">
        <v>80</v>
      </c>
      <c r="F354" s="26" t="s">
        <v>81</v>
      </c>
      <c r="G354" s="26" t="s">
        <v>9</v>
      </c>
      <c r="H354" s="27" t="n">
        <v>0.354166666666667</v>
      </c>
      <c r="I354" s="27" t="n">
        <v>0.854166666666667</v>
      </c>
      <c r="J354" s="26" t="n">
        <f aca="false">IFERROR((I354-H354)*24*60,"")</f>
        <v>720</v>
      </c>
      <c r="K354" s="26" t="s">
        <v>74</v>
      </c>
      <c r="L354" s="26" t="s">
        <v>106</v>
      </c>
      <c r="M354" s="26" t="s">
        <v>84</v>
      </c>
      <c r="N354" s="26" t="s">
        <v>85</v>
      </c>
      <c r="O354" s="26" t="n">
        <v>2</v>
      </c>
      <c r="P354" s="26" t="n">
        <v>54</v>
      </c>
      <c r="Q354" s="26" t="n">
        <f aca="false">IFERROR(3600/(P354/O354),"")</f>
        <v>133.333333333333</v>
      </c>
      <c r="R354" s="26" t="n">
        <v>1022</v>
      </c>
      <c r="S354" s="26" t="n">
        <v>35</v>
      </c>
      <c r="T354" s="26" t="n">
        <f aca="false">IFERROR(J354-S354,"")</f>
        <v>685</v>
      </c>
      <c r="U354" s="26"/>
      <c r="V354" s="26"/>
      <c r="W354" s="26"/>
      <c r="X354" s="26"/>
      <c r="Y354" s="26" t="n">
        <v>26</v>
      </c>
      <c r="Z354" s="26"/>
      <c r="AA354" s="26"/>
      <c r="AB354" s="26"/>
      <c r="AC354" s="26"/>
      <c r="AD354" s="26"/>
      <c r="AE354" s="26"/>
      <c r="AF354" s="26" t="n">
        <f aca="false">SUM(U354:AE354)</f>
        <v>26</v>
      </c>
      <c r="AG354" s="26" t="n">
        <f aca="false">T354-AF354</f>
        <v>659</v>
      </c>
      <c r="AH354" s="28" t="n">
        <f aca="false">IFERROR(AG354/T354,"")</f>
        <v>0.962043795620438</v>
      </c>
      <c r="AI354" s="29" t="n">
        <f aca="false">IFERROR(R354/AG354*60,"")</f>
        <v>93.0500758725342</v>
      </c>
      <c r="AJ354" s="30" t="n">
        <f aca="false">IFERROR(AI354/Q354,"")</f>
        <v>0.697875569044006</v>
      </c>
      <c r="AK354" s="31" t="n">
        <f aca="false">IFERROR(R354/(T354/60*Q354),"")</f>
        <v>0.671386861313869</v>
      </c>
      <c r="AL354" s="26"/>
      <c r="AM354" s="26"/>
      <c r="AN354" s="26" t="n">
        <v>1</v>
      </c>
      <c r="AO354" s="26" t="n">
        <v>1</v>
      </c>
      <c r="AP354" s="26" t="n">
        <v>2</v>
      </c>
      <c r="AQ354" s="26"/>
      <c r="AR354" s="26" t="n">
        <v>2</v>
      </c>
      <c r="AS354" s="26"/>
      <c r="AT354" s="26"/>
      <c r="AU354" s="26"/>
      <c r="AV354" s="26" t="n">
        <f aca="false">SUM(AL354:AU354)</f>
        <v>6</v>
      </c>
      <c r="AW354" s="32" t="n">
        <f aca="false">IFERROR(AV354/R354*1000000,"")</f>
        <v>5870.84148727984</v>
      </c>
      <c r="AX354" s="33" t="n">
        <f aca="false">IFERROR((R354-AV354)/R354,"")</f>
        <v>0.99412915851272</v>
      </c>
      <c r="AY354" s="34" t="n">
        <f aca="false">IFERROR(AH354*AJ354*AX354,"")</f>
        <v>0.667445255474453</v>
      </c>
      <c r="AZ354" s="35" t="s">
        <v>78</v>
      </c>
    </row>
    <row r="355" customFormat="false" ht="12.75" hidden="false" customHeight="true" outlineLevel="0" collapsed="false">
      <c r="A355" s="24" t="n">
        <v>351</v>
      </c>
      <c r="B355" s="25" t="n">
        <v>46139</v>
      </c>
      <c r="C355" s="25" t="n">
        <v>12</v>
      </c>
      <c r="D355" s="26" t="s">
        <v>87</v>
      </c>
      <c r="E355" s="26" t="s">
        <v>88</v>
      </c>
      <c r="F355" s="26" t="s">
        <v>73</v>
      </c>
      <c r="G355" s="26" t="s">
        <v>10</v>
      </c>
      <c r="H355" s="27" t="n">
        <v>0.354166666666667</v>
      </c>
      <c r="I355" s="27" t="n">
        <v>0.854166666666667</v>
      </c>
      <c r="J355" s="26" t="n">
        <f aca="false">IFERROR((I355-H355)*24*60,"")</f>
        <v>720</v>
      </c>
      <c r="K355" s="26" t="s">
        <v>82</v>
      </c>
      <c r="L355" s="26" t="s">
        <v>107</v>
      </c>
      <c r="M355" s="26" t="s">
        <v>91</v>
      </c>
      <c r="N355" s="26" t="s">
        <v>92</v>
      </c>
      <c r="O355" s="26" t="n">
        <v>1</v>
      </c>
      <c r="P355" s="26" t="n">
        <v>28</v>
      </c>
      <c r="Q355" s="26" t="n">
        <f aca="false">IFERROR(3600/(P355/O355),"")</f>
        <v>128.571428571429</v>
      </c>
      <c r="R355" s="26" t="n">
        <v>1394</v>
      </c>
      <c r="S355" s="26" t="n">
        <v>48</v>
      </c>
      <c r="T355" s="26" t="n">
        <f aca="false">IFERROR(J355-S355,"")</f>
        <v>672</v>
      </c>
      <c r="U355" s="26"/>
      <c r="V355" s="26"/>
      <c r="W355" s="26"/>
      <c r="X355" s="26" t="n">
        <v>3</v>
      </c>
      <c r="Y355" s="26"/>
      <c r="Z355" s="26"/>
      <c r="AA355" s="26"/>
      <c r="AB355" s="26"/>
      <c r="AC355" s="26"/>
      <c r="AD355" s="26"/>
      <c r="AE355" s="26"/>
      <c r="AF355" s="26" t="n">
        <f aca="false">SUM(U355:AE355)</f>
        <v>3</v>
      </c>
      <c r="AG355" s="26" t="n">
        <f aca="false">T355-AF355</f>
        <v>669</v>
      </c>
      <c r="AH355" s="28" t="n">
        <f aca="false">IFERROR(AG355/T355,"")</f>
        <v>0.995535714285714</v>
      </c>
      <c r="AI355" s="29" t="n">
        <f aca="false">IFERROR(R355/AG355*60,"")</f>
        <v>125.022421524664</v>
      </c>
      <c r="AJ355" s="30" t="n">
        <f aca="false">IFERROR(AI355/Q355,"")</f>
        <v>0.972396611858495</v>
      </c>
      <c r="AK355" s="31" t="n">
        <f aca="false">IFERROR(R355/(T355/60*Q355),"")</f>
        <v>0.968055555555556</v>
      </c>
      <c r="AL355" s="26"/>
      <c r="AM355" s="26" t="n">
        <v>1</v>
      </c>
      <c r="AN355" s="26" t="n">
        <v>1</v>
      </c>
      <c r="AO355" s="26"/>
      <c r="AP355" s="26" t="n">
        <v>1</v>
      </c>
      <c r="AQ355" s="26"/>
      <c r="AR355" s="26"/>
      <c r="AS355" s="26" t="n">
        <v>1</v>
      </c>
      <c r="AT355" s="26"/>
      <c r="AU355" s="26"/>
      <c r="AV355" s="26" t="n">
        <f aca="false">SUM(AL355:AU355)</f>
        <v>4</v>
      </c>
      <c r="AW355" s="32" t="n">
        <f aca="false">IFERROR(AV355/R355*1000000,"")</f>
        <v>2869.44045911047</v>
      </c>
      <c r="AX355" s="33" t="n">
        <f aca="false">IFERROR((R355-AV355)/R355,"")</f>
        <v>0.99713055954089</v>
      </c>
      <c r="AY355" s="34" t="n">
        <f aca="false">IFERROR(AH355*AJ355*AX355,"")</f>
        <v>0.965277777777778</v>
      </c>
      <c r="AZ355" s="35"/>
    </row>
    <row r="356" customFormat="false" ht="12.75" hidden="false" customHeight="true" outlineLevel="0" collapsed="false">
      <c r="A356" s="24" t="n">
        <v>352</v>
      </c>
      <c r="B356" s="25" t="n">
        <v>46140</v>
      </c>
      <c r="C356" s="25" t="n">
        <v>12</v>
      </c>
      <c r="D356" s="26" t="s">
        <v>71</v>
      </c>
      <c r="E356" s="26" t="s">
        <v>94</v>
      </c>
      <c r="F356" s="26" t="s">
        <v>81</v>
      </c>
      <c r="G356" s="26" t="s">
        <v>11</v>
      </c>
      <c r="H356" s="27" t="n">
        <v>0.354166666666667</v>
      </c>
      <c r="I356" s="27" t="n">
        <v>0.854166666666667</v>
      </c>
      <c r="J356" s="26" t="n">
        <f aca="false">IFERROR((I356-H356)*24*60,"")</f>
        <v>720</v>
      </c>
      <c r="K356" s="26" t="s">
        <v>74</v>
      </c>
      <c r="L356" s="26" t="s">
        <v>90</v>
      </c>
      <c r="M356" s="26" t="s">
        <v>95</v>
      </c>
      <c r="N356" s="26" t="s">
        <v>96</v>
      </c>
      <c r="O356" s="26" t="n">
        <v>8</v>
      </c>
      <c r="P356" s="26" t="n">
        <v>66</v>
      </c>
      <c r="Q356" s="26" t="n">
        <f aca="false">IFERROR(3600/(P356/O356),"")</f>
        <v>436.363636363636</v>
      </c>
      <c r="R356" s="26" t="n">
        <v>4247</v>
      </c>
      <c r="S356" s="26" t="n">
        <v>62</v>
      </c>
      <c r="T356" s="26" t="n">
        <f aca="false">IFERROR(J356-S356,"")</f>
        <v>658</v>
      </c>
      <c r="U356" s="26"/>
      <c r="V356" s="26" t="n">
        <v>8</v>
      </c>
      <c r="W356" s="26"/>
      <c r="X356" s="26"/>
      <c r="Y356" s="26"/>
      <c r="Z356" s="26"/>
      <c r="AA356" s="26"/>
      <c r="AB356" s="26"/>
      <c r="AC356" s="26"/>
      <c r="AD356" s="26"/>
      <c r="AE356" s="26"/>
      <c r="AF356" s="26" t="n">
        <f aca="false">SUM(U356:AE356)</f>
        <v>8</v>
      </c>
      <c r="AG356" s="26" t="n">
        <f aca="false">T356-AF356</f>
        <v>650</v>
      </c>
      <c r="AH356" s="28" t="n">
        <f aca="false">IFERROR(AG356/T356,"")</f>
        <v>0.987841945288754</v>
      </c>
      <c r="AI356" s="29" t="n">
        <f aca="false">IFERROR(R356/AG356*60,"")</f>
        <v>392.030769230769</v>
      </c>
      <c r="AJ356" s="30" t="n">
        <f aca="false">IFERROR(AI356/Q356,"")</f>
        <v>0.898403846153846</v>
      </c>
      <c r="AK356" s="31" t="n">
        <f aca="false">IFERROR(R356/(T356/60*Q356),"")</f>
        <v>0.887481003039514</v>
      </c>
      <c r="AL356" s="26" t="n">
        <v>4</v>
      </c>
      <c r="AM356" s="26" t="n">
        <v>4</v>
      </c>
      <c r="AN356" s="26" t="n">
        <v>4</v>
      </c>
      <c r="AO356" s="26" t="n">
        <v>6</v>
      </c>
      <c r="AP356" s="26" t="n">
        <v>1</v>
      </c>
      <c r="AQ356" s="26" t="n">
        <v>5</v>
      </c>
      <c r="AR356" s="26" t="n">
        <v>5</v>
      </c>
      <c r="AS356" s="26" t="n">
        <v>5</v>
      </c>
      <c r="AT356" s="26" t="n">
        <v>5</v>
      </c>
      <c r="AU356" s="26" t="n">
        <v>3</v>
      </c>
      <c r="AV356" s="26" t="n">
        <f aca="false">SUM(AL356:AU356)</f>
        <v>42</v>
      </c>
      <c r="AW356" s="32" t="n">
        <f aca="false">IFERROR(AV356/R356*1000000,"")</f>
        <v>9889.33364728043</v>
      </c>
      <c r="AX356" s="33" t="n">
        <f aca="false">IFERROR((R356-AV356)/R356,"")</f>
        <v>0.99011066635272</v>
      </c>
      <c r="AY356" s="34" t="n">
        <f aca="false">IFERROR(AH356*AJ356*AX356,"")</f>
        <v>0.878704407294833</v>
      </c>
      <c r="AZ356" s="35" t="s">
        <v>93</v>
      </c>
    </row>
    <row r="357" customFormat="false" ht="12.75" hidden="false" customHeight="true" outlineLevel="0" collapsed="false">
      <c r="A357" s="24" t="n">
        <v>353</v>
      </c>
      <c r="B357" s="25" t="n">
        <v>46140</v>
      </c>
      <c r="C357" s="25" t="n">
        <v>12</v>
      </c>
      <c r="D357" s="26" t="s">
        <v>79</v>
      </c>
      <c r="E357" s="26" t="s">
        <v>97</v>
      </c>
      <c r="F357" s="26" t="s">
        <v>73</v>
      </c>
      <c r="G357" s="26" t="s">
        <v>12</v>
      </c>
      <c r="H357" s="27" t="n">
        <v>0.354166666666667</v>
      </c>
      <c r="I357" s="27" t="n">
        <v>0.854166666666667</v>
      </c>
      <c r="J357" s="26" t="n">
        <f aca="false">IFERROR((I357-H357)*24*60,"")</f>
        <v>720</v>
      </c>
      <c r="K357" s="26" t="s">
        <v>82</v>
      </c>
      <c r="L357" s="26" t="s">
        <v>107</v>
      </c>
      <c r="M357" s="26" t="s">
        <v>99</v>
      </c>
      <c r="N357" s="26" t="s">
        <v>100</v>
      </c>
      <c r="O357" s="26" t="n">
        <v>4</v>
      </c>
      <c r="P357" s="26" t="n">
        <v>50</v>
      </c>
      <c r="Q357" s="26" t="n">
        <f aca="false">IFERROR(3600/(P357/O357),"")</f>
        <v>288</v>
      </c>
      <c r="R357" s="26" t="n">
        <v>2934</v>
      </c>
      <c r="S357" s="26" t="n">
        <v>31</v>
      </c>
      <c r="T357" s="26" t="n">
        <f aca="false">IFERROR(J357-S357,"")</f>
        <v>689</v>
      </c>
      <c r="U357" s="26"/>
      <c r="V357" s="26"/>
      <c r="W357" s="26"/>
      <c r="X357" s="26"/>
      <c r="Y357" s="26"/>
      <c r="Z357" s="26"/>
      <c r="AA357" s="26"/>
      <c r="AB357" s="26" t="n">
        <v>13</v>
      </c>
      <c r="AC357" s="26"/>
      <c r="AD357" s="26"/>
      <c r="AE357" s="26"/>
      <c r="AF357" s="26" t="n">
        <f aca="false">SUM(U357:AE357)</f>
        <v>13</v>
      </c>
      <c r="AG357" s="26" t="n">
        <f aca="false">T357-AF357</f>
        <v>676</v>
      </c>
      <c r="AH357" s="28" t="n">
        <f aca="false">IFERROR(AG357/T357,"")</f>
        <v>0.981132075471698</v>
      </c>
      <c r="AI357" s="29" t="n">
        <f aca="false">IFERROR(R357/AG357*60,"")</f>
        <v>260.414201183432</v>
      </c>
      <c r="AJ357" s="30" t="n">
        <f aca="false">IFERROR(AI357/Q357,"")</f>
        <v>0.904215976331361</v>
      </c>
      <c r="AK357" s="31" t="n">
        <f aca="false">IFERROR(R357/(T357/60*Q357),"")</f>
        <v>0.887155297532656</v>
      </c>
      <c r="AL357" s="26"/>
      <c r="AM357" s="26" t="n">
        <v>2</v>
      </c>
      <c r="AN357" s="26" t="n">
        <v>1</v>
      </c>
      <c r="AO357" s="26"/>
      <c r="AP357" s="26"/>
      <c r="AQ357" s="26"/>
      <c r="AR357" s="26"/>
      <c r="AS357" s="26" t="n">
        <v>2</v>
      </c>
      <c r="AT357" s="26" t="n">
        <v>4</v>
      </c>
      <c r="AU357" s="26" t="n">
        <v>2</v>
      </c>
      <c r="AV357" s="26" t="n">
        <f aca="false">SUM(AL357:AU357)</f>
        <v>11</v>
      </c>
      <c r="AW357" s="32" t="n">
        <f aca="false">IFERROR(AV357/R357*1000000,"")</f>
        <v>3749.14792092706</v>
      </c>
      <c r="AX357" s="33" t="n">
        <f aca="false">IFERROR((R357-AV357)/R357,"")</f>
        <v>0.996250852079073</v>
      </c>
      <c r="AY357" s="34" t="n">
        <f aca="false">IFERROR(AH357*AJ357*AX357,"")</f>
        <v>0.883829221093372</v>
      </c>
      <c r="AZ357" s="35" t="s">
        <v>78</v>
      </c>
    </row>
    <row r="358" customFormat="false" ht="12.75" hidden="false" customHeight="true" outlineLevel="0" collapsed="false">
      <c r="A358" s="24" t="n">
        <v>354</v>
      </c>
      <c r="B358" s="25" t="n">
        <v>46140</v>
      </c>
      <c r="C358" s="25" t="n">
        <v>12</v>
      </c>
      <c r="D358" s="26" t="s">
        <v>87</v>
      </c>
      <c r="E358" s="26" t="s">
        <v>101</v>
      </c>
      <c r="F358" s="26" t="s">
        <v>81</v>
      </c>
      <c r="G358" s="26" t="s">
        <v>13</v>
      </c>
      <c r="H358" s="27" t="n">
        <v>0.354166666666667</v>
      </c>
      <c r="I358" s="27" t="n">
        <v>0.854166666666667</v>
      </c>
      <c r="J358" s="26" t="n">
        <f aca="false">IFERROR((I358-H358)*24*60,"")</f>
        <v>720</v>
      </c>
      <c r="K358" s="26" t="s">
        <v>74</v>
      </c>
      <c r="L358" s="26" t="s">
        <v>107</v>
      </c>
      <c r="M358" s="26" t="s">
        <v>103</v>
      </c>
      <c r="N358" s="26" t="s">
        <v>104</v>
      </c>
      <c r="O358" s="26" t="n">
        <v>2</v>
      </c>
      <c r="P358" s="26" t="n">
        <v>43</v>
      </c>
      <c r="Q358" s="26" t="n">
        <f aca="false">IFERROR(3600/(P358/O358),"")</f>
        <v>167.441860465116</v>
      </c>
      <c r="R358" s="26" t="n">
        <v>1502</v>
      </c>
      <c r="S358" s="26" t="n">
        <v>70</v>
      </c>
      <c r="T358" s="26" t="n">
        <f aca="false">IFERROR(J358-S358,"")</f>
        <v>650</v>
      </c>
      <c r="U358" s="26" t="n">
        <v>18</v>
      </c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 t="n">
        <f aca="false">SUM(U358:AE358)</f>
        <v>18</v>
      </c>
      <c r="AG358" s="26" t="n">
        <f aca="false">T358-AF358</f>
        <v>632</v>
      </c>
      <c r="AH358" s="28" t="n">
        <f aca="false">IFERROR(AG358/T358,"")</f>
        <v>0.972307692307692</v>
      </c>
      <c r="AI358" s="29" t="n">
        <f aca="false">IFERROR(R358/AG358*60,"")</f>
        <v>142.594936708861</v>
      </c>
      <c r="AJ358" s="30" t="n">
        <f aca="false">IFERROR(AI358/Q358,"")</f>
        <v>0.85160864978903</v>
      </c>
      <c r="AK358" s="31" t="n">
        <f aca="false">IFERROR(R358/(T358/60*Q358),"")</f>
        <v>0.828025641025641</v>
      </c>
      <c r="AL358" s="26" t="n">
        <v>2</v>
      </c>
      <c r="AM358" s="26" t="n">
        <v>7</v>
      </c>
      <c r="AN358" s="26" t="n">
        <v>5</v>
      </c>
      <c r="AO358" s="26"/>
      <c r="AP358" s="26" t="n">
        <v>6</v>
      </c>
      <c r="AQ358" s="26" t="n">
        <v>6</v>
      </c>
      <c r="AR358" s="26" t="n">
        <v>3</v>
      </c>
      <c r="AS358" s="26" t="n">
        <v>1</v>
      </c>
      <c r="AT358" s="26" t="n">
        <v>2</v>
      </c>
      <c r="AU358" s="26" t="n">
        <v>3</v>
      </c>
      <c r="AV358" s="26" t="n">
        <f aca="false">SUM(AL358:AU358)</f>
        <v>35</v>
      </c>
      <c r="AW358" s="32" t="n">
        <f aca="false">IFERROR(AV358/R358*1000000,"")</f>
        <v>23302.2636484687</v>
      </c>
      <c r="AX358" s="33" t="n">
        <f aca="false">IFERROR((R358-AV358)/R358,"")</f>
        <v>0.976697736351531</v>
      </c>
      <c r="AY358" s="34" t="n">
        <f aca="false">IFERROR(AH358*AJ358*AX358,"")</f>
        <v>0.808730769230769</v>
      </c>
      <c r="AZ358" s="35" t="s">
        <v>86</v>
      </c>
    </row>
    <row r="359" customFormat="false" ht="12.75" hidden="false" customHeight="true" outlineLevel="0" collapsed="false">
      <c r="A359" s="24" t="n">
        <v>355</v>
      </c>
      <c r="B359" s="25" t="n">
        <v>46141</v>
      </c>
      <c r="C359" s="25" t="n">
        <v>12</v>
      </c>
      <c r="D359" s="26" t="s">
        <v>71</v>
      </c>
      <c r="E359" s="26" t="s">
        <v>72</v>
      </c>
      <c r="F359" s="26" t="s">
        <v>73</v>
      </c>
      <c r="G359" s="26" t="s">
        <v>8</v>
      </c>
      <c r="H359" s="27" t="n">
        <v>0.354166666666667</v>
      </c>
      <c r="I359" s="27" t="n">
        <v>0.854166666666667</v>
      </c>
      <c r="J359" s="26" t="n">
        <f aca="false">IFERROR((I359-H359)*24*60,"")</f>
        <v>720</v>
      </c>
      <c r="K359" s="26" t="s">
        <v>105</v>
      </c>
      <c r="L359" s="26" t="s">
        <v>102</v>
      </c>
      <c r="M359" s="26" t="s">
        <v>76</v>
      </c>
      <c r="N359" s="26" t="s">
        <v>77</v>
      </c>
      <c r="O359" s="26" t="n">
        <v>4</v>
      </c>
      <c r="P359" s="26" t="n">
        <v>72</v>
      </c>
      <c r="Q359" s="26" t="n">
        <f aca="false">IFERROR(3600/(P359/O359),"")</f>
        <v>200</v>
      </c>
      <c r="R359" s="26" t="n">
        <v>1929</v>
      </c>
      <c r="S359" s="26" t="n">
        <v>33</v>
      </c>
      <c r="T359" s="26" t="n">
        <f aca="false">IFERROR(J359-S359,"")</f>
        <v>687</v>
      </c>
      <c r="U359" s="26"/>
      <c r="V359" s="26"/>
      <c r="W359" s="26"/>
      <c r="X359" s="26"/>
      <c r="Y359" s="26" t="n">
        <v>20</v>
      </c>
      <c r="Z359" s="26"/>
      <c r="AA359" s="26"/>
      <c r="AB359" s="26"/>
      <c r="AC359" s="26" t="n">
        <v>25</v>
      </c>
      <c r="AD359" s="26"/>
      <c r="AE359" s="26"/>
      <c r="AF359" s="26" t="n">
        <f aca="false">SUM(U359:AE359)</f>
        <v>45</v>
      </c>
      <c r="AG359" s="26" t="n">
        <f aca="false">T359-AF359</f>
        <v>642</v>
      </c>
      <c r="AH359" s="28" t="n">
        <f aca="false">IFERROR(AG359/T359,"")</f>
        <v>0.934497816593886</v>
      </c>
      <c r="AI359" s="29" t="n">
        <f aca="false">IFERROR(R359/AG359*60,"")</f>
        <v>180.280373831776</v>
      </c>
      <c r="AJ359" s="30" t="n">
        <f aca="false">IFERROR(AI359/Q359,"")</f>
        <v>0.901401869158879</v>
      </c>
      <c r="AK359" s="31" t="n">
        <f aca="false">IFERROR(R359/(T359/60*Q359),"")</f>
        <v>0.84235807860262</v>
      </c>
      <c r="AL359" s="26" t="n">
        <v>4</v>
      </c>
      <c r="AM359" s="26" t="n">
        <v>8</v>
      </c>
      <c r="AN359" s="26" t="n">
        <v>4</v>
      </c>
      <c r="AO359" s="26" t="n">
        <v>1</v>
      </c>
      <c r="AP359" s="26" t="n">
        <v>3</v>
      </c>
      <c r="AQ359" s="26" t="n">
        <v>3</v>
      </c>
      <c r="AR359" s="26" t="n">
        <v>3</v>
      </c>
      <c r="AS359" s="26" t="n">
        <v>2</v>
      </c>
      <c r="AT359" s="26" t="n">
        <v>2</v>
      </c>
      <c r="AU359" s="26" t="n">
        <v>3</v>
      </c>
      <c r="AV359" s="26" t="n">
        <f aca="false">SUM(AL359:AU359)</f>
        <v>33</v>
      </c>
      <c r="AW359" s="32" t="n">
        <f aca="false">IFERROR(AV359/R359*1000000,"")</f>
        <v>17107.3094867807</v>
      </c>
      <c r="AX359" s="33" t="n">
        <f aca="false">IFERROR((R359-AV359)/R359,"")</f>
        <v>0.982892690513219</v>
      </c>
      <c r="AY359" s="34" t="n">
        <f aca="false">IFERROR(AH359*AJ359*AX359,"")</f>
        <v>0.827947598253275</v>
      </c>
      <c r="AZ359" s="35" t="s">
        <v>86</v>
      </c>
    </row>
    <row r="360" customFormat="false" ht="12.75" hidden="false" customHeight="true" outlineLevel="0" collapsed="false">
      <c r="A360" s="24" t="n">
        <v>356</v>
      </c>
      <c r="B360" s="25" t="n">
        <v>46141</v>
      </c>
      <c r="C360" s="25" t="n">
        <v>12</v>
      </c>
      <c r="D360" s="26" t="s">
        <v>79</v>
      </c>
      <c r="E360" s="26" t="s">
        <v>80</v>
      </c>
      <c r="F360" s="26" t="s">
        <v>81</v>
      </c>
      <c r="G360" s="26" t="s">
        <v>9</v>
      </c>
      <c r="H360" s="27" t="n">
        <v>0.354166666666667</v>
      </c>
      <c r="I360" s="27" t="n">
        <v>0.854166666666667</v>
      </c>
      <c r="J360" s="26" t="n">
        <f aca="false">IFERROR((I360-H360)*24*60,"")</f>
        <v>720</v>
      </c>
      <c r="K360" s="26" t="s">
        <v>74</v>
      </c>
      <c r="L360" s="26" t="s">
        <v>108</v>
      </c>
      <c r="M360" s="26" t="s">
        <v>84</v>
      </c>
      <c r="N360" s="26" t="s">
        <v>85</v>
      </c>
      <c r="O360" s="26" t="n">
        <v>2</v>
      </c>
      <c r="P360" s="26" t="n">
        <v>71</v>
      </c>
      <c r="Q360" s="26" t="n">
        <f aca="false">IFERROR(3600/(P360/O360),"")</f>
        <v>101.408450704225</v>
      </c>
      <c r="R360" s="26" t="n">
        <v>1083</v>
      </c>
      <c r="S360" s="26" t="n">
        <v>75</v>
      </c>
      <c r="T360" s="26" t="n">
        <f aca="false">IFERROR(J360-S360,"")</f>
        <v>645</v>
      </c>
      <c r="U360" s="26" t="n">
        <v>6</v>
      </c>
      <c r="V360" s="26"/>
      <c r="W360" s="26"/>
      <c r="X360" s="26" t="n">
        <v>11</v>
      </c>
      <c r="Y360" s="26"/>
      <c r="Z360" s="26"/>
      <c r="AA360" s="26"/>
      <c r="AB360" s="26"/>
      <c r="AC360" s="26"/>
      <c r="AD360" s="26"/>
      <c r="AE360" s="26" t="n">
        <v>9</v>
      </c>
      <c r="AF360" s="26" t="n">
        <f aca="false">SUM(U360:AE360)</f>
        <v>26</v>
      </c>
      <c r="AG360" s="26" t="n">
        <f aca="false">T360-AF360</f>
        <v>619</v>
      </c>
      <c r="AH360" s="28" t="n">
        <f aca="false">IFERROR(AG360/T360,"")</f>
        <v>0.95968992248062</v>
      </c>
      <c r="AI360" s="29" t="n">
        <f aca="false">IFERROR(R360/AG360*60,"")</f>
        <v>104.975767366721</v>
      </c>
      <c r="AJ360" s="30" t="n">
        <f aca="false">IFERROR(AI360/Q360,"")</f>
        <v>1.03517770597738</v>
      </c>
      <c r="AK360" s="31" t="n">
        <f aca="false">IFERROR(R360/(T360/60*Q360),"")</f>
        <v>0.993449612403101</v>
      </c>
      <c r="AL360" s="26" t="n">
        <v>1</v>
      </c>
      <c r="AM360" s="26"/>
      <c r="AN360" s="26"/>
      <c r="AO360" s="26" t="n">
        <v>4</v>
      </c>
      <c r="AP360" s="26" t="n">
        <v>2</v>
      </c>
      <c r="AQ360" s="26" t="n">
        <v>1</v>
      </c>
      <c r="AR360" s="26" t="n">
        <v>2</v>
      </c>
      <c r="AS360" s="26" t="n">
        <v>1</v>
      </c>
      <c r="AT360" s="26" t="n">
        <v>2</v>
      </c>
      <c r="AU360" s="26" t="n">
        <v>2</v>
      </c>
      <c r="AV360" s="26" t="n">
        <f aca="false">SUM(AL360:AU360)</f>
        <v>15</v>
      </c>
      <c r="AW360" s="32" t="n">
        <f aca="false">IFERROR(AV360/R360*1000000,"")</f>
        <v>13850.4155124654</v>
      </c>
      <c r="AX360" s="33" t="n">
        <f aca="false">IFERROR((R360-AV360)/R360,"")</f>
        <v>0.986149584487535</v>
      </c>
      <c r="AY360" s="34" t="n">
        <f aca="false">IFERROR(AH360*AJ360*AX360,"")</f>
        <v>0.97968992248062</v>
      </c>
      <c r="AZ360" s="35"/>
    </row>
    <row r="361" customFormat="false" ht="12.75" hidden="false" customHeight="true" outlineLevel="0" collapsed="false">
      <c r="A361" s="24" t="n">
        <v>357</v>
      </c>
      <c r="B361" s="25" t="n">
        <v>46141</v>
      </c>
      <c r="C361" s="25" t="n">
        <v>12</v>
      </c>
      <c r="D361" s="26" t="s">
        <v>87</v>
      </c>
      <c r="E361" s="26" t="s">
        <v>88</v>
      </c>
      <c r="F361" s="26" t="s">
        <v>73</v>
      </c>
      <c r="G361" s="26" t="s">
        <v>10</v>
      </c>
      <c r="H361" s="27" t="n">
        <v>0.354166666666667</v>
      </c>
      <c r="I361" s="27" t="n">
        <v>0.854166666666667</v>
      </c>
      <c r="J361" s="26" t="n">
        <f aca="false">IFERROR((I361-H361)*24*60,"")</f>
        <v>720</v>
      </c>
      <c r="K361" s="26" t="s">
        <v>89</v>
      </c>
      <c r="L361" s="26" t="s">
        <v>102</v>
      </c>
      <c r="M361" s="26" t="s">
        <v>91</v>
      </c>
      <c r="N361" s="26" t="s">
        <v>92</v>
      </c>
      <c r="O361" s="26" t="n">
        <v>4</v>
      </c>
      <c r="P361" s="26" t="n">
        <v>39</v>
      </c>
      <c r="Q361" s="26" t="n">
        <f aca="false">IFERROR(3600/(P361/O361),"")</f>
        <v>369.230769230769</v>
      </c>
      <c r="R361" s="26" t="n">
        <v>3449</v>
      </c>
      <c r="S361" s="26" t="n">
        <v>67</v>
      </c>
      <c r="T361" s="26" t="n">
        <f aca="false">IFERROR(J361-S361,"")</f>
        <v>653</v>
      </c>
      <c r="U361" s="26"/>
      <c r="V361" s="26"/>
      <c r="W361" s="26"/>
      <c r="X361" s="26"/>
      <c r="Y361" s="26" t="n">
        <v>16</v>
      </c>
      <c r="Z361" s="26"/>
      <c r="AA361" s="26"/>
      <c r="AB361" s="26"/>
      <c r="AC361" s="26"/>
      <c r="AD361" s="26"/>
      <c r="AE361" s="26"/>
      <c r="AF361" s="26" t="n">
        <f aca="false">SUM(U361:AE361)</f>
        <v>16</v>
      </c>
      <c r="AG361" s="26" t="n">
        <f aca="false">T361-AF361</f>
        <v>637</v>
      </c>
      <c r="AH361" s="28" t="n">
        <f aca="false">IFERROR(AG361/T361,"")</f>
        <v>0.975497702909648</v>
      </c>
      <c r="AI361" s="29" t="n">
        <f aca="false">IFERROR(R361/AG361*60,"")</f>
        <v>324.866562009419</v>
      </c>
      <c r="AJ361" s="30" t="n">
        <f aca="false">IFERROR(AI361/Q361,"")</f>
        <v>0.87984693877551</v>
      </c>
      <c r="AK361" s="31" t="n">
        <f aca="false">IFERROR(R361/(T361/60*Q361),"")</f>
        <v>0.858288667687596</v>
      </c>
      <c r="AL361" s="26" t="n">
        <v>7</v>
      </c>
      <c r="AM361" s="26" t="n">
        <v>7</v>
      </c>
      <c r="AN361" s="26" t="n">
        <v>7</v>
      </c>
      <c r="AO361" s="26" t="n">
        <v>11</v>
      </c>
      <c r="AP361" s="26" t="n">
        <v>5</v>
      </c>
      <c r="AQ361" s="26" t="n">
        <v>4</v>
      </c>
      <c r="AR361" s="26" t="n">
        <v>7</v>
      </c>
      <c r="AS361" s="26" t="n">
        <v>5</v>
      </c>
      <c r="AT361" s="26" t="n">
        <v>1</v>
      </c>
      <c r="AU361" s="26" t="n">
        <v>4</v>
      </c>
      <c r="AV361" s="26" t="n">
        <f aca="false">SUM(AL361:AU361)</f>
        <v>58</v>
      </c>
      <c r="AW361" s="32" t="n">
        <f aca="false">IFERROR(AV361/R361*1000000,"")</f>
        <v>16816.4685416063</v>
      </c>
      <c r="AX361" s="33" t="n">
        <f aca="false">IFERROR((R361-AV361)/R361,"")</f>
        <v>0.983183531458394</v>
      </c>
      <c r="AY361" s="34" t="n">
        <f aca="false">IFERROR(AH361*AJ361*AX361,"")</f>
        <v>0.84385528330781</v>
      </c>
      <c r="AZ361" s="35" t="s">
        <v>86</v>
      </c>
    </row>
    <row r="362" customFormat="false" ht="12.75" hidden="false" customHeight="true" outlineLevel="0" collapsed="false">
      <c r="A362" s="24" t="n">
        <v>358</v>
      </c>
      <c r="B362" s="25" t="n">
        <v>46142</v>
      </c>
      <c r="C362" s="25" t="n">
        <v>12</v>
      </c>
      <c r="D362" s="26" t="s">
        <v>71</v>
      </c>
      <c r="E362" s="26" t="s">
        <v>94</v>
      </c>
      <c r="F362" s="26" t="s">
        <v>81</v>
      </c>
      <c r="G362" s="26" t="s">
        <v>11</v>
      </c>
      <c r="H362" s="27" t="n">
        <v>0.354166666666667</v>
      </c>
      <c r="I362" s="27" t="n">
        <v>0.854166666666667</v>
      </c>
      <c r="J362" s="26" t="n">
        <f aca="false">IFERROR((I362-H362)*24*60,"")</f>
        <v>720</v>
      </c>
      <c r="K362" s="26" t="s">
        <v>89</v>
      </c>
      <c r="L362" s="26" t="s">
        <v>90</v>
      </c>
      <c r="M362" s="26" t="s">
        <v>95</v>
      </c>
      <c r="N362" s="26" t="s">
        <v>96</v>
      </c>
      <c r="O362" s="26" t="n">
        <v>8</v>
      </c>
      <c r="P362" s="26" t="n">
        <v>57</v>
      </c>
      <c r="Q362" s="26" t="n">
        <f aca="false">IFERROR(3600/(P362/O362),"")</f>
        <v>505.263157894737</v>
      </c>
      <c r="R362" s="26" t="n">
        <v>4600</v>
      </c>
      <c r="S362" s="26" t="n">
        <v>33</v>
      </c>
      <c r="T362" s="26" t="n">
        <f aca="false">IFERROR(J362-S362,"")</f>
        <v>687</v>
      </c>
      <c r="U362" s="26"/>
      <c r="V362" s="26"/>
      <c r="W362" s="26"/>
      <c r="X362" s="26"/>
      <c r="Y362" s="26" t="n">
        <v>7</v>
      </c>
      <c r="Z362" s="26"/>
      <c r="AA362" s="26"/>
      <c r="AB362" s="26"/>
      <c r="AC362" s="26"/>
      <c r="AD362" s="26"/>
      <c r="AE362" s="26"/>
      <c r="AF362" s="26" t="n">
        <f aca="false">SUM(U362:AE362)</f>
        <v>7</v>
      </c>
      <c r="AG362" s="26" t="n">
        <f aca="false">T362-AF362</f>
        <v>680</v>
      </c>
      <c r="AH362" s="28" t="n">
        <f aca="false">IFERROR(AG362/T362,"")</f>
        <v>0.98981077147016</v>
      </c>
      <c r="AI362" s="29" t="n">
        <f aca="false">IFERROR(R362/AG362*60,"")</f>
        <v>405.882352941176</v>
      </c>
      <c r="AJ362" s="30" t="n">
        <f aca="false">IFERROR(AI362/Q362,"")</f>
        <v>0.803308823529412</v>
      </c>
      <c r="AK362" s="31" t="n">
        <f aca="false">IFERROR(R362/(T362/60*Q362),"")</f>
        <v>0.795123726346434</v>
      </c>
      <c r="AL362" s="26" t="n">
        <v>2</v>
      </c>
      <c r="AM362" s="26" t="n">
        <v>3</v>
      </c>
      <c r="AN362" s="26" t="n">
        <v>3</v>
      </c>
      <c r="AO362" s="26" t="n">
        <v>5</v>
      </c>
      <c r="AP362" s="26" t="n">
        <v>7</v>
      </c>
      <c r="AQ362" s="26" t="n">
        <v>2</v>
      </c>
      <c r="AR362" s="26" t="n">
        <v>3</v>
      </c>
      <c r="AS362" s="26" t="n">
        <v>7</v>
      </c>
      <c r="AT362" s="26" t="n">
        <v>5</v>
      </c>
      <c r="AU362" s="26" t="n">
        <v>1</v>
      </c>
      <c r="AV362" s="26" t="n">
        <f aca="false">SUM(AL362:AU362)</f>
        <v>38</v>
      </c>
      <c r="AW362" s="32" t="n">
        <f aca="false">IFERROR(AV362/R362*1000000,"")</f>
        <v>8260.86956521739</v>
      </c>
      <c r="AX362" s="33" t="n">
        <f aca="false">IFERROR((R362-AV362)/R362,"")</f>
        <v>0.991739130434783</v>
      </c>
      <c r="AY362" s="34" t="n">
        <f aca="false">IFERROR(AH362*AJ362*AX362,"")</f>
        <v>0.788555312954876</v>
      </c>
      <c r="AZ362" s="35" t="s">
        <v>78</v>
      </c>
    </row>
    <row r="363" customFormat="false" ht="12.75" hidden="false" customHeight="true" outlineLevel="0" collapsed="false">
      <c r="A363" s="24" t="n">
        <v>359</v>
      </c>
      <c r="B363" s="25" t="n">
        <v>46142</v>
      </c>
      <c r="C363" s="25" t="n">
        <v>12</v>
      </c>
      <c r="D363" s="26" t="s">
        <v>79</v>
      </c>
      <c r="E363" s="26" t="s">
        <v>97</v>
      </c>
      <c r="F363" s="26" t="s">
        <v>73</v>
      </c>
      <c r="G363" s="26" t="s">
        <v>12</v>
      </c>
      <c r="H363" s="27" t="n">
        <v>0.354166666666667</v>
      </c>
      <c r="I363" s="27" t="n">
        <v>0.854166666666667</v>
      </c>
      <c r="J363" s="26" t="n">
        <f aca="false">IFERROR((I363-H363)*24*60,"")</f>
        <v>720</v>
      </c>
      <c r="K363" s="26" t="s">
        <v>74</v>
      </c>
      <c r="L363" s="26" t="s">
        <v>108</v>
      </c>
      <c r="M363" s="26" t="s">
        <v>99</v>
      </c>
      <c r="N363" s="26" t="s">
        <v>100</v>
      </c>
      <c r="O363" s="26" t="n">
        <v>2</v>
      </c>
      <c r="P363" s="26" t="n">
        <v>42</v>
      </c>
      <c r="Q363" s="26" t="n">
        <f aca="false">IFERROR(3600/(P363/O363),"")</f>
        <v>171.428571428571</v>
      </c>
      <c r="R363" s="26" t="n">
        <v>1448</v>
      </c>
      <c r="S363" s="26" t="n">
        <v>66</v>
      </c>
      <c r="T363" s="26" t="n">
        <f aca="false">IFERROR(J363-S363,"")</f>
        <v>654</v>
      </c>
      <c r="U363" s="26"/>
      <c r="V363" s="26"/>
      <c r="W363" s="26"/>
      <c r="X363" s="26"/>
      <c r="Y363" s="26"/>
      <c r="Z363" s="26"/>
      <c r="AA363" s="26"/>
      <c r="AB363" s="26"/>
      <c r="AC363" s="26"/>
      <c r="AD363" s="26" t="n">
        <v>11</v>
      </c>
      <c r="AE363" s="26"/>
      <c r="AF363" s="26" t="n">
        <f aca="false">SUM(U363:AE363)</f>
        <v>11</v>
      </c>
      <c r="AG363" s="26" t="n">
        <f aca="false">T363-AF363</f>
        <v>643</v>
      </c>
      <c r="AH363" s="28" t="n">
        <f aca="false">IFERROR(AG363/T363,"")</f>
        <v>0.983180428134557</v>
      </c>
      <c r="AI363" s="29" t="n">
        <f aca="false">IFERROR(R363/AG363*60,"")</f>
        <v>135.116640746501</v>
      </c>
      <c r="AJ363" s="30" t="n">
        <f aca="false">IFERROR(AI363/Q363,"")</f>
        <v>0.788180404354588</v>
      </c>
      <c r="AK363" s="31" t="n">
        <f aca="false">IFERROR(R363/(T363/60*Q363),"")</f>
        <v>0.774923547400612</v>
      </c>
      <c r="AL363" s="26" t="n">
        <v>3</v>
      </c>
      <c r="AM363" s="26" t="n">
        <v>1</v>
      </c>
      <c r="AN363" s="26" t="n">
        <v>3</v>
      </c>
      <c r="AO363" s="26" t="n">
        <v>1</v>
      </c>
      <c r="AP363" s="26" t="n">
        <v>3</v>
      </c>
      <c r="AQ363" s="26" t="n">
        <v>2</v>
      </c>
      <c r="AR363" s="26" t="n">
        <v>2</v>
      </c>
      <c r="AS363" s="26" t="n">
        <v>2</v>
      </c>
      <c r="AT363" s="26" t="n">
        <v>3</v>
      </c>
      <c r="AU363" s="26" t="n">
        <v>2</v>
      </c>
      <c r="AV363" s="26" t="n">
        <f aca="false">SUM(AL363:AU363)</f>
        <v>22</v>
      </c>
      <c r="AW363" s="32" t="n">
        <f aca="false">IFERROR(AV363/R363*1000000,"")</f>
        <v>15193.3701657459</v>
      </c>
      <c r="AX363" s="33" t="n">
        <f aca="false">IFERROR((R363-AV363)/R363,"")</f>
        <v>0.984806629834254</v>
      </c>
      <c r="AY363" s="34" t="n">
        <f aca="false">IFERROR(AH363*AJ363*AX363,"")</f>
        <v>0.763149847094801</v>
      </c>
      <c r="AZ363" s="35" t="s">
        <v>93</v>
      </c>
    </row>
    <row r="364" customFormat="false" ht="12.75" hidden="false" customHeight="true" outlineLevel="0" collapsed="false">
      <c r="A364" s="24" t="n">
        <v>360</v>
      </c>
      <c r="B364" s="25" t="n">
        <v>46142</v>
      </c>
      <c r="C364" s="25" t="n">
        <v>12</v>
      </c>
      <c r="D364" s="26" t="s">
        <v>87</v>
      </c>
      <c r="E364" s="26" t="s">
        <v>101</v>
      </c>
      <c r="F364" s="26" t="s">
        <v>81</v>
      </c>
      <c r="G364" s="26" t="s">
        <v>13</v>
      </c>
      <c r="H364" s="27" t="n">
        <v>0.354166666666667</v>
      </c>
      <c r="I364" s="27" t="n">
        <v>0.854166666666667</v>
      </c>
      <c r="J364" s="26" t="n">
        <f aca="false">IFERROR((I364-H364)*24*60,"")</f>
        <v>720</v>
      </c>
      <c r="K364" s="26" t="s">
        <v>74</v>
      </c>
      <c r="L364" s="26" t="s">
        <v>83</v>
      </c>
      <c r="M364" s="26" t="s">
        <v>103</v>
      </c>
      <c r="N364" s="26" t="s">
        <v>104</v>
      </c>
      <c r="O364" s="26" t="n">
        <v>8</v>
      </c>
      <c r="P364" s="26" t="n">
        <v>63</v>
      </c>
      <c r="Q364" s="26" t="n">
        <f aca="false">IFERROR(3600/(P364/O364),"")</f>
        <v>457.142857142857</v>
      </c>
      <c r="R364" s="26" t="n">
        <v>3742</v>
      </c>
      <c r="S364" s="26" t="n">
        <v>36</v>
      </c>
      <c r="T364" s="26" t="n">
        <f aca="false">IFERROR(J364-S364,"")</f>
        <v>684</v>
      </c>
      <c r="U364" s="26" t="n">
        <v>13</v>
      </c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 t="n">
        <f aca="false">SUM(U364:AE364)</f>
        <v>13</v>
      </c>
      <c r="AG364" s="26" t="n">
        <f aca="false">T364-AF364</f>
        <v>671</v>
      </c>
      <c r="AH364" s="28" t="n">
        <f aca="false">IFERROR(AG364/T364,"")</f>
        <v>0.980994152046784</v>
      </c>
      <c r="AI364" s="29" t="n">
        <f aca="false">IFERROR(R364/AG364*60,"")</f>
        <v>334.605067064083</v>
      </c>
      <c r="AJ364" s="30" t="n">
        <f aca="false">IFERROR(AI364/Q364,"")</f>
        <v>0.731948584202682</v>
      </c>
      <c r="AK364" s="31" t="n">
        <f aca="false">IFERROR(R364/(T364/60*Q364),"")</f>
        <v>0.718037280701754</v>
      </c>
      <c r="AL364" s="26" t="n">
        <v>9</v>
      </c>
      <c r="AM364" s="26" t="n">
        <v>12</v>
      </c>
      <c r="AN364" s="26" t="n">
        <v>4</v>
      </c>
      <c r="AO364" s="26" t="n">
        <v>13</v>
      </c>
      <c r="AP364" s="26" t="n">
        <v>6</v>
      </c>
      <c r="AQ364" s="26" t="n">
        <v>7</v>
      </c>
      <c r="AR364" s="26" t="n">
        <v>6</v>
      </c>
      <c r="AS364" s="26" t="n">
        <v>8</v>
      </c>
      <c r="AT364" s="26" t="n">
        <v>8</v>
      </c>
      <c r="AU364" s="26" t="n">
        <v>8</v>
      </c>
      <c r="AV364" s="26" t="n">
        <f aca="false">SUM(AL364:AU364)</f>
        <v>81</v>
      </c>
      <c r="AW364" s="32" t="n">
        <f aca="false">IFERROR(AV364/R364*1000000,"")</f>
        <v>21646.1785141636</v>
      </c>
      <c r="AX364" s="33" t="n">
        <f aca="false">IFERROR((R364-AV364)/R364,"")</f>
        <v>0.978353821485837</v>
      </c>
      <c r="AY364" s="34" t="n">
        <f aca="false">IFERROR(AH364*AJ364*AX364,"")</f>
        <v>0.70249451754386</v>
      </c>
      <c r="AZ364" s="35" t="s">
        <v>86</v>
      </c>
    </row>
    <row r="365" customFormat="false" ht="12.75" hidden="false" customHeight="true" outlineLevel="0" collapsed="false">
      <c r="A365" s="24" t="n">
        <v>361</v>
      </c>
      <c r="B365" s="25" t="n">
        <v>46143</v>
      </c>
      <c r="C365" s="25" t="n">
        <v>12</v>
      </c>
      <c r="D365" s="26" t="s">
        <v>71</v>
      </c>
      <c r="E365" s="26" t="s">
        <v>72</v>
      </c>
      <c r="F365" s="26" t="s">
        <v>73</v>
      </c>
      <c r="G365" s="26" t="s">
        <v>8</v>
      </c>
      <c r="H365" s="27" t="n">
        <v>0.354166666666667</v>
      </c>
      <c r="I365" s="27" t="n">
        <v>0.854166666666667</v>
      </c>
      <c r="J365" s="26" t="n">
        <f aca="false">IFERROR((I365-H365)*24*60,"")</f>
        <v>720</v>
      </c>
      <c r="K365" s="26" t="s">
        <v>74</v>
      </c>
      <c r="L365" s="26" t="s">
        <v>83</v>
      </c>
      <c r="M365" s="26" t="s">
        <v>76</v>
      </c>
      <c r="N365" s="26" t="s">
        <v>77</v>
      </c>
      <c r="O365" s="26" t="n">
        <v>2</v>
      </c>
      <c r="P365" s="26" t="n">
        <v>37</v>
      </c>
      <c r="Q365" s="26" t="n">
        <f aca="false">IFERROR(3600/(P365/O365),"")</f>
        <v>194.594594594595</v>
      </c>
      <c r="R365" s="26" t="n">
        <v>1670</v>
      </c>
      <c r="S365" s="26" t="n">
        <v>32</v>
      </c>
      <c r="T365" s="26" t="n">
        <f aca="false">IFERROR(J365-S365,"")</f>
        <v>688</v>
      </c>
      <c r="U365" s="26" t="n">
        <v>10</v>
      </c>
      <c r="V365" s="26"/>
      <c r="W365" s="26"/>
      <c r="X365" s="26" t="n">
        <v>10</v>
      </c>
      <c r="Y365" s="26"/>
      <c r="Z365" s="26"/>
      <c r="AA365" s="26"/>
      <c r="AB365" s="26"/>
      <c r="AC365" s="26"/>
      <c r="AD365" s="26"/>
      <c r="AE365" s="26"/>
      <c r="AF365" s="26" t="n">
        <f aca="false">SUM(U365:AE365)</f>
        <v>20</v>
      </c>
      <c r="AG365" s="26" t="n">
        <f aca="false">T365-AF365</f>
        <v>668</v>
      </c>
      <c r="AH365" s="28" t="n">
        <f aca="false">IFERROR(AG365/T365,"")</f>
        <v>0.97093023255814</v>
      </c>
      <c r="AI365" s="29" t="n">
        <f aca="false">IFERROR(R365/AG365*60,"")</f>
        <v>150</v>
      </c>
      <c r="AJ365" s="30" t="n">
        <f aca="false">IFERROR(AI365/Q365,"")</f>
        <v>0.770833333333333</v>
      </c>
      <c r="AK365" s="31" t="n">
        <f aca="false">IFERROR(R365/(T365/60*Q365),"")</f>
        <v>0.748425387596899</v>
      </c>
      <c r="AL365" s="26" t="n">
        <v>3</v>
      </c>
      <c r="AM365" s="26" t="n">
        <v>6</v>
      </c>
      <c r="AN365" s="26" t="n">
        <v>6</v>
      </c>
      <c r="AO365" s="26" t="n">
        <v>2</v>
      </c>
      <c r="AP365" s="26" t="n">
        <v>1</v>
      </c>
      <c r="AQ365" s="26" t="n">
        <v>2</v>
      </c>
      <c r="AR365" s="26" t="n">
        <v>5</v>
      </c>
      <c r="AS365" s="26" t="n">
        <v>1</v>
      </c>
      <c r="AT365" s="26" t="n">
        <v>1</v>
      </c>
      <c r="AU365" s="26"/>
      <c r="AV365" s="26" t="n">
        <f aca="false">SUM(AL365:AU365)</f>
        <v>27</v>
      </c>
      <c r="AW365" s="32" t="n">
        <f aca="false">IFERROR(AV365/R365*1000000,"")</f>
        <v>16167.6646706587</v>
      </c>
      <c r="AX365" s="33" t="n">
        <f aca="false">IFERROR((R365-AV365)/R365,"")</f>
        <v>0.983832335329341</v>
      </c>
      <c r="AY365" s="34" t="n">
        <f aca="false">IFERROR(AH365*AJ365*AX365,"")</f>
        <v>0.736325096899225</v>
      </c>
      <c r="AZ365" s="35" t="s">
        <v>93</v>
      </c>
    </row>
    <row r="366" customFormat="false" ht="12.75" hidden="false" customHeight="true" outlineLevel="0" collapsed="false">
      <c r="A366" s="24" t="n">
        <v>362</v>
      </c>
      <c r="B366" s="25" t="n">
        <v>46143</v>
      </c>
      <c r="C366" s="25" t="n">
        <v>12</v>
      </c>
      <c r="D366" s="26" t="s">
        <v>79</v>
      </c>
      <c r="E366" s="26" t="s">
        <v>80</v>
      </c>
      <c r="F366" s="26" t="s">
        <v>81</v>
      </c>
      <c r="G366" s="26" t="s">
        <v>9</v>
      </c>
      <c r="H366" s="27" t="n">
        <v>0.354166666666667</v>
      </c>
      <c r="I366" s="27" t="n">
        <v>0.854166666666667</v>
      </c>
      <c r="J366" s="26" t="n">
        <f aca="false">IFERROR((I366-H366)*24*60,"")</f>
        <v>720</v>
      </c>
      <c r="K366" s="26" t="s">
        <v>89</v>
      </c>
      <c r="L366" s="26" t="s">
        <v>107</v>
      </c>
      <c r="M366" s="26" t="s">
        <v>84</v>
      </c>
      <c r="N366" s="26" t="s">
        <v>85</v>
      </c>
      <c r="O366" s="26" t="n">
        <v>4</v>
      </c>
      <c r="P366" s="26" t="n">
        <v>52</v>
      </c>
      <c r="Q366" s="26" t="n">
        <f aca="false">IFERROR(3600/(P366/O366),"")</f>
        <v>276.923076923077</v>
      </c>
      <c r="R366" s="26" t="n">
        <v>2027</v>
      </c>
      <c r="S366" s="26" t="n">
        <v>75</v>
      </c>
      <c r="T366" s="26" t="n">
        <f aca="false">IFERROR(J366-S366,"")</f>
        <v>645</v>
      </c>
      <c r="U366" s="26"/>
      <c r="V366" s="26"/>
      <c r="W366" s="26"/>
      <c r="X366" s="26"/>
      <c r="Y366" s="26"/>
      <c r="Z366" s="26"/>
      <c r="AA366" s="26" t="n">
        <v>30</v>
      </c>
      <c r="AB366" s="26" t="n">
        <v>9</v>
      </c>
      <c r="AC366" s="26"/>
      <c r="AD366" s="26"/>
      <c r="AE366" s="26" t="n">
        <v>37</v>
      </c>
      <c r="AF366" s="26" t="n">
        <f aca="false">SUM(U366:AE366)</f>
        <v>76</v>
      </c>
      <c r="AG366" s="26" t="n">
        <f aca="false">T366-AF366</f>
        <v>569</v>
      </c>
      <c r="AH366" s="28" t="n">
        <f aca="false">IFERROR(AG366/T366,"")</f>
        <v>0.882170542635659</v>
      </c>
      <c r="AI366" s="29" t="n">
        <f aca="false">IFERROR(R366/AG366*60,"")</f>
        <v>213.743409490334</v>
      </c>
      <c r="AJ366" s="30" t="n">
        <f aca="false">IFERROR(AI366/Q366,"")</f>
        <v>0.771851200937317</v>
      </c>
      <c r="AK366" s="31" t="n">
        <f aca="false">IFERROR(R366/(T366/60*Q366),"")</f>
        <v>0.680904392764858</v>
      </c>
      <c r="AL366" s="26" t="n">
        <v>1</v>
      </c>
      <c r="AM366" s="26"/>
      <c r="AN366" s="26"/>
      <c r="AO366" s="26" t="n">
        <v>2</v>
      </c>
      <c r="AP366" s="26" t="n">
        <v>3</v>
      </c>
      <c r="AQ366" s="26" t="n">
        <v>1</v>
      </c>
      <c r="AR366" s="26" t="n">
        <v>2</v>
      </c>
      <c r="AS366" s="26" t="n">
        <v>1</v>
      </c>
      <c r="AT366" s="26" t="n">
        <v>1</v>
      </c>
      <c r="AU366" s="26" t="n">
        <v>1</v>
      </c>
      <c r="AV366" s="26" t="n">
        <f aca="false">SUM(AL366:AU366)</f>
        <v>12</v>
      </c>
      <c r="AW366" s="32" t="n">
        <f aca="false">IFERROR(AV366/R366*1000000,"")</f>
        <v>5920.07893438579</v>
      </c>
      <c r="AX366" s="33" t="n">
        <f aca="false">IFERROR((R366-AV366)/R366,"")</f>
        <v>0.994079921065614</v>
      </c>
      <c r="AY366" s="34" t="n">
        <f aca="false">IFERROR(AH366*AJ366*AX366,"")</f>
        <v>0.67687338501292</v>
      </c>
      <c r="AZ366" s="35" t="s">
        <v>78</v>
      </c>
    </row>
    <row r="367" customFormat="false" ht="12.75" hidden="false" customHeight="true" outlineLevel="0" collapsed="false">
      <c r="A367" s="24" t="n">
        <v>363</v>
      </c>
      <c r="B367" s="25" t="n">
        <v>46143</v>
      </c>
      <c r="C367" s="25" t="n">
        <v>12</v>
      </c>
      <c r="D367" s="26" t="s">
        <v>87</v>
      </c>
      <c r="E367" s="26" t="s">
        <v>88</v>
      </c>
      <c r="F367" s="26" t="s">
        <v>73</v>
      </c>
      <c r="G367" s="26" t="s">
        <v>10</v>
      </c>
      <c r="H367" s="27" t="n">
        <v>0.354166666666667</v>
      </c>
      <c r="I367" s="27" t="n">
        <v>0.854166666666667</v>
      </c>
      <c r="J367" s="26" t="n">
        <f aca="false">IFERROR((I367-H367)*24*60,"")</f>
        <v>720</v>
      </c>
      <c r="K367" s="26" t="s">
        <v>105</v>
      </c>
      <c r="L367" s="26" t="s">
        <v>106</v>
      </c>
      <c r="M367" s="26" t="s">
        <v>91</v>
      </c>
      <c r="N367" s="26" t="s">
        <v>92</v>
      </c>
      <c r="O367" s="26" t="n">
        <v>1</v>
      </c>
      <c r="P367" s="26" t="n">
        <v>38</v>
      </c>
      <c r="Q367" s="26" t="n">
        <f aca="false">IFERROR(3600/(P367/O367),"")</f>
        <v>94.7368421052632</v>
      </c>
      <c r="R367" s="26" t="n">
        <v>942</v>
      </c>
      <c r="S367" s="26" t="n">
        <v>74</v>
      </c>
      <c r="T367" s="26" t="n">
        <f aca="false">IFERROR(J367-S367,"")</f>
        <v>646</v>
      </c>
      <c r="U367" s="26"/>
      <c r="V367" s="26"/>
      <c r="W367" s="26"/>
      <c r="X367" s="26"/>
      <c r="Y367" s="26"/>
      <c r="Z367" s="26"/>
      <c r="AA367" s="26" t="n">
        <v>10</v>
      </c>
      <c r="AB367" s="26"/>
      <c r="AC367" s="26" t="n">
        <v>4</v>
      </c>
      <c r="AD367" s="26"/>
      <c r="AE367" s="26" t="n">
        <v>12</v>
      </c>
      <c r="AF367" s="26" t="n">
        <f aca="false">SUM(U367:AE367)</f>
        <v>26</v>
      </c>
      <c r="AG367" s="26" t="n">
        <f aca="false">T367-AF367</f>
        <v>620</v>
      </c>
      <c r="AH367" s="28" t="n">
        <f aca="false">IFERROR(AG367/T367,"")</f>
        <v>0.959752321981424</v>
      </c>
      <c r="AI367" s="29" t="n">
        <f aca="false">IFERROR(R367/AG367*60,"")</f>
        <v>91.1612903225806</v>
      </c>
      <c r="AJ367" s="30" t="n">
        <f aca="false">IFERROR(AI367/Q367,"")</f>
        <v>0.962258064516129</v>
      </c>
      <c r="AK367" s="31" t="n">
        <f aca="false">IFERROR(R367/(T367/60*Q367),"")</f>
        <v>0.923529411764706</v>
      </c>
      <c r="AL367" s="26" t="n">
        <v>2</v>
      </c>
      <c r="AM367" s="26" t="n">
        <v>1</v>
      </c>
      <c r="AN367" s="26" t="n">
        <v>3</v>
      </c>
      <c r="AO367" s="26" t="n">
        <v>3</v>
      </c>
      <c r="AP367" s="26"/>
      <c r="AQ367" s="26"/>
      <c r="AR367" s="26"/>
      <c r="AS367" s="26"/>
      <c r="AT367" s="26" t="n">
        <v>4</v>
      </c>
      <c r="AU367" s="26" t="n">
        <v>1</v>
      </c>
      <c r="AV367" s="26" t="n">
        <f aca="false">SUM(AL367:AU367)</f>
        <v>14</v>
      </c>
      <c r="AW367" s="32" t="n">
        <f aca="false">IFERROR(AV367/R367*1000000,"")</f>
        <v>14861.9957537155</v>
      </c>
      <c r="AX367" s="33" t="n">
        <f aca="false">IFERROR((R367-AV367)/R367,"")</f>
        <v>0.985138004246285</v>
      </c>
      <c r="AY367" s="34" t="n">
        <f aca="false">IFERROR(AH367*AJ367*AX367,"")</f>
        <v>0.909803921568627</v>
      </c>
      <c r="AZ367" s="35" t="s">
        <v>78</v>
      </c>
    </row>
    <row r="368" customFormat="false" ht="12.75" hidden="false" customHeight="true" outlineLevel="0" collapsed="false">
      <c r="A368" s="24" t="n">
        <v>364</v>
      </c>
      <c r="B368" s="25" t="n">
        <v>46144</v>
      </c>
      <c r="C368" s="25" t="n">
        <v>12</v>
      </c>
      <c r="D368" s="26" t="s">
        <v>71</v>
      </c>
      <c r="E368" s="26" t="s">
        <v>94</v>
      </c>
      <c r="F368" s="26" t="s">
        <v>81</v>
      </c>
      <c r="G368" s="26" t="s">
        <v>11</v>
      </c>
      <c r="H368" s="27" t="n">
        <v>0.354166666666667</v>
      </c>
      <c r="I368" s="27" t="n">
        <v>0.854166666666667</v>
      </c>
      <c r="J368" s="26" t="n">
        <f aca="false">IFERROR((I368-H368)*24*60,"")</f>
        <v>720</v>
      </c>
      <c r="K368" s="26" t="s">
        <v>105</v>
      </c>
      <c r="L368" s="26" t="s">
        <v>107</v>
      </c>
      <c r="M368" s="26" t="s">
        <v>95</v>
      </c>
      <c r="N368" s="26" t="s">
        <v>96</v>
      </c>
      <c r="O368" s="26" t="n">
        <v>4</v>
      </c>
      <c r="P368" s="26" t="n">
        <v>59</v>
      </c>
      <c r="Q368" s="26" t="n">
        <f aca="false">IFERROR(3600/(P368/O368),"")</f>
        <v>244.06779661017</v>
      </c>
      <c r="R368" s="26" t="n">
        <v>1963</v>
      </c>
      <c r="S368" s="26" t="n">
        <v>46</v>
      </c>
      <c r="T368" s="26" t="n">
        <f aca="false">IFERROR(J368-S368,"")</f>
        <v>674</v>
      </c>
      <c r="U368" s="26"/>
      <c r="V368" s="26"/>
      <c r="W368" s="26"/>
      <c r="X368" s="26"/>
      <c r="Y368" s="26"/>
      <c r="Z368" s="26"/>
      <c r="AA368" s="26" t="n">
        <v>4</v>
      </c>
      <c r="AB368" s="26"/>
      <c r="AC368" s="26"/>
      <c r="AD368" s="26"/>
      <c r="AE368" s="26"/>
      <c r="AF368" s="26" t="n">
        <f aca="false">SUM(U368:AE368)</f>
        <v>4</v>
      </c>
      <c r="AG368" s="26" t="n">
        <f aca="false">T368-AF368</f>
        <v>670</v>
      </c>
      <c r="AH368" s="28" t="n">
        <f aca="false">IFERROR(AG368/T368,"")</f>
        <v>0.99406528189911</v>
      </c>
      <c r="AI368" s="29" t="n">
        <f aca="false">IFERROR(R368/AG368*60,"")</f>
        <v>175.791044776119</v>
      </c>
      <c r="AJ368" s="30" t="n">
        <f aca="false">IFERROR(AI368/Q368,"")</f>
        <v>0.720254975124378</v>
      </c>
      <c r="AK368" s="31" t="n">
        <f aca="false">IFERROR(R368/(T368/60*Q368),"")</f>
        <v>0.715980464886251</v>
      </c>
      <c r="AL368" s="26" t="n">
        <v>6</v>
      </c>
      <c r="AM368" s="26" t="n">
        <v>4</v>
      </c>
      <c r="AN368" s="26" t="n">
        <v>4</v>
      </c>
      <c r="AO368" s="26" t="n">
        <v>2</v>
      </c>
      <c r="AP368" s="26" t="n">
        <v>1</v>
      </c>
      <c r="AQ368" s="26" t="n">
        <v>3</v>
      </c>
      <c r="AR368" s="26" t="n">
        <v>1</v>
      </c>
      <c r="AS368" s="26" t="n">
        <v>2</v>
      </c>
      <c r="AT368" s="26" t="n">
        <v>2</v>
      </c>
      <c r="AU368" s="26" t="n">
        <v>1</v>
      </c>
      <c r="AV368" s="26" t="n">
        <f aca="false">SUM(AL368:AU368)</f>
        <v>26</v>
      </c>
      <c r="AW368" s="32" t="n">
        <f aca="false">IFERROR(AV368/R368*1000000,"")</f>
        <v>13245.0331125828</v>
      </c>
      <c r="AX368" s="33" t="n">
        <f aca="false">IFERROR((R368-AV368)/R368,"")</f>
        <v>0.986754966887417</v>
      </c>
      <c r="AY368" s="34" t="n">
        <f aca="false">IFERROR(AH368*AJ368*AX368,"")</f>
        <v>0.70649727992087</v>
      </c>
      <c r="AZ368" s="35" t="s">
        <v>86</v>
      </c>
    </row>
    <row r="369" customFormat="false" ht="12.75" hidden="false" customHeight="true" outlineLevel="0" collapsed="false">
      <c r="A369" s="24" t="n">
        <v>365</v>
      </c>
      <c r="B369" s="25" t="n">
        <v>46144</v>
      </c>
      <c r="C369" s="25" t="n">
        <v>12</v>
      </c>
      <c r="D369" s="26" t="s">
        <v>79</v>
      </c>
      <c r="E369" s="26" t="s">
        <v>97</v>
      </c>
      <c r="F369" s="26" t="s">
        <v>73</v>
      </c>
      <c r="G369" s="26" t="s">
        <v>12</v>
      </c>
      <c r="H369" s="27" t="n">
        <v>0.354166666666667</v>
      </c>
      <c r="I369" s="27" t="n">
        <v>0.854166666666667</v>
      </c>
      <c r="J369" s="26" t="n">
        <f aca="false">IFERROR((I369-H369)*24*60,"")</f>
        <v>720</v>
      </c>
      <c r="K369" s="26" t="s">
        <v>89</v>
      </c>
      <c r="L369" s="26" t="s">
        <v>75</v>
      </c>
      <c r="M369" s="26" t="s">
        <v>99</v>
      </c>
      <c r="N369" s="26" t="s">
        <v>100</v>
      </c>
      <c r="O369" s="26" t="n">
        <v>8</v>
      </c>
      <c r="P369" s="26" t="n">
        <v>74</v>
      </c>
      <c r="Q369" s="26" t="n">
        <f aca="false">IFERROR(3600/(P369/O369),"")</f>
        <v>389.189189189189</v>
      </c>
      <c r="R369" s="26" t="n">
        <v>4200</v>
      </c>
      <c r="S369" s="26" t="n">
        <v>60</v>
      </c>
      <c r="T369" s="26" t="n">
        <f aca="false">IFERROR(J369-S369,"")</f>
        <v>660</v>
      </c>
      <c r="U369" s="26" t="n">
        <v>15</v>
      </c>
      <c r="V369" s="26"/>
      <c r="W369" s="26" t="n">
        <v>7</v>
      </c>
      <c r="X369" s="26"/>
      <c r="Y369" s="26"/>
      <c r="Z369" s="26"/>
      <c r="AA369" s="26"/>
      <c r="AB369" s="26"/>
      <c r="AC369" s="26"/>
      <c r="AD369" s="26"/>
      <c r="AE369" s="26"/>
      <c r="AF369" s="26" t="n">
        <f aca="false">SUM(U369:AE369)</f>
        <v>22</v>
      </c>
      <c r="AG369" s="26" t="n">
        <f aca="false">T369-AF369</f>
        <v>638</v>
      </c>
      <c r="AH369" s="28" t="n">
        <f aca="false">IFERROR(AG369/T369,"")</f>
        <v>0.966666666666667</v>
      </c>
      <c r="AI369" s="29" t="n">
        <f aca="false">IFERROR(R369/AG369*60,"")</f>
        <v>394.984326018809</v>
      </c>
      <c r="AJ369" s="30" t="n">
        <f aca="false">IFERROR(AI369/Q369,"")</f>
        <v>1.01489028213166</v>
      </c>
      <c r="AK369" s="31" t="n">
        <f aca="false">IFERROR(R369/(T369/60*Q369),"")</f>
        <v>0.981060606060606</v>
      </c>
      <c r="AL369" s="26" t="n">
        <v>14</v>
      </c>
      <c r="AM369" s="26" t="n">
        <v>8</v>
      </c>
      <c r="AN369" s="26" t="n">
        <v>10</v>
      </c>
      <c r="AO369" s="26" t="n">
        <v>5</v>
      </c>
      <c r="AP369" s="26" t="n">
        <v>13</v>
      </c>
      <c r="AQ369" s="26" t="n">
        <v>9</v>
      </c>
      <c r="AR369" s="26" t="n">
        <v>11</v>
      </c>
      <c r="AS369" s="26" t="n">
        <v>7</v>
      </c>
      <c r="AT369" s="26" t="n">
        <v>16</v>
      </c>
      <c r="AU369" s="26" t="n">
        <v>10</v>
      </c>
      <c r="AV369" s="26" t="n">
        <f aca="false">SUM(AL369:AU369)</f>
        <v>103</v>
      </c>
      <c r="AW369" s="32" t="n">
        <f aca="false">IFERROR(AV369/R369*1000000,"")</f>
        <v>24523.8095238095</v>
      </c>
      <c r="AX369" s="33" t="n">
        <f aca="false">IFERROR((R369-AV369)/R369,"")</f>
        <v>0.975476190476191</v>
      </c>
      <c r="AY369" s="34" t="n">
        <f aca="false">IFERROR(AH369*AJ369*AX369,"")</f>
        <v>0.957001262626263</v>
      </c>
      <c r="AZ369" s="35" t="s">
        <v>86</v>
      </c>
    </row>
    <row r="370" customFormat="false" ht="12.75" hidden="false" customHeight="true" outlineLevel="0" collapsed="false">
      <c r="A370" s="24" t="n">
        <v>366</v>
      </c>
      <c r="B370" s="25" t="n">
        <v>46144</v>
      </c>
      <c r="C370" s="25" t="n">
        <v>12</v>
      </c>
      <c r="D370" s="26" t="s">
        <v>87</v>
      </c>
      <c r="E370" s="26" t="s">
        <v>101</v>
      </c>
      <c r="F370" s="26" t="s">
        <v>81</v>
      </c>
      <c r="G370" s="26" t="s">
        <v>13</v>
      </c>
      <c r="H370" s="27" t="n">
        <v>0.354166666666667</v>
      </c>
      <c r="I370" s="27" t="n">
        <v>0.854166666666667</v>
      </c>
      <c r="J370" s="26" t="n">
        <f aca="false">IFERROR((I370-H370)*24*60,"")</f>
        <v>720</v>
      </c>
      <c r="K370" s="26" t="s">
        <v>74</v>
      </c>
      <c r="L370" s="26" t="s">
        <v>98</v>
      </c>
      <c r="M370" s="26" t="s">
        <v>103</v>
      </c>
      <c r="N370" s="26" t="s">
        <v>104</v>
      </c>
      <c r="O370" s="26" t="n">
        <v>1</v>
      </c>
      <c r="P370" s="26" t="n">
        <v>49</v>
      </c>
      <c r="Q370" s="26" t="n">
        <f aca="false">IFERROR(3600/(P370/O370),"")</f>
        <v>73.4693877551021</v>
      </c>
      <c r="R370" s="26" t="n">
        <v>625</v>
      </c>
      <c r="S370" s="26" t="n">
        <v>54</v>
      </c>
      <c r="T370" s="26" t="n">
        <f aca="false">IFERROR(J370-S370,"")</f>
        <v>666</v>
      </c>
      <c r="U370" s="26"/>
      <c r="V370" s="26" t="n">
        <v>13</v>
      </c>
      <c r="W370" s="26"/>
      <c r="X370" s="26"/>
      <c r="Y370" s="26"/>
      <c r="Z370" s="26"/>
      <c r="AA370" s="26"/>
      <c r="AB370" s="26"/>
      <c r="AC370" s="26"/>
      <c r="AD370" s="26"/>
      <c r="AE370" s="26"/>
      <c r="AF370" s="26" t="n">
        <f aca="false">SUM(U370:AE370)</f>
        <v>13</v>
      </c>
      <c r="AG370" s="26" t="n">
        <f aca="false">T370-AF370</f>
        <v>653</v>
      </c>
      <c r="AH370" s="28" t="n">
        <f aca="false">IFERROR(AG370/T370,"")</f>
        <v>0.980480480480481</v>
      </c>
      <c r="AI370" s="29" t="n">
        <f aca="false">IFERROR(R370/AG370*60,"")</f>
        <v>57.427258805513</v>
      </c>
      <c r="AJ370" s="30" t="n">
        <f aca="false">IFERROR(AI370/Q370,"")</f>
        <v>0.781648800408372</v>
      </c>
      <c r="AK370" s="31" t="n">
        <f aca="false">IFERROR(R370/(T370/60*Q370),"")</f>
        <v>0.766391391391391</v>
      </c>
      <c r="AL370" s="26"/>
      <c r="AM370" s="26"/>
      <c r="AN370" s="26"/>
      <c r="AO370" s="26"/>
      <c r="AP370" s="26" t="n">
        <v>1</v>
      </c>
      <c r="AQ370" s="26"/>
      <c r="AR370" s="26" t="n">
        <v>1</v>
      </c>
      <c r="AS370" s="26"/>
      <c r="AT370" s="26"/>
      <c r="AU370" s="26" t="n">
        <v>1</v>
      </c>
      <c r="AV370" s="26" t="n">
        <f aca="false">SUM(AL370:AU370)</f>
        <v>3</v>
      </c>
      <c r="AW370" s="32" t="n">
        <f aca="false">IFERROR(AV370/R370*1000000,"")</f>
        <v>4800</v>
      </c>
      <c r="AX370" s="33" t="n">
        <f aca="false">IFERROR((R370-AV370)/R370,"")</f>
        <v>0.9952</v>
      </c>
      <c r="AY370" s="34" t="n">
        <f aca="false">IFERROR(AH370*AJ370*AX370,"")</f>
        <v>0.762712712712713</v>
      </c>
      <c r="AZ370" s="35"/>
    </row>
    <row r="371" customFormat="false" ht="12.75" hidden="false" customHeight="true" outlineLevel="0" collapsed="false">
      <c r="A371" s="24" t="n">
        <v>367</v>
      </c>
      <c r="B371" s="25" t="n">
        <v>46145</v>
      </c>
      <c r="C371" s="25" t="n">
        <v>12</v>
      </c>
      <c r="D371" s="26" t="s">
        <v>71</v>
      </c>
      <c r="E371" s="26" t="s">
        <v>72</v>
      </c>
      <c r="F371" s="26" t="s">
        <v>73</v>
      </c>
      <c r="G371" s="26" t="s">
        <v>8</v>
      </c>
      <c r="H371" s="27" t="n">
        <v>0.354166666666667</v>
      </c>
      <c r="I371" s="27" t="n">
        <v>0.854166666666667</v>
      </c>
      <c r="J371" s="26" t="n">
        <f aca="false">IFERROR((I371-H371)*24*60,"")</f>
        <v>720</v>
      </c>
      <c r="K371" s="26" t="s">
        <v>89</v>
      </c>
      <c r="L371" s="26" t="s">
        <v>98</v>
      </c>
      <c r="M371" s="26" t="s">
        <v>76</v>
      </c>
      <c r="N371" s="26" t="s">
        <v>77</v>
      </c>
      <c r="O371" s="26" t="n">
        <v>1</v>
      </c>
      <c r="P371" s="26" t="n">
        <v>39</v>
      </c>
      <c r="Q371" s="26" t="n">
        <f aca="false">IFERROR(3600/(P371/O371),"")</f>
        <v>92.3076923076923</v>
      </c>
      <c r="R371" s="26" t="n">
        <v>996</v>
      </c>
      <c r="S371" s="26" t="n">
        <v>49</v>
      </c>
      <c r="T371" s="26" t="n">
        <f aca="false">IFERROR(J371-S371,"")</f>
        <v>671</v>
      </c>
      <c r="U371" s="26"/>
      <c r="V371" s="26"/>
      <c r="W371" s="26"/>
      <c r="X371" s="26" t="n">
        <v>14</v>
      </c>
      <c r="Y371" s="26"/>
      <c r="Z371" s="26" t="n">
        <v>5</v>
      </c>
      <c r="AA371" s="26" t="n">
        <v>11</v>
      </c>
      <c r="AB371" s="26"/>
      <c r="AC371" s="26"/>
      <c r="AD371" s="26"/>
      <c r="AE371" s="26"/>
      <c r="AF371" s="26" t="n">
        <f aca="false">SUM(U371:AE371)</f>
        <v>30</v>
      </c>
      <c r="AG371" s="26" t="n">
        <f aca="false">T371-AF371</f>
        <v>641</v>
      </c>
      <c r="AH371" s="28" t="n">
        <f aca="false">IFERROR(AG371/T371,"")</f>
        <v>0.955290611028316</v>
      </c>
      <c r="AI371" s="29" t="n">
        <f aca="false">IFERROR(R371/AG371*60,"")</f>
        <v>93.2293291731669</v>
      </c>
      <c r="AJ371" s="30" t="n">
        <f aca="false">IFERROR(AI371/Q371,"")</f>
        <v>1.00998439937598</v>
      </c>
      <c r="AK371" s="31" t="n">
        <f aca="false">IFERROR(R371/(T371/60*Q371),"")</f>
        <v>0.964828614008942</v>
      </c>
      <c r="AL371" s="26" t="n">
        <v>1</v>
      </c>
      <c r="AM371" s="26" t="n">
        <v>1</v>
      </c>
      <c r="AN371" s="26"/>
      <c r="AO371" s="26"/>
      <c r="AP371" s="26" t="n">
        <v>1</v>
      </c>
      <c r="AQ371" s="26"/>
      <c r="AR371" s="26"/>
      <c r="AS371" s="26" t="n">
        <v>1</v>
      </c>
      <c r="AT371" s="26"/>
      <c r="AU371" s="26"/>
      <c r="AV371" s="26" t="n">
        <f aca="false">SUM(AL371:AU371)</f>
        <v>4</v>
      </c>
      <c r="AW371" s="32" t="n">
        <f aca="false">IFERROR(AV371/R371*1000000,"")</f>
        <v>4016.06425702811</v>
      </c>
      <c r="AX371" s="33" t="n">
        <f aca="false">IFERROR((R371-AV371)/R371,"")</f>
        <v>0.995983935742972</v>
      </c>
      <c r="AY371" s="34" t="n">
        <f aca="false">IFERROR(AH371*AJ371*AX371,"")</f>
        <v>0.960953800298062</v>
      </c>
      <c r="AZ371" s="35"/>
    </row>
    <row r="372" customFormat="false" ht="12.75" hidden="false" customHeight="true" outlineLevel="0" collapsed="false">
      <c r="A372" s="24" t="n">
        <v>368</v>
      </c>
      <c r="B372" s="25" t="n">
        <v>46145</v>
      </c>
      <c r="C372" s="25" t="n">
        <v>12</v>
      </c>
      <c r="D372" s="26" t="s">
        <v>79</v>
      </c>
      <c r="E372" s="26" t="s">
        <v>80</v>
      </c>
      <c r="F372" s="26" t="s">
        <v>81</v>
      </c>
      <c r="G372" s="26" t="s">
        <v>9</v>
      </c>
      <c r="H372" s="27" t="n">
        <v>0.354166666666667</v>
      </c>
      <c r="I372" s="27" t="n">
        <v>0.854166666666667</v>
      </c>
      <c r="J372" s="26" t="n">
        <f aca="false">IFERROR((I372-H372)*24*60,"")</f>
        <v>720</v>
      </c>
      <c r="K372" s="26" t="s">
        <v>105</v>
      </c>
      <c r="L372" s="26" t="s">
        <v>98</v>
      </c>
      <c r="M372" s="26" t="s">
        <v>84</v>
      </c>
      <c r="N372" s="26" t="s">
        <v>85</v>
      </c>
      <c r="O372" s="26" t="n">
        <v>4</v>
      </c>
      <c r="P372" s="26" t="n">
        <v>72</v>
      </c>
      <c r="Q372" s="26" t="n">
        <f aca="false">IFERROR(3600/(P372/O372),"")</f>
        <v>200</v>
      </c>
      <c r="R372" s="26" t="n">
        <v>1699</v>
      </c>
      <c r="S372" s="26" t="n">
        <v>40</v>
      </c>
      <c r="T372" s="26" t="n">
        <f aca="false">IFERROR(J372-S372,"")</f>
        <v>680</v>
      </c>
      <c r="U372" s="26"/>
      <c r="V372" s="26"/>
      <c r="W372" s="26"/>
      <c r="X372" s="26"/>
      <c r="Y372" s="26"/>
      <c r="Z372" s="26"/>
      <c r="AA372" s="26" t="n">
        <v>8</v>
      </c>
      <c r="AB372" s="26"/>
      <c r="AC372" s="26"/>
      <c r="AD372" s="26"/>
      <c r="AE372" s="26"/>
      <c r="AF372" s="26" t="n">
        <f aca="false">SUM(U372:AE372)</f>
        <v>8</v>
      </c>
      <c r="AG372" s="26" t="n">
        <f aca="false">T372-AF372</f>
        <v>672</v>
      </c>
      <c r="AH372" s="28" t="n">
        <f aca="false">IFERROR(AG372/T372,"")</f>
        <v>0.988235294117647</v>
      </c>
      <c r="AI372" s="29" t="n">
        <f aca="false">IFERROR(R372/AG372*60,"")</f>
        <v>151.696428571429</v>
      </c>
      <c r="AJ372" s="30" t="n">
        <f aca="false">IFERROR(AI372/Q372,"")</f>
        <v>0.758482142857143</v>
      </c>
      <c r="AK372" s="31" t="n">
        <f aca="false">IFERROR(R372/(T372/60*Q372),"")</f>
        <v>0.749558823529412</v>
      </c>
      <c r="AL372" s="26" t="n">
        <v>3</v>
      </c>
      <c r="AM372" s="26" t="n">
        <v>2</v>
      </c>
      <c r="AN372" s="26" t="n">
        <v>3</v>
      </c>
      <c r="AO372" s="26" t="n">
        <v>3</v>
      </c>
      <c r="AP372" s="26" t="n">
        <v>5</v>
      </c>
      <c r="AQ372" s="26" t="n">
        <v>5</v>
      </c>
      <c r="AR372" s="26" t="n">
        <v>2</v>
      </c>
      <c r="AS372" s="26" t="n">
        <v>2</v>
      </c>
      <c r="AT372" s="26" t="n">
        <v>7</v>
      </c>
      <c r="AU372" s="26" t="n">
        <v>2</v>
      </c>
      <c r="AV372" s="26" t="n">
        <f aca="false">SUM(AL372:AU372)</f>
        <v>34</v>
      </c>
      <c r="AW372" s="32" t="n">
        <f aca="false">IFERROR(AV372/R372*1000000,"")</f>
        <v>20011.7716303708</v>
      </c>
      <c r="AX372" s="33" t="n">
        <f aca="false">IFERROR((R372-AV372)/R372,"")</f>
        <v>0.979988228369629</v>
      </c>
      <c r="AY372" s="34" t="n">
        <f aca="false">IFERROR(AH372*AJ372*AX372,"")</f>
        <v>0.734558823529412</v>
      </c>
      <c r="AZ372" s="35" t="s">
        <v>78</v>
      </c>
    </row>
    <row r="373" customFormat="false" ht="12.75" hidden="false" customHeight="true" outlineLevel="0" collapsed="false">
      <c r="A373" s="24" t="n">
        <v>369</v>
      </c>
      <c r="B373" s="25" t="n">
        <v>46145</v>
      </c>
      <c r="C373" s="25" t="n">
        <v>12</v>
      </c>
      <c r="D373" s="26" t="s">
        <v>87</v>
      </c>
      <c r="E373" s="26" t="s">
        <v>88</v>
      </c>
      <c r="F373" s="26" t="s">
        <v>73</v>
      </c>
      <c r="G373" s="26" t="s">
        <v>10</v>
      </c>
      <c r="H373" s="27" t="n">
        <v>0.354166666666667</v>
      </c>
      <c r="I373" s="27" t="n">
        <v>0.854166666666667</v>
      </c>
      <c r="J373" s="26" t="n">
        <f aca="false">IFERROR((I373-H373)*24*60,"")</f>
        <v>720</v>
      </c>
      <c r="K373" s="26" t="s">
        <v>74</v>
      </c>
      <c r="L373" s="26" t="s">
        <v>75</v>
      </c>
      <c r="M373" s="26" t="s">
        <v>91</v>
      </c>
      <c r="N373" s="26" t="s">
        <v>92</v>
      </c>
      <c r="O373" s="26" t="n">
        <v>2</v>
      </c>
      <c r="P373" s="26" t="n">
        <v>37</v>
      </c>
      <c r="Q373" s="26" t="n">
        <f aca="false">IFERROR(3600/(P373/O373),"")</f>
        <v>194.594594594595</v>
      </c>
      <c r="R373" s="26" t="n">
        <v>1617</v>
      </c>
      <c r="S373" s="26" t="n">
        <v>48</v>
      </c>
      <c r="T373" s="26" t="n">
        <f aca="false">IFERROR(J373-S373,"")</f>
        <v>672</v>
      </c>
      <c r="U373" s="26"/>
      <c r="V373" s="26"/>
      <c r="W373" s="26"/>
      <c r="X373" s="26"/>
      <c r="Y373" s="26"/>
      <c r="Z373" s="26"/>
      <c r="AA373" s="26"/>
      <c r="AB373" s="26"/>
      <c r="AC373" s="26" t="n">
        <v>9</v>
      </c>
      <c r="AD373" s="26" t="n">
        <v>7</v>
      </c>
      <c r="AE373" s="26"/>
      <c r="AF373" s="26" t="n">
        <f aca="false">SUM(U373:AE373)</f>
        <v>16</v>
      </c>
      <c r="AG373" s="26" t="n">
        <f aca="false">T373-AF373</f>
        <v>656</v>
      </c>
      <c r="AH373" s="28" t="n">
        <f aca="false">IFERROR(AG373/T373,"")</f>
        <v>0.976190476190476</v>
      </c>
      <c r="AI373" s="29" t="n">
        <f aca="false">IFERROR(R373/AG373*60,"")</f>
        <v>147.896341463415</v>
      </c>
      <c r="AJ373" s="30" t="n">
        <f aca="false">IFERROR(AI373/Q373,"")</f>
        <v>0.760022865853659</v>
      </c>
      <c r="AK373" s="31" t="n">
        <f aca="false">IFERROR(R373/(T373/60*Q373),"")</f>
        <v>0.741927083333334</v>
      </c>
      <c r="AL373" s="26" t="n">
        <v>1</v>
      </c>
      <c r="AM373" s="26" t="n">
        <v>5</v>
      </c>
      <c r="AN373" s="26" t="n">
        <v>1</v>
      </c>
      <c r="AO373" s="26" t="n">
        <v>1</v>
      </c>
      <c r="AP373" s="26"/>
      <c r="AQ373" s="26"/>
      <c r="AR373" s="26" t="n">
        <v>1</v>
      </c>
      <c r="AS373" s="26" t="n">
        <v>2</v>
      </c>
      <c r="AT373" s="26" t="n">
        <v>2</v>
      </c>
      <c r="AU373" s="26" t="n">
        <v>1</v>
      </c>
      <c r="AV373" s="26" t="n">
        <f aca="false">SUM(AL373:AU373)</f>
        <v>14</v>
      </c>
      <c r="AW373" s="32" t="n">
        <f aca="false">IFERROR(AV373/R373*1000000,"")</f>
        <v>8658.00865800866</v>
      </c>
      <c r="AX373" s="33" t="n">
        <f aca="false">IFERROR((R373-AV373)/R373,"")</f>
        <v>0.991341991341991</v>
      </c>
      <c r="AY373" s="34" t="n">
        <f aca="false">IFERROR(AH373*AJ373*AX373,"")</f>
        <v>0.735503472222222</v>
      </c>
      <c r="AZ373" s="35" t="s">
        <v>78</v>
      </c>
    </row>
    <row r="374" customFormat="false" ht="12.75" hidden="false" customHeight="true" outlineLevel="0" collapsed="false">
      <c r="A374" s="24" t="n">
        <v>370</v>
      </c>
      <c r="B374" s="25" t="n">
        <v>46146</v>
      </c>
      <c r="C374" s="25" t="n">
        <v>12</v>
      </c>
      <c r="D374" s="26" t="s">
        <v>71</v>
      </c>
      <c r="E374" s="26" t="s">
        <v>94</v>
      </c>
      <c r="F374" s="26" t="s">
        <v>81</v>
      </c>
      <c r="G374" s="26" t="s">
        <v>11</v>
      </c>
      <c r="H374" s="27" t="n">
        <v>0.354166666666667</v>
      </c>
      <c r="I374" s="27" t="n">
        <v>0.854166666666667</v>
      </c>
      <c r="J374" s="26" t="n">
        <f aca="false">IFERROR((I374-H374)*24*60,"")</f>
        <v>720</v>
      </c>
      <c r="K374" s="26" t="s">
        <v>82</v>
      </c>
      <c r="L374" s="26" t="s">
        <v>108</v>
      </c>
      <c r="M374" s="26" t="s">
        <v>95</v>
      </c>
      <c r="N374" s="26" t="s">
        <v>96</v>
      </c>
      <c r="O374" s="26" t="n">
        <v>8</v>
      </c>
      <c r="P374" s="26" t="n">
        <v>37</v>
      </c>
      <c r="Q374" s="26" t="n">
        <f aca="false">IFERROR(3600/(P374/O374),"")</f>
        <v>778.378378378378</v>
      </c>
      <c r="R374" s="26" t="n">
        <v>6099</v>
      </c>
      <c r="S374" s="26" t="n">
        <v>70</v>
      </c>
      <c r="T374" s="26" t="n">
        <f aca="false">IFERROR(J374-S374,"")</f>
        <v>650</v>
      </c>
      <c r="U374" s="26" t="n">
        <v>24</v>
      </c>
      <c r="V374" s="26"/>
      <c r="W374" s="26"/>
      <c r="X374" s="26" t="n">
        <v>8</v>
      </c>
      <c r="Y374" s="26"/>
      <c r="Z374" s="26"/>
      <c r="AA374" s="26" t="n">
        <v>3</v>
      </c>
      <c r="AB374" s="26"/>
      <c r="AC374" s="26"/>
      <c r="AD374" s="26"/>
      <c r="AE374" s="26"/>
      <c r="AF374" s="26" t="n">
        <f aca="false">SUM(U374:AE374)</f>
        <v>35</v>
      </c>
      <c r="AG374" s="26" t="n">
        <f aca="false">T374-AF374</f>
        <v>615</v>
      </c>
      <c r="AH374" s="28" t="n">
        <f aca="false">IFERROR(AG374/T374,"")</f>
        <v>0.946153846153846</v>
      </c>
      <c r="AI374" s="29" t="n">
        <f aca="false">IFERROR(R374/AG374*60,"")</f>
        <v>595.024390243903</v>
      </c>
      <c r="AJ374" s="30" t="n">
        <f aca="false">IFERROR(AI374/Q374,"")</f>
        <v>0.764441056910569</v>
      </c>
      <c r="AK374" s="31" t="n">
        <f aca="false">IFERROR(R374/(T374/60*Q374),"")</f>
        <v>0.723278846153846</v>
      </c>
      <c r="AL374" s="26" t="n">
        <v>15</v>
      </c>
      <c r="AM374" s="26" t="n">
        <v>14</v>
      </c>
      <c r="AN374" s="26" t="n">
        <v>9</v>
      </c>
      <c r="AO374" s="26" t="n">
        <v>11</v>
      </c>
      <c r="AP374" s="26" t="n">
        <v>8</v>
      </c>
      <c r="AQ374" s="26" t="n">
        <v>10</v>
      </c>
      <c r="AR374" s="26" t="n">
        <v>14</v>
      </c>
      <c r="AS374" s="26" t="n">
        <v>7</v>
      </c>
      <c r="AT374" s="26" t="n">
        <v>14</v>
      </c>
      <c r="AU374" s="26" t="n">
        <v>11</v>
      </c>
      <c r="AV374" s="26" t="n">
        <f aca="false">SUM(AL374:AU374)</f>
        <v>113</v>
      </c>
      <c r="AW374" s="32" t="n">
        <f aca="false">IFERROR(AV374/R374*1000000,"")</f>
        <v>18527.6274799147</v>
      </c>
      <c r="AX374" s="33" t="n">
        <f aca="false">IFERROR((R374-AV374)/R374,"")</f>
        <v>0.981472372520085</v>
      </c>
      <c r="AY374" s="34" t="n">
        <f aca="false">IFERROR(AH374*AJ374*AX374,"")</f>
        <v>0.709878205128205</v>
      </c>
      <c r="AZ374" s="35"/>
    </row>
    <row r="375" customFormat="false" ht="12.75" hidden="false" customHeight="true" outlineLevel="0" collapsed="false">
      <c r="A375" s="24" t="n">
        <v>371</v>
      </c>
      <c r="B375" s="25" t="n">
        <v>46146</v>
      </c>
      <c r="C375" s="25" t="n">
        <v>12</v>
      </c>
      <c r="D375" s="26" t="s">
        <v>79</v>
      </c>
      <c r="E375" s="26" t="s">
        <v>97</v>
      </c>
      <c r="F375" s="26" t="s">
        <v>73</v>
      </c>
      <c r="G375" s="26" t="s">
        <v>12</v>
      </c>
      <c r="H375" s="27" t="n">
        <v>0.354166666666667</v>
      </c>
      <c r="I375" s="27" t="n">
        <v>0.854166666666667</v>
      </c>
      <c r="J375" s="26" t="n">
        <f aca="false">IFERROR((I375-H375)*24*60,"")</f>
        <v>720</v>
      </c>
      <c r="K375" s="26" t="s">
        <v>82</v>
      </c>
      <c r="L375" s="26" t="s">
        <v>106</v>
      </c>
      <c r="M375" s="26" t="s">
        <v>99</v>
      </c>
      <c r="N375" s="26" t="s">
        <v>100</v>
      </c>
      <c r="O375" s="26" t="n">
        <v>1</v>
      </c>
      <c r="P375" s="26" t="n">
        <v>48</v>
      </c>
      <c r="Q375" s="26" t="n">
        <f aca="false">IFERROR(3600/(P375/O375),"")</f>
        <v>75</v>
      </c>
      <c r="R375" s="26" t="n">
        <v>607</v>
      </c>
      <c r="S375" s="26" t="n">
        <v>68</v>
      </c>
      <c r="T375" s="26" t="n">
        <f aca="false">IFERROR(J375-S375,"")</f>
        <v>652</v>
      </c>
      <c r="U375" s="26"/>
      <c r="V375" s="26"/>
      <c r="W375" s="26"/>
      <c r="X375" s="26" t="n">
        <v>8</v>
      </c>
      <c r="Y375" s="26"/>
      <c r="Z375" s="26" t="n">
        <v>4</v>
      </c>
      <c r="AA375" s="26"/>
      <c r="AB375" s="26"/>
      <c r="AC375" s="26"/>
      <c r="AD375" s="26"/>
      <c r="AE375" s="26"/>
      <c r="AF375" s="26" t="n">
        <f aca="false">SUM(U375:AE375)</f>
        <v>12</v>
      </c>
      <c r="AG375" s="26" t="n">
        <f aca="false">T375-AF375</f>
        <v>640</v>
      </c>
      <c r="AH375" s="28" t="n">
        <f aca="false">IFERROR(AG375/T375,"")</f>
        <v>0.98159509202454</v>
      </c>
      <c r="AI375" s="29" t="n">
        <f aca="false">IFERROR(R375/AG375*60,"")</f>
        <v>56.90625</v>
      </c>
      <c r="AJ375" s="30" t="n">
        <f aca="false">IFERROR(AI375/Q375,"")</f>
        <v>0.75875</v>
      </c>
      <c r="AK375" s="31" t="n">
        <f aca="false">IFERROR(R375/(T375/60*Q375),"")</f>
        <v>0.74478527607362</v>
      </c>
      <c r="AL375" s="26"/>
      <c r="AM375" s="26"/>
      <c r="AN375" s="26" t="n">
        <v>1</v>
      </c>
      <c r="AO375" s="26" t="n">
        <v>1</v>
      </c>
      <c r="AP375" s="26"/>
      <c r="AQ375" s="26"/>
      <c r="AR375" s="26"/>
      <c r="AS375" s="26"/>
      <c r="AT375" s="26"/>
      <c r="AU375" s="26"/>
      <c r="AV375" s="26" t="n">
        <f aca="false">SUM(AL375:AU375)</f>
        <v>2</v>
      </c>
      <c r="AW375" s="32" t="n">
        <f aca="false">IFERROR(AV375/R375*1000000,"")</f>
        <v>3294.89291598023</v>
      </c>
      <c r="AX375" s="33" t="n">
        <f aca="false">IFERROR((R375-AV375)/R375,"")</f>
        <v>0.99670510708402</v>
      </c>
      <c r="AY375" s="34" t="n">
        <f aca="false">IFERROR(AH375*AJ375*AX375,"")</f>
        <v>0.742331288343558</v>
      </c>
      <c r="AZ375" s="35" t="s">
        <v>93</v>
      </c>
    </row>
    <row r="376" customFormat="false" ht="12.75" hidden="false" customHeight="true" outlineLevel="0" collapsed="false">
      <c r="A376" s="24" t="n">
        <v>372</v>
      </c>
      <c r="B376" s="25" t="n">
        <v>46146</v>
      </c>
      <c r="C376" s="25" t="n">
        <v>12</v>
      </c>
      <c r="D376" s="26" t="s">
        <v>87</v>
      </c>
      <c r="E376" s="26" t="s">
        <v>101</v>
      </c>
      <c r="F376" s="26" t="s">
        <v>81</v>
      </c>
      <c r="G376" s="26" t="s">
        <v>13</v>
      </c>
      <c r="H376" s="27" t="n">
        <v>0.354166666666667</v>
      </c>
      <c r="I376" s="27" t="n">
        <v>0.854166666666667</v>
      </c>
      <c r="J376" s="26" t="n">
        <f aca="false">IFERROR((I376-H376)*24*60,"")</f>
        <v>720</v>
      </c>
      <c r="K376" s="26" t="s">
        <v>89</v>
      </c>
      <c r="L376" s="26" t="s">
        <v>90</v>
      </c>
      <c r="M376" s="26" t="s">
        <v>103</v>
      </c>
      <c r="N376" s="26" t="s">
        <v>104</v>
      </c>
      <c r="O376" s="26" t="n">
        <v>2</v>
      </c>
      <c r="P376" s="26" t="n">
        <v>51</v>
      </c>
      <c r="Q376" s="26" t="n">
        <f aca="false">IFERROR(3600/(P376/O376),"")</f>
        <v>141.176470588235</v>
      </c>
      <c r="R376" s="26" t="n">
        <v>1330</v>
      </c>
      <c r="S376" s="26" t="n">
        <v>33</v>
      </c>
      <c r="T376" s="26" t="n">
        <f aca="false">IFERROR(J376-S376,"")</f>
        <v>687</v>
      </c>
      <c r="U376" s="26"/>
      <c r="V376" s="26"/>
      <c r="W376" s="26"/>
      <c r="X376" s="26"/>
      <c r="Y376" s="26"/>
      <c r="Z376" s="26"/>
      <c r="AA376" s="26"/>
      <c r="AB376" s="26" t="n">
        <v>23</v>
      </c>
      <c r="AC376" s="26" t="n">
        <v>16</v>
      </c>
      <c r="AD376" s="26"/>
      <c r="AE376" s="26"/>
      <c r="AF376" s="26" t="n">
        <f aca="false">SUM(U376:AE376)</f>
        <v>39</v>
      </c>
      <c r="AG376" s="26" t="n">
        <f aca="false">T376-AF376</f>
        <v>648</v>
      </c>
      <c r="AH376" s="28" t="n">
        <f aca="false">IFERROR(AG376/T376,"")</f>
        <v>0.943231441048035</v>
      </c>
      <c r="AI376" s="29" t="n">
        <f aca="false">IFERROR(R376/AG376*60,"")</f>
        <v>123.148148148148</v>
      </c>
      <c r="AJ376" s="30" t="n">
        <f aca="false">IFERROR(AI376/Q376,"")</f>
        <v>0.872299382716049</v>
      </c>
      <c r="AK376" s="31" t="n">
        <f aca="false">IFERROR(R376/(T376/60*Q376),"")</f>
        <v>0.822780203784571</v>
      </c>
      <c r="AL376" s="26" t="n">
        <v>2</v>
      </c>
      <c r="AM376" s="26" t="n">
        <v>1</v>
      </c>
      <c r="AN376" s="26" t="n">
        <v>2</v>
      </c>
      <c r="AO376" s="26" t="n">
        <v>4</v>
      </c>
      <c r="AP376" s="26" t="n">
        <v>4</v>
      </c>
      <c r="AQ376" s="26" t="n">
        <v>1</v>
      </c>
      <c r="AR376" s="26"/>
      <c r="AS376" s="26" t="n">
        <v>2</v>
      </c>
      <c r="AT376" s="26" t="n">
        <v>5</v>
      </c>
      <c r="AU376" s="26" t="n">
        <v>1</v>
      </c>
      <c r="AV376" s="26" t="n">
        <f aca="false">SUM(AL376:AU376)</f>
        <v>22</v>
      </c>
      <c r="AW376" s="32" t="n">
        <f aca="false">IFERROR(AV376/R376*1000000,"")</f>
        <v>16541.3533834586</v>
      </c>
      <c r="AX376" s="33" t="n">
        <f aca="false">IFERROR((R376-AV376)/R376,"")</f>
        <v>0.983458646616541</v>
      </c>
      <c r="AY376" s="34" t="n">
        <f aca="false">IFERROR(AH376*AJ376*AX376,"")</f>
        <v>0.809170305676856</v>
      </c>
      <c r="AZ376" s="35" t="s">
        <v>86</v>
      </c>
    </row>
    <row r="377" customFormat="false" ht="12.75" hidden="false" customHeight="true" outlineLevel="0" collapsed="false">
      <c r="A377" s="24" t="n">
        <v>373</v>
      </c>
      <c r="B377" s="25" t="n">
        <v>46147</v>
      </c>
      <c r="C377" s="25" t="n">
        <v>12</v>
      </c>
      <c r="D377" s="26" t="s">
        <v>71</v>
      </c>
      <c r="E377" s="26" t="s">
        <v>72</v>
      </c>
      <c r="F377" s="26" t="s">
        <v>73</v>
      </c>
      <c r="G377" s="26" t="s">
        <v>8</v>
      </c>
      <c r="H377" s="27" t="n">
        <v>0.354166666666667</v>
      </c>
      <c r="I377" s="27" t="n">
        <v>0.854166666666667</v>
      </c>
      <c r="J377" s="26" t="n">
        <f aca="false">IFERROR((I377-H377)*24*60,"")</f>
        <v>720</v>
      </c>
      <c r="K377" s="26" t="s">
        <v>74</v>
      </c>
      <c r="L377" s="26" t="s">
        <v>108</v>
      </c>
      <c r="M377" s="26" t="s">
        <v>76</v>
      </c>
      <c r="N377" s="26" t="s">
        <v>77</v>
      </c>
      <c r="O377" s="26" t="n">
        <v>1</v>
      </c>
      <c r="P377" s="26" t="n">
        <v>27</v>
      </c>
      <c r="Q377" s="26" t="n">
        <f aca="false">IFERROR(3600/(P377/O377),"")</f>
        <v>133.333333333333</v>
      </c>
      <c r="R377" s="26" t="n">
        <v>1036</v>
      </c>
      <c r="S377" s="26" t="n">
        <v>44</v>
      </c>
      <c r="T377" s="26" t="n">
        <f aca="false">IFERROR(J377-S377,"")</f>
        <v>676</v>
      </c>
      <c r="U377" s="26" t="n">
        <v>17</v>
      </c>
      <c r="V377" s="26"/>
      <c r="W377" s="26"/>
      <c r="X377" s="26"/>
      <c r="Y377" s="26"/>
      <c r="Z377" s="26"/>
      <c r="AA377" s="26"/>
      <c r="AB377" s="26"/>
      <c r="AC377" s="26" t="n">
        <v>4</v>
      </c>
      <c r="AD377" s="26"/>
      <c r="AE377" s="26"/>
      <c r="AF377" s="26" t="n">
        <f aca="false">SUM(U377:AE377)</f>
        <v>21</v>
      </c>
      <c r="AG377" s="26" t="n">
        <f aca="false">T377-AF377</f>
        <v>655</v>
      </c>
      <c r="AH377" s="28" t="n">
        <f aca="false">IFERROR(AG377/T377,"")</f>
        <v>0.968934911242604</v>
      </c>
      <c r="AI377" s="29" t="n">
        <f aca="false">IFERROR(R377/AG377*60,"")</f>
        <v>94.9007633587786</v>
      </c>
      <c r="AJ377" s="30" t="n">
        <f aca="false">IFERROR(AI377/Q377,"")</f>
        <v>0.71175572519084</v>
      </c>
      <c r="AK377" s="31" t="n">
        <f aca="false">IFERROR(R377/(T377/60*Q377),"")</f>
        <v>0.689644970414201</v>
      </c>
      <c r="AL377" s="26" t="n">
        <v>1</v>
      </c>
      <c r="AM377" s="26" t="n">
        <v>1</v>
      </c>
      <c r="AN377" s="26" t="n">
        <v>1</v>
      </c>
      <c r="AO377" s="26"/>
      <c r="AP377" s="26" t="n">
        <v>3</v>
      </c>
      <c r="AQ377" s="26"/>
      <c r="AR377" s="26"/>
      <c r="AS377" s="26" t="n">
        <v>1</v>
      </c>
      <c r="AT377" s="26"/>
      <c r="AU377" s="26" t="n">
        <v>3</v>
      </c>
      <c r="AV377" s="26" t="n">
        <f aca="false">SUM(AL377:AU377)</f>
        <v>10</v>
      </c>
      <c r="AW377" s="32" t="n">
        <f aca="false">IFERROR(AV377/R377*1000000,"")</f>
        <v>9652.50965250965</v>
      </c>
      <c r="AX377" s="33" t="n">
        <f aca="false">IFERROR((R377-AV377)/R377,"")</f>
        <v>0.99034749034749</v>
      </c>
      <c r="AY377" s="34" t="n">
        <f aca="false">IFERROR(AH377*AJ377*AX377,"")</f>
        <v>0.682988165680473</v>
      </c>
      <c r="AZ377" s="35"/>
    </row>
    <row r="378" customFormat="false" ht="12.75" hidden="false" customHeight="true" outlineLevel="0" collapsed="false">
      <c r="A378" s="24" t="n">
        <v>374</v>
      </c>
      <c r="B378" s="25" t="n">
        <v>46147</v>
      </c>
      <c r="C378" s="25" t="n">
        <v>12</v>
      </c>
      <c r="D378" s="26" t="s">
        <v>79</v>
      </c>
      <c r="E378" s="26" t="s">
        <v>80</v>
      </c>
      <c r="F378" s="26" t="s">
        <v>81</v>
      </c>
      <c r="G378" s="26" t="s">
        <v>9</v>
      </c>
      <c r="H378" s="27" t="n">
        <v>0.354166666666667</v>
      </c>
      <c r="I378" s="27" t="n">
        <v>0.854166666666667</v>
      </c>
      <c r="J378" s="26" t="n">
        <f aca="false">IFERROR((I378-H378)*24*60,"")</f>
        <v>720</v>
      </c>
      <c r="K378" s="26" t="s">
        <v>74</v>
      </c>
      <c r="L378" s="26" t="s">
        <v>106</v>
      </c>
      <c r="M378" s="26" t="s">
        <v>84</v>
      </c>
      <c r="N378" s="26" t="s">
        <v>85</v>
      </c>
      <c r="O378" s="26" t="n">
        <v>4</v>
      </c>
      <c r="P378" s="26" t="n">
        <v>59</v>
      </c>
      <c r="Q378" s="26" t="n">
        <f aca="false">IFERROR(3600/(P378/O378),"")</f>
        <v>244.06779661017</v>
      </c>
      <c r="R378" s="26" t="n">
        <v>2247</v>
      </c>
      <c r="S378" s="26" t="n">
        <v>69</v>
      </c>
      <c r="T378" s="26" t="n">
        <f aca="false">IFERROR(J378-S378,"")</f>
        <v>651</v>
      </c>
      <c r="U378" s="26"/>
      <c r="V378" s="26" t="n">
        <v>19</v>
      </c>
      <c r="W378" s="26"/>
      <c r="X378" s="26"/>
      <c r="Y378" s="26"/>
      <c r="Z378" s="26"/>
      <c r="AA378" s="26"/>
      <c r="AB378" s="26" t="n">
        <v>13</v>
      </c>
      <c r="AC378" s="26"/>
      <c r="AD378" s="26"/>
      <c r="AE378" s="26" t="n">
        <v>26</v>
      </c>
      <c r="AF378" s="26" t="n">
        <f aca="false">SUM(U378:AE378)</f>
        <v>58</v>
      </c>
      <c r="AG378" s="26" t="n">
        <f aca="false">T378-AF378</f>
        <v>593</v>
      </c>
      <c r="AH378" s="28" t="n">
        <f aca="false">IFERROR(AG378/T378,"")</f>
        <v>0.910906298003072</v>
      </c>
      <c r="AI378" s="29" t="n">
        <f aca="false">IFERROR(R378/AG378*60,"")</f>
        <v>227.352445193929</v>
      </c>
      <c r="AJ378" s="30" t="n">
        <f aca="false">IFERROR(AI378/Q378,"")</f>
        <v>0.931513490725126</v>
      </c>
      <c r="AK378" s="31" t="n">
        <f aca="false">IFERROR(R378/(T378/60*Q378),"")</f>
        <v>0.848521505376344</v>
      </c>
      <c r="AL378" s="26" t="n">
        <v>4</v>
      </c>
      <c r="AM378" s="26" t="n">
        <v>3</v>
      </c>
      <c r="AN378" s="26" t="n">
        <v>7</v>
      </c>
      <c r="AO378" s="26" t="n">
        <v>6</v>
      </c>
      <c r="AP378" s="26" t="n">
        <v>5</v>
      </c>
      <c r="AQ378" s="26" t="n">
        <v>2</v>
      </c>
      <c r="AR378" s="26" t="n">
        <v>6</v>
      </c>
      <c r="AS378" s="26" t="n">
        <v>3</v>
      </c>
      <c r="AT378" s="26" t="n">
        <v>6</v>
      </c>
      <c r="AU378" s="26" t="n">
        <v>8</v>
      </c>
      <c r="AV378" s="26" t="n">
        <f aca="false">SUM(AL378:AU378)</f>
        <v>50</v>
      </c>
      <c r="AW378" s="32" t="n">
        <f aca="false">IFERROR(AV378/R378*1000000,"")</f>
        <v>22251.8914107699</v>
      </c>
      <c r="AX378" s="33" t="n">
        <f aca="false">IFERROR((R378-AV378)/R378,"")</f>
        <v>0.97774810858923</v>
      </c>
      <c r="AY378" s="34" t="n">
        <f aca="false">IFERROR(AH378*AJ378*AX378,"")</f>
        <v>0.829640296979007</v>
      </c>
      <c r="AZ378" s="35" t="s">
        <v>93</v>
      </c>
    </row>
    <row r="379" customFormat="false" ht="12.75" hidden="false" customHeight="true" outlineLevel="0" collapsed="false">
      <c r="A379" s="24" t="n">
        <v>375</v>
      </c>
      <c r="B379" s="25" t="n">
        <v>46147</v>
      </c>
      <c r="C379" s="25" t="n">
        <v>12</v>
      </c>
      <c r="D379" s="26" t="s">
        <v>87</v>
      </c>
      <c r="E379" s="26" t="s">
        <v>88</v>
      </c>
      <c r="F379" s="26" t="s">
        <v>73</v>
      </c>
      <c r="G379" s="26" t="s">
        <v>10</v>
      </c>
      <c r="H379" s="27" t="n">
        <v>0.354166666666667</v>
      </c>
      <c r="I379" s="27" t="n">
        <v>0.854166666666667</v>
      </c>
      <c r="J379" s="26" t="n">
        <f aca="false">IFERROR((I379-H379)*24*60,"")</f>
        <v>720</v>
      </c>
      <c r="K379" s="26" t="s">
        <v>74</v>
      </c>
      <c r="L379" s="26" t="s">
        <v>90</v>
      </c>
      <c r="M379" s="26" t="s">
        <v>91</v>
      </c>
      <c r="N379" s="26" t="s">
        <v>92</v>
      </c>
      <c r="O379" s="26" t="n">
        <v>2</v>
      </c>
      <c r="P379" s="26" t="n">
        <v>66</v>
      </c>
      <c r="Q379" s="26" t="n">
        <f aca="false">IFERROR(3600/(P379/O379),"")</f>
        <v>109.090909090909</v>
      </c>
      <c r="R379" s="26" t="n">
        <v>1123</v>
      </c>
      <c r="S379" s="26" t="n">
        <v>71</v>
      </c>
      <c r="T379" s="26" t="n">
        <f aca="false">IFERROR(J379-S379,"")</f>
        <v>649</v>
      </c>
      <c r="U379" s="26" t="n">
        <v>12</v>
      </c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 t="n">
        <f aca="false">SUM(U379:AE379)</f>
        <v>12</v>
      </c>
      <c r="AG379" s="26" t="n">
        <f aca="false">T379-AF379</f>
        <v>637</v>
      </c>
      <c r="AH379" s="28" t="n">
        <f aca="false">IFERROR(AG379/T379,"")</f>
        <v>0.981510015408321</v>
      </c>
      <c r="AI379" s="29" t="n">
        <f aca="false">IFERROR(R379/AG379*60,"")</f>
        <v>105.777080062794</v>
      </c>
      <c r="AJ379" s="30" t="n">
        <f aca="false">IFERROR(AI379/Q379,"")</f>
        <v>0.969623233908948</v>
      </c>
      <c r="AK379" s="31" t="n">
        <f aca="false">IFERROR(R379/(T379/60*Q379),"")</f>
        <v>0.951694915254237</v>
      </c>
      <c r="AL379" s="26" t="n">
        <v>1</v>
      </c>
      <c r="AM379" s="26" t="n">
        <v>3</v>
      </c>
      <c r="AN379" s="26" t="n">
        <v>3</v>
      </c>
      <c r="AO379" s="26"/>
      <c r="AP379" s="26" t="n">
        <v>1</v>
      </c>
      <c r="AQ379" s="26" t="n">
        <v>3</v>
      </c>
      <c r="AR379" s="26" t="n">
        <v>7</v>
      </c>
      <c r="AS379" s="26"/>
      <c r="AT379" s="26" t="n">
        <v>3</v>
      </c>
      <c r="AU379" s="26" t="n">
        <v>4</v>
      </c>
      <c r="AV379" s="26" t="n">
        <f aca="false">SUM(AL379:AU379)</f>
        <v>25</v>
      </c>
      <c r="AW379" s="32" t="n">
        <f aca="false">IFERROR(AV379/R379*1000000,"")</f>
        <v>22261.7987533393</v>
      </c>
      <c r="AX379" s="33" t="n">
        <f aca="false">IFERROR((R379-AV379)/R379,"")</f>
        <v>0.977738201246661</v>
      </c>
      <c r="AY379" s="34" t="n">
        <f aca="false">IFERROR(AH379*AJ379*AX379,"")</f>
        <v>0.930508474576271</v>
      </c>
      <c r="AZ379" s="35"/>
    </row>
    <row r="380" customFormat="false" ht="12.75" hidden="false" customHeight="true" outlineLevel="0" collapsed="false">
      <c r="A380" s="24" t="n">
        <v>376</v>
      </c>
      <c r="B380" s="25" t="n">
        <v>46148</v>
      </c>
      <c r="C380" s="25" t="n">
        <v>12</v>
      </c>
      <c r="D380" s="26" t="s">
        <v>71</v>
      </c>
      <c r="E380" s="26" t="s">
        <v>94</v>
      </c>
      <c r="F380" s="26" t="s">
        <v>81</v>
      </c>
      <c r="G380" s="26" t="s">
        <v>11</v>
      </c>
      <c r="H380" s="27" t="n">
        <v>0.354166666666667</v>
      </c>
      <c r="I380" s="27" t="n">
        <v>0.854166666666667</v>
      </c>
      <c r="J380" s="26" t="n">
        <f aca="false">IFERROR((I380-H380)*24*60,"")</f>
        <v>720</v>
      </c>
      <c r="K380" s="26" t="s">
        <v>89</v>
      </c>
      <c r="L380" s="26" t="s">
        <v>108</v>
      </c>
      <c r="M380" s="26" t="s">
        <v>95</v>
      </c>
      <c r="N380" s="26" t="s">
        <v>96</v>
      </c>
      <c r="O380" s="26" t="n">
        <v>2</v>
      </c>
      <c r="P380" s="26" t="n">
        <v>73</v>
      </c>
      <c r="Q380" s="26" t="n">
        <f aca="false">IFERROR(3600/(P380/O380),"")</f>
        <v>98.6301369863014</v>
      </c>
      <c r="R380" s="26" t="n">
        <v>824</v>
      </c>
      <c r="S380" s="26" t="n">
        <v>57</v>
      </c>
      <c r="T380" s="26" t="n">
        <f aca="false">IFERROR(J380-S380,"")</f>
        <v>663</v>
      </c>
      <c r="U380" s="26"/>
      <c r="V380" s="26" t="n">
        <v>5</v>
      </c>
      <c r="W380" s="26"/>
      <c r="X380" s="26"/>
      <c r="Y380" s="26" t="n">
        <v>9</v>
      </c>
      <c r="Z380" s="26"/>
      <c r="AA380" s="26"/>
      <c r="AB380" s="26"/>
      <c r="AC380" s="26"/>
      <c r="AD380" s="26" t="n">
        <v>8</v>
      </c>
      <c r="AE380" s="26"/>
      <c r="AF380" s="26" t="n">
        <f aca="false">SUM(U380:AE380)</f>
        <v>22</v>
      </c>
      <c r="AG380" s="26" t="n">
        <f aca="false">T380-AF380</f>
        <v>641</v>
      </c>
      <c r="AH380" s="28" t="n">
        <f aca="false">IFERROR(AG380/T380,"")</f>
        <v>0.966817496229261</v>
      </c>
      <c r="AI380" s="29" t="n">
        <f aca="false">IFERROR(R380/AG380*60,"")</f>
        <v>77.1294851794072</v>
      </c>
      <c r="AJ380" s="30" t="n">
        <f aca="false">IFERROR(AI380/Q380,"")</f>
        <v>0.782007280291212</v>
      </c>
      <c r="AK380" s="31" t="n">
        <f aca="false">IFERROR(R380/(T380/60*Q380),"")</f>
        <v>0.756058320764203</v>
      </c>
      <c r="AL380" s="26" t="n">
        <v>4</v>
      </c>
      <c r="AM380" s="26"/>
      <c r="AN380" s="26" t="n">
        <v>2</v>
      </c>
      <c r="AO380" s="26" t="n">
        <v>2</v>
      </c>
      <c r="AP380" s="26" t="n">
        <v>3</v>
      </c>
      <c r="AQ380" s="26"/>
      <c r="AR380" s="26" t="n">
        <v>1</v>
      </c>
      <c r="AS380" s="26" t="n">
        <v>1</v>
      </c>
      <c r="AT380" s="26" t="n">
        <v>3</v>
      </c>
      <c r="AU380" s="26" t="n">
        <v>1</v>
      </c>
      <c r="AV380" s="26" t="n">
        <f aca="false">SUM(AL380:AU380)</f>
        <v>17</v>
      </c>
      <c r="AW380" s="32" t="n">
        <f aca="false">IFERROR(AV380/R380*1000000,"")</f>
        <v>20631.0679611651</v>
      </c>
      <c r="AX380" s="33" t="n">
        <f aca="false">IFERROR((R380-AV380)/R380,"")</f>
        <v>0.979368932038835</v>
      </c>
      <c r="AY380" s="34" t="n">
        <f aca="false">IFERROR(AH380*AJ380*AX380,"")</f>
        <v>0.740460030165913</v>
      </c>
      <c r="AZ380" s="35"/>
    </row>
    <row r="381" customFormat="false" ht="12.75" hidden="false" customHeight="true" outlineLevel="0" collapsed="false">
      <c r="A381" s="24" t="n">
        <v>377</v>
      </c>
      <c r="B381" s="25" t="n">
        <v>46148</v>
      </c>
      <c r="C381" s="25" t="n">
        <v>12</v>
      </c>
      <c r="D381" s="26" t="s">
        <v>79</v>
      </c>
      <c r="E381" s="26" t="s">
        <v>97</v>
      </c>
      <c r="F381" s="26" t="s">
        <v>73</v>
      </c>
      <c r="G381" s="26" t="s">
        <v>12</v>
      </c>
      <c r="H381" s="27" t="n">
        <v>0.354166666666667</v>
      </c>
      <c r="I381" s="27" t="n">
        <v>0.854166666666667</v>
      </c>
      <c r="J381" s="26" t="n">
        <f aca="false">IFERROR((I381-H381)*24*60,"")</f>
        <v>720</v>
      </c>
      <c r="K381" s="26" t="s">
        <v>82</v>
      </c>
      <c r="L381" s="26" t="s">
        <v>107</v>
      </c>
      <c r="M381" s="26" t="s">
        <v>99</v>
      </c>
      <c r="N381" s="26" t="s">
        <v>100</v>
      </c>
      <c r="O381" s="26" t="n">
        <v>1</v>
      </c>
      <c r="P381" s="26" t="n">
        <v>72</v>
      </c>
      <c r="Q381" s="26" t="n">
        <f aca="false">IFERROR(3600/(P381/O381),"")</f>
        <v>50</v>
      </c>
      <c r="R381" s="26" t="n">
        <v>472</v>
      </c>
      <c r="S381" s="26" t="n">
        <v>34</v>
      </c>
      <c r="T381" s="26" t="n">
        <f aca="false">IFERROR(J381-S381,"")</f>
        <v>686</v>
      </c>
      <c r="U381" s="26"/>
      <c r="V381" s="26" t="n">
        <v>3</v>
      </c>
      <c r="W381" s="26"/>
      <c r="X381" s="26"/>
      <c r="Y381" s="26"/>
      <c r="Z381" s="26"/>
      <c r="AA381" s="26"/>
      <c r="AB381" s="26"/>
      <c r="AC381" s="26"/>
      <c r="AD381" s="26"/>
      <c r="AE381" s="26"/>
      <c r="AF381" s="26" t="n">
        <f aca="false">SUM(U381:AE381)</f>
        <v>3</v>
      </c>
      <c r="AG381" s="26" t="n">
        <f aca="false">T381-AF381</f>
        <v>683</v>
      </c>
      <c r="AH381" s="28" t="n">
        <f aca="false">IFERROR(AG381/T381,"")</f>
        <v>0.995626822157434</v>
      </c>
      <c r="AI381" s="29" t="n">
        <f aca="false">IFERROR(R381/AG381*60,"")</f>
        <v>41.4641288433382</v>
      </c>
      <c r="AJ381" s="30" t="n">
        <f aca="false">IFERROR(AI381/Q381,"")</f>
        <v>0.829282576866764</v>
      </c>
      <c r="AK381" s="31" t="n">
        <f aca="false">IFERROR(R381/(T381/60*Q381),"")</f>
        <v>0.825655976676385</v>
      </c>
      <c r="AL381" s="26" t="n">
        <v>3</v>
      </c>
      <c r="AM381" s="26" t="n">
        <v>1</v>
      </c>
      <c r="AN381" s="26"/>
      <c r="AO381" s="26"/>
      <c r="AP381" s="26"/>
      <c r="AQ381" s="26" t="n">
        <v>1</v>
      </c>
      <c r="AR381" s="26" t="n">
        <v>1</v>
      </c>
      <c r="AS381" s="26"/>
      <c r="AT381" s="26" t="n">
        <v>1</v>
      </c>
      <c r="AU381" s="26" t="n">
        <v>1</v>
      </c>
      <c r="AV381" s="26" t="n">
        <f aca="false">SUM(AL381:AU381)</f>
        <v>8</v>
      </c>
      <c r="AW381" s="32" t="n">
        <f aca="false">IFERROR(AV381/R381*1000000,"")</f>
        <v>16949.1525423729</v>
      </c>
      <c r="AX381" s="33" t="n">
        <f aca="false">IFERROR((R381-AV381)/R381,"")</f>
        <v>0.983050847457627</v>
      </c>
      <c r="AY381" s="34" t="n">
        <f aca="false">IFERROR(AH381*AJ381*AX381,"")</f>
        <v>0.811661807580175</v>
      </c>
      <c r="AZ381" s="35" t="s">
        <v>93</v>
      </c>
    </row>
    <row r="382" customFormat="false" ht="12.75" hidden="false" customHeight="true" outlineLevel="0" collapsed="false">
      <c r="A382" s="24" t="n">
        <v>378</v>
      </c>
      <c r="B382" s="25" t="n">
        <v>46148</v>
      </c>
      <c r="C382" s="25" t="n">
        <v>12</v>
      </c>
      <c r="D382" s="26" t="s">
        <v>87</v>
      </c>
      <c r="E382" s="26" t="s">
        <v>101</v>
      </c>
      <c r="F382" s="26" t="s">
        <v>81</v>
      </c>
      <c r="G382" s="26" t="s">
        <v>13</v>
      </c>
      <c r="H382" s="27" t="n">
        <v>0.354166666666667</v>
      </c>
      <c r="I382" s="27" t="n">
        <v>0.854166666666667</v>
      </c>
      <c r="J382" s="26" t="n">
        <f aca="false">IFERROR((I382-H382)*24*60,"")</f>
        <v>720</v>
      </c>
      <c r="K382" s="26" t="s">
        <v>74</v>
      </c>
      <c r="L382" s="26" t="s">
        <v>90</v>
      </c>
      <c r="M382" s="26" t="s">
        <v>103</v>
      </c>
      <c r="N382" s="26" t="s">
        <v>104</v>
      </c>
      <c r="O382" s="26" t="n">
        <v>4</v>
      </c>
      <c r="P382" s="26" t="n">
        <v>27</v>
      </c>
      <c r="Q382" s="26" t="n">
        <f aca="false">IFERROR(3600/(P382/O382),"")</f>
        <v>533.333333333333</v>
      </c>
      <c r="R382" s="26" t="n">
        <v>4877</v>
      </c>
      <c r="S382" s="26" t="n">
        <v>70</v>
      </c>
      <c r="T382" s="26" t="n">
        <f aca="false">IFERROR(J382-S382,"")</f>
        <v>650</v>
      </c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 t="n">
        <v>9</v>
      </c>
      <c r="AF382" s="26" t="n">
        <f aca="false">SUM(U382:AE382)</f>
        <v>9</v>
      </c>
      <c r="AG382" s="26" t="n">
        <f aca="false">T382-AF382</f>
        <v>641</v>
      </c>
      <c r="AH382" s="28" t="n">
        <f aca="false">IFERROR(AG382/T382,"")</f>
        <v>0.986153846153846</v>
      </c>
      <c r="AI382" s="29" t="n">
        <f aca="false">IFERROR(R382/AG382*60,"")</f>
        <v>456.505460218409</v>
      </c>
      <c r="AJ382" s="30" t="n">
        <f aca="false">IFERROR(AI382/Q382,"")</f>
        <v>0.855947737909516</v>
      </c>
      <c r="AK382" s="31" t="n">
        <f aca="false">IFERROR(R382/(T382/60*Q382),"")</f>
        <v>0.844096153846154</v>
      </c>
      <c r="AL382" s="26" t="n">
        <v>7</v>
      </c>
      <c r="AM382" s="26" t="n">
        <v>8</v>
      </c>
      <c r="AN382" s="26" t="n">
        <v>9</v>
      </c>
      <c r="AO382" s="26" t="n">
        <v>7</v>
      </c>
      <c r="AP382" s="26" t="n">
        <v>5</v>
      </c>
      <c r="AQ382" s="26" t="n">
        <v>5</v>
      </c>
      <c r="AR382" s="26" t="n">
        <v>7</v>
      </c>
      <c r="AS382" s="26" t="n">
        <v>10</v>
      </c>
      <c r="AT382" s="26" t="n">
        <v>4</v>
      </c>
      <c r="AU382" s="26" t="n">
        <v>6</v>
      </c>
      <c r="AV382" s="26" t="n">
        <f aca="false">SUM(AL382:AU382)</f>
        <v>68</v>
      </c>
      <c r="AW382" s="32" t="n">
        <f aca="false">IFERROR(AV382/R382*1000000,"")</f>
        <v>13942.9977445151</v>
      </c>
      <c r="AX382" s="33" t="n">
        <f aca="false">IFERROR((R382-AV382)/R382,"")</f>
        <v>0.986057002255485</v>
      </c>
      <c r="AY382" s="34" t="n">
        <f aca="false">IFERROR(AH382*AJ382*AX382,"")</f>
        <v>0.832326923076923</v>
      </c>
      <c r="AZ382" s="35"/>
    </row>
    <row r="383" customFormat="false" ht="12.75" hidden="false" customHeight="true" outlineLevel="0" collapsed="false">
      <c r="A383" s="24" t="n">
        <v>379</v>
      </c>
      <c r="B383" s="25" t="n">
        <v>46149</v>
      </c>
      <c r="C383" s="25" t="n">
        <v>12</v>
      </c>
      <c r="D383" s="26" t="s">
        <v>71</v>
      </c>
      <c r="E383" s="26" t="s">
        <v>72</v>
      </c>
      <c r="F383" s="26" t="s">
        <v>73</v>
      </c>
      <c r="G383" s="26" t="s">
        <v>8</v>
      </c>
      <c r="H383" s="27" t="n">
        <v>0.354166666666667</v>
      </c>
      <c r="I383" s="27" t="n">
        <v>0.854166666666667</v>
      </c>
      <c r="J383" s="26" t="n">
        <f aca="false">IFERROR((I383-H383)*24*60,"")</f>
        <v>720</v>
      </c>
      <c r="K383" s="26" t="s">
        <v>105</v>
      </c>
      <c r="L383" s="26" t="s">
        <v>83</v>
      </c>
      <c r="M383" s="26" t="s">
        <v>76</v>
      </c>
      <c r="N383" s="26" t="s">
        <v>77</v>
      </c>
      <c r="O383" s="26" t="n">
        <v>8</v>
      </c>
      <c r="P383" s="26" t="n">
        <v>39</v>
      </c>
      <c r="Q383" s="26" t="n">
        <f aca="false">IFERROR(3600/(P383/O383),"")</f>
        <v>738.461538461539</v>
      </c>
      <c r="R383" s="26" t="n">
        <v>7877</v>
      </c>
      <c r="S383" s="26" t="n">
        <v>37</v>
      </c>
      <c r="T383" s="26" t="n">
        <f aca="false">IFERROR(J383-S383,"")</f>
        <v>683</v>
      </c>
      <c r="U383" s="26"/>
      <c r="V383" s="26"/>
      <c r="W383" s="26" t="n">
        <v>13</v>
      </c>
      <c r="X383" s="26"/>
      <c r="Y383" s="26"/>
      <c r="Z383" s="26"/>
      <c r="AA383" s="26"/>
      <c r="AB383" s="26" t="n">
        <v>10</v>
      </c>
      <c r="AC383" s="26" t="n">
        <v>15</v>
      </c>
      <c r="AD383" s="26"/>
      <c r="AE383" s="26"/>
      <c r="AF383" s="26" t="n">
        <f aca="false">SUM(U383:AE383)</f>
        <v>38</v>
      </c>
      <c r="AG383" s="26" t="n">
        <f aca="false">T383-AF383</f>
        <v>645</v>
      </c>
      <c r="AH383" s="28" t="n">
        <f aca="false">IFERROR(AG383/T383,"")</f>
        <v>0.944363103953148</v>
      </c>
      <c r="AI383" s="29" t="n">
        <f aca="false">IFERROR(R383/AG383*60,"")</f>
        <v>732.744186046512</v>
      </c>
      <c r="AJ383" s="30" t="n">
        <f aca="false">IFERROR(AI383/Q383,"")</f>
        <v>0.992257751937985</v>
      </c>
      <c r="AK383" s="31" t="n">
        <f aca="false">IFERROR(R383/(T383/60*Q383),"")</f>
        <v>0.937051610541728</v>
      </c>
      <c r="AL383" s="26" t="n">
        <v>11</v>
      </c>
      <c r="AM383" s="26" t="n">
        <v>13</v>
      </c>
      <c r="AN383" s="26" t="n">
        <v>15</v>
      </c>
      <c r="AO383" s="26" t="n">
        <v>11</v>
      </c>
      <c r="AP383" s="26" t="n">
        <v>9</v>
      </c>
      <c r="AQ383" s="26" t="n">
        <v>10</v>
      </c>
      <c r="AR383" s="26" t="n">
        <v>14</v>
      </c>
      <c r="AS383" s="26" t="n">
        <v>14</v>
      </c>
      <c r="AT383" s="26" t="n">
        <v>14</v>
      </c>
      <c r="AU383" s="26" t="n">
        <v>8</v>
      </c>
      <c r="AV383" s="26" t="n">
        <f aca="false">SUM(AL383:AU383)</f>
        <v>119</v>
      </c>
      <c r="AW383" s="32" t="n">
        <f aca="false">IFERROR(AV383/R383*1000000,"")</f>
        <v>15107.274343024</v>
      </c>
      <c r="AX383" s="33" t="n">
        <f aca="false">IFERROR((R383-AV383)/R383,"")</f>
        <v>0.984892725656976</v>
      </c>
      <c r="AY383" s="34" t="n">
        <f aca="false">IFERROR(AH383*AJ383*AX383,"")</f>
        <v>0.922895314787702</v>
      </c>
      <c r="AZ383" s="35" t="s">
        <v>78</v>
      </c>
    </row>
    <row r="384" customFormat="false" ht="12.75" hidden="false" customHeight="true" outlineLevel="0" collapsed="false">
      <c r="A384" s="24" t="n">
        <v>380</v>
      </c>
      <c r="B384" s="25" t="n">
        <v>46149</v>
      </c>
      <c r="C384" s="25" t="n">
        <v>12</v>
      </c>
      <c r="D384" s="26" t="s">
        <v>79</v>
      </c>
      <c r="E384" s="26" t="s">
        <v>80</v>
      </c>
      <c r="F384" s="26" t="s">
        <v>81</v>
      </c>
      <c r="G384" s="26" t="s">
        <v>9</v>
      </c>
      <c r="H384" s="27" t="n">
        <v>0.354166666666667</v>
      </c>
      <c r="I384" s="27" t="n">
        <v>0.854166666666667</v>
      </c>
      <c r="J384" s="26" t="n">
        <f aca="false">IFERROR((I384-H384)*24*60,"")</f>
        <v>720</v>
      </c>
      <c r="K384" s="26" t="s">
        <v>105</v>
      </c>
      <c r="L384" s="26" t="s">
        <v>98</v>
      </c>
      <c r="M384" s="26" t="s">
        <v>84</v>
      </c>
      <c r="N384" s="26" t="s">
        <v>85</v>
      </c>
      <c r="O384" s="26" t="n">
        <v>4</v>
      </c>
      <c r="P384" s="26" t="n">
        <v>60</v>
      </c>
      <c r="Q384" s="26" t="n">
        <f aca="false">IFERROR(3600/(P384/O384),"")</f>
        <v>240</v>
      </c>
      <c r="R384" s="26" t="n">
        <v>2135</v>
      </c>
      <c r="S384" s="26" t="n">
        <v>66</v>
      </c>
      <c r="T384" s="26" t="n">
        <f aca="false">IFERROR(J384-S384,"")</f>
        <v>654</v>
      </c>
      <c r="U384" s="26" t="n">
        <v>12</v>
      </c>
      <c r="V384" s="26"/>
      <c r="W384" s="26"/>
      <c r="X384" s="26"/>
      <c r="Y384" s="26"/>
      <c r="Z384" s="26"/>
      <c r="AA384" s="26"/>
      <c r="AB384" s="26"/>
      <c r="AC384" s="26"/>
      <c r="AD384" s="26" t="n">
        <v>7</v>
      </c>
      <c r="AE384" s="26"/>
      <c r="AF384" s="26" t="n">
        <f aca="false">SUM(U384:AE384)</f>
        <v>19</v>
      </c>
      <c r="AG384" s="26" t="n">
        <f aca="false">T384-AF384</f>
        <v>635</v>
      </c>
      <c r="AH384" s="28" t="n">
        <f aca="false">IFERROR(AG384/T384,"")</f>
        <v>0.970948012232416</v>
      </c>
      <c r="AI384" s="29" t="n">
        <f aca="false">IFERROR(R384/AG384*60,"")</f>
        <v>201.732283464567</v>
      </c>
      <c r="AJ384" s="30" t="n">
        <f aca="false">IFERROR(AI384/Q384,"")</f>
        <v>0.840551181102362</v>
      </c>
      <c r="AK384" s="31" t="n">
        <f aca="false">IFERROR(R384/(T384/60*Q384),"")</f>
        <v>0.816131498470948</v>
      </c>
      <c r="AL384" s="26" t="n">
        <v>3</v>
      </c>
      <c r="AM384" s="26" t="n">
        <v>1</v>
      </c>
      <c r="AN384" s="26" t="n">
        <v>3</v>
      </c>
      <c r="AO384" s="26" t="n">
        <v>2</v>
      </c>
      <c r="AP384" s="26" t="n">
        <v>5</v>
      </c>
      <c r="AQ384" s="26" t="n">
        <v>2</v>
      </c>
      <c r="AR384" s="26" t="n">
        <v>2</v>
      </c>
      <c r="AS384" s="26"/>
      <c r="AT384" s="26" t="n">
        <v>6</v>
      </c>
      <c r="AU384" s="26" t="n">
        <v>6</v>
      </c>
      <c r="AV384" s="26" t="n">
        <f aca="false">SUM(AL384:AU384)</f>
        <v>30</v>
      </c>
      <c r="AW384" s="32" t="n">
        <f aca="false">IFERROR(AV384/R384*1000000,"")</f>
        <v>14051.5222482436</v>
      </c>
      <c r="AX384" s="33" t="n">
        <f aca="false">IFERROR((R384-AV384)/R384,"")</f>
        <v>0.985948477751756</v>
      </c>
      <c r="AY384" s="34" t="n">
        <f aca="false">IFERROR(AH384*AJ384*AX384,"")</f>
        <v>0.804663608562691</v>
      </c>
      <c r="AZ384" s="35" t="s">
        <v>93</v>
      </c>
    </row>
    <row r="385" customFormat="false" ht="12.75" hidden="false" customHeight="true" outlineLevel="0" collapsed="false">
      <c r="A385" s="24" t="n">
        <v>381</v>
      </c>
      <c r="B385" s="25" t="n">
        <v>46149</v>
      </c>
      <c r="C385" s="25" t="n">
        <v>12</v>
      </c>
      <c r="D385" s="26" t="s">
        <v>87</v>
      </c>
      <c r="E385" s="26" t="s">
        <v>88</v>
      </c>
      <c r="F385" s="26" t="s">
        <v>73</v>
      </c>
      <c r="G385" s="26" t="s">
        <v>10</v>
      </c>
      <c r="H385" s="27" t="n">
        <v>0.354166666666667</v>
      </c>
      <c r="I385" s="27" t="n">
        <v>0.854166666666667</v>
      </c>
      <c r="J385" s="26" t="n">
        <f aca="false">IFERROR((I385-H385)*24*60,"")</f>
        <v>720</v>
      </c>
      <c r="K385" s="26" t="s">
        <v>74</v>
      </c>
      <c r="L385" s="26" t="s">
        <v>102</v>
      </c>
      <c r="M385" s="26" t="s">
        <v>91</v>
      </c>
      <c r="N385" s="26" t="s">
        <v>92</v>
      </c>
      <c r="O385" s="26" t="n">
        <v>8</v>
      </c>
      <c r="P385" s="26" t="n">
        <v>75</v>
      </c>
      <c r="Q385" s="26" t="n">
        <f aca="false">IFERROR(3600/(P385/O385),"")</f>
        <v>384</v>
      </c>
      <c r="R385" s="26" t="n">
        <v>3611</v>
      </c>
      <c r="S385" s="26" t="n">
        <v>58</v>
      </c>
      <c r="T385" s="26" t="n">
        <f aca="false">IFERROR(J385-S385,"")</f>
        <v>662</v>
      </c>
      <c r="U385" s="26"/>
      <c r="V385" s="26" t="n">
        <v>31</v>
      </c>
      <c r="W385" s="26"/>
      <c r="X385" s="26"/>
      <c r="Y385" s="26"/>
      <c r="Z385" s="26"/>
      <c r="AA385" s="26"/>
      <c r="AB385" s="26"/>
      <c r="AC385" s="26"/>
      <c r="AD385" s="26"/>
      <c r="AE385" s="26"/>
      <c r="AF385" s="26" t="n">
        <f aca="false">SUM(U385:AE385)</f>
        <v>31</v>
      </c>
      <c r="AG385" s="26" t="n">
        <f aca="false">T385-AF385</f>
        <v>631</v>
      </c>
      <c r="AH385" s="28" t="n">
        <f aca="false">IFERROR(AG385/T385,"")</f>
        <v>0.953172205438067</v>
      </c>
      <c r="AI385" s="29" t="n">
        <f aca="false">IFERROR(R385/AG385*60,"")</f>
        <v>343.359746434231</v>
      </c>
      <c r="AJ385" s="30" t="n">
        <f aca="false">IFERROR(AI385/Q385,"")</f>
        <v>0.894166006339144</v>
      </c>
      <c r="AK385" s="31" t="n">
        <f aca="false">IFERROR(R385/(T385/60*Q385),"")</f>
        <v>0.85229418429003</v>
      </c>
      <c r="AL385" s="26" t="n">
        <v>1</v>
      </c>
      <c r="AM385" s="26" t="n">
        <v>2</v>
      </c>
      <c r="AN385" s="26" t="n">
        <v>5</v>
      </c>
      <c r="AO385" s="26" t="n">
        <v>2</v>
      </c>
      <c r="AP385" s="26" t="n">
        <v>1</v>
      </c>
      <c r="AQ385" s="26" t="n">
        <v>1</v>
      </c>
      <c r="AR385" s="26" t="n">
        <v>5</v>
      </c>
      <c r="AS385" s="26" t="n">
        <v>7</v>
      </c>
      <c r="AT385" s="26" t="n">
        <v>6</v>
      </c>
      <c r="AU385" s="26" t="n">
        <v>6</v>
      </c>
      <c r="AV385" s="26" t="n">
        <f aca="false">SUM(AL385:AU385)</f>
        <v>36</v>
      </c>
      <c r="AW385" s="32" t="n">
        <f aca="false">IFERROR(AV385/R385*1000000,"")</f>
        <v>9969.53752423152</v>
      </c>
      <c r="AX385" s="33" t="n">
        <f aca="false">IFERROR((R385-AV385)/R385,"")</f>
        <v>0.990030462475769</v>
      </c>
      <c r="AY385" s="34" t="n">
        <f aca="false">IFERROR(AH385*AJ385*AX385,"")</f>
        <v>0.843797205438067</v>
      </c>
      <c r="AZ385" s="35" t="s">
        <v>78</v>
      </c>
    </row>
    <row r="386" customFormat="false" ht="12.75" hidden="false" customHeight="true" outlineLevel="0" collapsed="false">
      <c r="A386" s="24" t="n">
        <v>382</v>
      </c>
      <c r="B386" s="25" t="n">
        <v>46150</v>
      </c>
      <c r="C386" s="25" t="n">
        <v>12</v>
      </c>
      <c r="D386" s="26" t="s">
        <v>71</v>
      </c>
      <c r="E386" s="26" t="s">
        <v>94</v>
      </c>
      <c r="F386" s="26" t="s">
        <v>81</v>
      </c>
      <c r="G386" s="26" t="s">
        <v>11</v>
      </c>
      <c r="H386" s="27" t="n">
        <v>0.354166666666667</v>
      </c>
      <c r="I386" s="27" t="n">
        <v>0.854166666666667</v>
      </c>
      <c r="J386" s="26" t="n">
        <f aca="false">IFERROR((I386-H386)*24*60,"")</f>
        <v>720</v>
      </c>
      <c r="K386" s="26" t="s">
        <v>82</v>
      </c>
      <c r="L386" s="26" t="s">
        <v>83</v>
      </c>
      <c r="M386" s="26" t="s">
        <v>95</v>
      </c>
      <c r="N386" s="26" t="s">
        <v>96</v>
      </c>
      <c r="O386" s="26" t="n">
        <v>4</v>
      </c>
      <c r="P386" s="26" t="n">
        <v>67</v>
      </c>
      <c r="Q386" s="26" t="n">
        <f aca="false">IFERROR(3600/(P386/O386),"")</f>
        <v>214.925373134328</v>
      </c>
      <c r="R386" s="26" t="n">
        <v>1826</v>
      </c>
      <c r="S386" s="26" t="n">
        <v>71</v>
      </c>
      <c r="T386" s="26" t="n">
        <f aca="false">IFERROR(J386-S386,"")</f>
        <v>649</v>
      </c>
      <c r="U386" s="26"/>
      <c r="V386" s="26"/>
      <c r="W386" s="26"/>
      <c r="X386" s="26" t="n">
        <v>23</v>
      </c>
      <c r="Y386" s="26"/>
      <c r="Z386" s="26"/>
      <c r="AA386" s="26"/>
      <c r="AB386" s="26"/>
      <c r="AC386" s="26"/>
      <c r="AD386" s="26"/>
      <c r="AE386" s="26" t="n">
        <v>14</v>
      </c>
      <c r="AF386" s="26" t="n">
        <f aca="false">SUM(U386:AE386)</f>
        <v>37</v>
      </c>
      <c r="AG386" s="26" t="n">
        <f aca="false">T386-AF386</f>
        <v>612</v>
      </c>
      <c r="AH386" s="28" t="n">
        <f aca="false">IFERROR(AG386/T386,"")</f>
        <v>0.942989214175655</v>
      </c>
      <c r="AI386" s="29" t="n">
        <f aca="false">IFERROR(R386/AG386*60,"")</f>
        <v>179.019607843137</v>
      </c>
      <c r="AJ386" s="30" t="n">
        <f aca="false">IFERROR(AI386/Q386,"")</f>
        <v>0.832938453159041</v>
      </c>
      <c r="AK386" s="31" t="n">
        <f aca="false">IFERROR(R386/(T386/60*Q386),"")</f>
        <v>0.78545197740113</v>
      </c>
      <c r="AL386" s="26" t="n">
        <v>3</v>
      </c>
      <c r="AM386" s="26" t="n">
        <v>1</v>
      </c>
      <c r="AN386" s="26" t="n">
        <v>2</v>
      </c>
      <c r="AO386" s="26"/>
      <c r="AP386" s="26" t="n">
        <v>3</v>
      </c>
      <c r="AQ386" s="26" t="n">
        <v>4</v>
      </c>
      <c r="AR386" s="26" t="n">
        <v>2</v>
      </c>
      <c r="AS386" s="26" t="n">
        <v>1</v>
      </c>
      <c r="AT386" s="26" t="n">
        <v>1</v>
      </c>
      <c r="AU386" s="26" t="n">
        <v>2</v>
      </c>
      <c r="AV386" s="26" t="n">
        <f aca="false">SUM(AL386:AU386)</f>
        <v>19</v>
      </c>
      <c r="AW386" s="32" t="n">
        <f aca="false">IFERROR(AV386/R386*1000000,"")</f>
        <v>10405.2573932092</v>
      </c>
      <c r="AX386" s="33" t="n">
        <f aca="false">IFERROR((R386-AV386)/R386,"")</f>
        <v>0.989594742606791</v>
      </c>
      <c r="AY386" s="34" t="n">
        <f aca="false">IFERROR(AH386*AJ386*AX386,"")</f>
        <v>0.777279147406266</v>
      </c>
      <c r="AZ386" s="35"/>
    </row>
    <row r="387" customFormat="false" ht="12.75" hidden="false" customHeight="true" outlineLevel="0" collapsed="false">
      <c r="A387" s="24" t="n">
        <v>383</v>
      </c>
      <c r="B387" s="25" t="n">
        <v>46150</v>
      </c>
      <c r="C387" s="25" t="n">
        <v>12</v>
      </c>
      <c r="D387" s="26" t="s">
        <v>79</v>
      </c>
      <c r="E387" s="26" t="s">
        <v>97</v>
      </c>
      <c r="F387" s="26" t="s">
        <v>73</v>
      </c>
      <c r="G387" s="26" t="s">
        <v>12</v>
      </c>
      <c r="H387" s="27" t="n">
        <v>0.354166666666667</v>
      </c>
      <c r="I387" s="27" t="n">
        <v>0.854166666666667</v>
      </c>
      <c r="J387" s="26" t="n">
        <f aca="false">IFERROR((I387-H387)*24*60,"")</f>
        <v>720</v>
      </c>
      <c r="K387" s="26" t="s">
        <v>89</v>
      </c>
      <c r="L387" s="26" t="s">
        <v>106</v>
      </c>
      <c r="M387" s="26" t="s">
        <v>99</v>
      </c>
      <c r="N387" s="26" t="s">
        <v>100</v>
      </c>
      <c r="O387" s="26" t="n">
        <v>2</v>
      </c>
      <c r="P387" s="26" t="n">
        <v>32</v>
      </c>
      <c r="Q387" s="26" t="n">
        <f aca="false">IFERROR(3600/(P387/O387),"")</f>
        <v>225</v>
      </c>
      <c r="R387" s="26" t="n">
        <v>1885</v>
      </c>
      <c r="S387" s="26" t="n">
        <v>59</v>
      </c>
      <c r="T387" s="26" t="n">
        <f aca="false">IFERROR(J387-S387,"")</f>
        <v>661</v>
      </c>
      <c r="U387" s="26"/>
      <c r="V387" s="26"/>
      <c r="W387" s="26" t="n">
        <v>12</v>
      </c>
      <c r="X387" s="26" t="n">
        <v>23</v>
      </c>
      <c r="Y387" s="26"/>
      <c r="Z387" s="26"/>
      <c r="AA387" s="26"/>
      <c r="AB387" s="26"/>
      <c r="AC387" s="26"/>
      <c r="AD387" s="26"/>
      <c r="AE387" s="26" t="n">
        <v>25</v>
      </c>
      <c r="AF387" s="26" t="n">
        <f aca="false">SUM(U387:AE387)</f>
        <v>60</v>
      </c>
      <c r="AG387" s="26" t="n">
        <f aca="false">T387-AF387</f>
        <v>601</v>
      </c>
      <c r="AH387" s="28" t="n">
        <f aca="false">IFERROR(AG387/T387,"")</f>
        <v>0.909228441754917</v>
      </c>
      <c r="AI387" s="29" t="n">
        <f aca="false">IFERROR(R387/AG387*60,"")</f>
        <v>188.186356073211</v>
      </c>
      <c r="AJ387" s="30" t="n">
        <f aca="false">IFERROR(AI387/Q387,"")</f>
        <v>0.836383804769828</v>
      </c>
      <c r="AK387" s="31" t="n">
        <f aca="false">IFERROR(R387/(T387/60*Q387),"")</f>
        <v>0.760463943519919</v>
      </c>
      <c r="AL387" s="26" t="n">
        <v>1</v>
      </c>
      <c r="AM387" s="26" t="n">
        <v>4</v>
      </c>
      <c r="AN387" s="26" t="n">
        <v>5</v>
      </c>
      <c r="AO387" s="26" t="n">
        <v>5</v>
      </c>
      <c r="AP387" s="26" t="n">
        <v>3</v>
      </c>
      <c r="AQ387" s="26" t="n">
        <v>8</v>
      </c>
      <c r="AR387" s="26" t="n">
        <v>5</v>
      </c>
      <c r="AS387" s="26" t="n">
        <v>2</v>
      </c>
      <c r="AT387" s="26" t="n">
        <v>7</v>
      </c>
      <c r="AU387" s="26" t="n">
        <v>5</v>
      </c>
      <c r="AV387" s="26" t="n">
        <f aca="false">SUM(AL387:AU387)</f>
        <v>45</v>
      </c>
      <c r="AW387" s="32" t="n">
        <f aca="false">IFERROR(AV387/R387*1000000,"")</f>
        <v>23872.6790450928</v>
      </c>
      <c r="AX387" s="33" t="n">
        <f aca="false">IFERROR((R387-AV387)/R387,"")</f>
        <v>0.976127320954907</v>
      </c>
      <c r="AY387" s="34" t="n">
        <f aca="false">IFERROR(AH387*AJ387*AX387,"")</f>
        <v>0.742309631870903</v>
      </c>
      <c r="AZ387" s="35" t="s">
        <v>78</v>
      </c>
    </row>
    <row r="388" customFormat="false" ht="12.75" hidden="false" customHeight="true" outlineLevel="0" collapsed="false">
      <c r="A388" s="24" t="n">
        <v>384</v>
      </c>
      <c r="B388" s="25" t="n">
        <v>46150</v>
      </c>
      <c r="C388" s="25" t="n">
        <v>12</v>
      </c>
      <c r="D388" s="26" t="s">
        <v>87</v>
      </c>
      <c r="E388" s="26" t="s">
        <v>101</v>
      </c>
      <c r="F388" s="26" t="s">
        <v>81</v>
      </c>
      <c r="G388" s="26" t="s">
        <v>13</v>
      </c>
      <c r="H388" s="27" t="n">
        <v>0.354166666666667</v>
      </c>
      <c r="I388" s="27" t="n">
        <v>0.854166666666667</v>
      </c>
      <c r="J388" s="26" t="n">
        <f aca="false">IFERROR((I388-H388)*24*60,"")</f>
        <v>720</v>
      </c>
      <c r="K388" s="26" t="s">
        <v>89</v>
      </c>
      <c r="L388" s="26" t="s">
        <v>90</v>
      </c>
      <c r="M388" s="26" t="s">
        <v>103</v>
      </c>
      <c r="N388" s="26" t="s">
        <v>104</v>
      </c>
      <c r="O388" s="26" t="n">
        <v>8</v>
      </c>
      <c r="P388" s="26" t="n">
        <v>73</v>
      </c>
      <c r="Q388" s="26" t="n">
        <f aca="false">IFERROR(3600/(P388/O388),"")</f>
        <v>394.520547945205</v>
      </c>
      <c r="R388" s="26" t="n">
        <v>3725</v>
      </c>
      <c r="S388" s="26" t="n">
        <v>69</v>
      </c>
      <c r="T388" s="26" t="n">
        <f aca="false">IFERROR(J388-S388,"")</f>
        <v>651</v>
      </c>
      <c r="U388" s="26" t="n">
        <v>10</v>
      </c>
      <c r="V388" s="26"/>
      <c r="W388" s="26"/>
      <c r="X388" s="26"/>
      <c r="Y388" s="26" t="n">
        <v>9</v>
      </c>
      <c r="Z388" s="26"/>
      <c r="AA388" s="26"/>
      <c r="AB388" s="26"/>
      <c r="AC388" s="26"/>
      <c r="AD388" s="26"/>
      <c r="AE388" s="26"/>
      <c r="AF388" s="26" t="n">
        <f aca="false">SUM(U388:AE388)</f>
        <v>19</v>
      </c>
      <c r="AG388" s="26" t="n">
        <f aca="false">T388-AF388</f>
        <v>632</v>
      </c>
      <c r="AH388" s="28" t="n">
        <f aca="false">IFERROR(AG388/T388,"")</f>
        <v>0.970814132104455</v>
      </c>
      <c r="AI388" s="29" t="n">
        <f aca="false">IFERROR(R388/AG388*60,"")</f>
        <v>353.639240506329</v>
      </c>
      <c r="AJ388" s="30" t="n">
        <f aca="false">IFERROR(AI388/Q388,"")</f>
        <v>0.896377241561182</v>
      </c>
      <c r="AK388" s="31" t="n">
        <f aca="false">IFERROR(R388/(T388/60*Q388),"")</f>
        <v>0.870215693804404</v>
      </c>
      <c r="AL388" s="26" t="n">
        <v>5</v>
      </c>
      <c r="AM388" s="26" t="n">
        <v>11</v>
      </c>
      <c r="AN388" s="26" t="n">
        <v>4</v>
      </c>
      <c r="AO388" s="26" t="n">
        <v>7</v>
      </c>
      <c r="AP388" s="26" t="n">
        <v>5</v>
      </c>
      <c r="AQ388" s="26" t="n">
        <v>8</v>
      </c>
      <c r="AR388" s="26" t="n">
        <v>4</v>
      </c>
      <c r="AS388" s="26" t="n">
        <v>6</v>
      </c>
      <c r="AT388" s="26" t="n">
        <v>4</v>
      </c>
      <c r="AU388" s="26" t="n">
        <v>7</v>
      </c>
      <c r="AV388" s="26" t="n">
        <f aca="false">SUM(AL388:AU388)</f>
        <v>61</v>
      </c>
      <c r="AW388" s="32" t="n">
        <f aca="false">IFERROR(AV388/R388*1000000,"")</f>
        <v>16375.8389261745</v>
      </c>
      <c r="AX388" s="33" t="n">
        <f aca="false">IFERROR((R388-AV388)/R388,"")</f>
        <v>0.983624161073826</v>
      </c>
      <c r="AY388" s="34" t="n">
        <f aca="false">IFERROR(AH388*AJ388*AX388,"")</f>
        <v>0.855965181771634</v>
      </c>
      <c r="AZ388" s="35" t="s">
        <v>86</v>
      </c>
    </row>
    <row r="389" customFormat="false" ht="12.75" hidden="false" customHeight="true" outlineLevel="0" collapsed="false">
      <c r="A389" s="24" t="n">
        <v>385</v>
      </c>
      <c r="B389" s="25" t="n">
        <v>46151</v>
      </c>
      <c r="C389" s="25" t="n">
        <v>12</v>
      </c>
      <c r="D389" s="26" t="s">
        <v>71</v>
      </c>
      <c r="E389" s="26" t="s">
        <v>72</v>
      </c>
      <c r="F389" s="26" t="s">
        <v>73</v>
      </c>
      <c r="G389" s="26" t="s">
        <v>8</v>
      </c>
      <c r="H389" s="27" t="n">
        <v>0.354166666666667</v>
      </c>
      <c r="I389" s="27" t="n">
        <v>0.854166666666667</v>
      </c>
      <c r="J389" s="26" t="n">
        <f aca="false">IFERROR((I389-H389)*24*60,"")</f>
        <v>720</v>
      </c>
      <c r="K389" s="26" t="s">
        <v>74</v>
      </c>
      <c r="L389" s="26" t="s">
        <v>90</v>
      </c>
      <c r="M389" s="26" t="s">
        <v>76</v>
      </c>
      <c r="N389" s="26" t="s">
        <v>77</v>
      </c>
      <c r="O389" s="26" t="n">
        <v>4</v>
      </c>
      <c r="P389" s="26" t="n">
        <v>47</v>
      </c>
      <c r="Q389" s="26" t="n">
        <f aca="false">IFERROR(3600/(P389/O389),"")</f>
        <v>306.382978723404</v>
      </c>
      <c r="R389" s="26" t="n">
        <v>2531</v>
      </c>
      <c r="S389" s="26" t="n">
        <v>60</v>
      </c>
      <c r="T389" s="26" t="n">
        <f aca="false">IFERROR(J389-S389,"")</f>
        <v>660</v>
      </c>
      <c r="U389" s="26"/>
      <c r="V389" s="26"/>
      <c r="W389" s="26" t="n">
        <v>2</v>
      </c>
      <c r="X389" s="26"/>
      <c r="Y389" s="26"/>
      <c r="Z389" s="26"/>
      <c r="AA389" s="26" t="n">
        <v>3</v>
      </c>
      <c r="AB389" s="26"/>
      <c r="AC389" s="26" t="n">
        <v>5</v>
      </c>
      <c r="AD389" s="26"/>
      <c r="AE389" s="26"/>
      <c r="AF389" s="26" t="n">
        <f aca="false">SUM(U389:AE389)</f>
        <v>10</v>
      </c>
      <c r="AG389" s="26" t="n">
        <f aca="false">T389-AF389</f>
        <v>650</v>
      </c>
      <c r="AH389" s="28" t="n">
        <f aca="false">IFERROR(AG389/T389,"")</f>
        <v>0.984848484848485</v>
      </c>
      <c r="AI389" s="29" t="n">
        <f aca="false">IFERROR(R389/AG389*60,"")</f>
        <v>233.630769230769</v>
      </c>
      <c r="AJ389" s="30" t="n">
        <f aca="false">IFERROR(AI389/Q389,"")</f>
        <v>0.762544871794872</v>
      </c>
      <c r="AK389" s="31" t="n">
        <f aca="false">IFERROR(R389/(T389/60*Q389),"")</f>
        <v>0.750991161616162</v>
      </c>
      <c r="AL389" s="26" t="n">
        <v>5</v>
      </c>
      <c r="AM389" s="26" t="n">
        <v>5</v>
      </c>
      <c r="AN389" s="26" t="n">
        <v>7</v>
      </c>
      <c r="AO389" s="26" t="n">
        <v>3</v>
      </c>
      <c r="AP389" s="26" t="n">
        <v>6</v>
      </c>
      <c r="AQ389" s="26" t="n">
        <v>11</v>
      </c>
      <c r="AR389" s="26" t="n">
        <v>5</v>
      </c>
      <c r="AS389" s="26" t="n">
        <v>3</v>
      </c>
      <c r="AT389" s="26" t="n">
        <v>6</v>
      </c>
      <c r="AU389" s="26" t="n">
        <v>5</v>
      </c>
      <c r="AV389" s="26" t="n">
        <f aca="false">SUM(AL389:AU389)</f>
        <v>56</v>
      </c>
      <c r="AW389" s="32" t="n">
        <f aca="false">IFERROR(AV389/R389*1000000,"")</f>
        <v>22125.6420387199</v>
      </c>
      <c r="AX389" s="33" t="n">
        <f aca="false">IFERROR((R389-AV389)/R389,"")</f>
        <v>0.97787435796128</v>
      </c>
      <c r="AY389" s="34" t="n">
        <f aca="false">IFERROR(AH389*AJ389*AX389,"")</f>
        <v>0.734375</v>
      </c>
      <c r="AZ389" s="35" t="s">
        <v>93</v>
      </c>
    </row>
    <row r="390" customFormat="false" ht="12.75" hidden="false" customHeight="true" outlineLevel="0" collapsed="false">
      <c r="A390" s="24" t="n">
        <v>386</v>
      </c>
      <c r="B390" s="25" t="n">
        <v>46151</v>
      </c>
      <c r="C390" s="25" t="n">
        <v>12</v>
      </c>
      <c r="D390" s="26" t="s">
        <v>79</v>
      </c>
      <c r="E390" s="26" t="s">
        <v>80</v>
      </c>
      <c r="F390" s="26" t="s">
        <v>81</v>
      </c>
      <c r="G390" s="26" t="s">
        <v>9</v>
      </c>
      <c r="H390" s="27" t="n">
        <v>0.354166666666667</v>
      </c>
      <c r="I390" s="27" t="n">
        <v>0.854166666666667</v>
      </c>
      <c r="J390" s="26" t="n">
        <f aca="false">IFERROR((I390-H390)*24*60,"")</f>
        <v>720</v>
      </c>
      <c r="K390" s="26" t="s">
        <v>89</v>
      </c>
      <c r="L390" s="26" t="s">
        <v>108</v>
      </c>
      <c r="M390" s="26" t="s">
        <v>84</v>
      </c>
      <c r="N390" s="26" t="s">
        <v>85</v>
      </c>
      <c r="O390" s="26" t="n">
        <v>1</v>
      </c>
      <c r="P390" s="26" t="n">
        <v>57</v>
      </c>
      <c r="Q390" s="26" t="n">
        <f aca="false">IFERROR(3600/(P390/O390),"")</f>
        <v>63.1578947368421</v>
      </c>
      <c r="R390" s="26" t="n">
        <v>495</v>
      </c>
      <c r="S390" s="26" t="n">
        <v>51</v>
      </c>
      <c r="T390" s="26" t="n">
        <f aca="false">IFERROR(J390-S390,"")</f>
        <v>669</v>
      </c>
      <c r="U390" s="26"/>
      <c r="V390" s="26" t="n">
        <v>33</v>
      </c>
      <c r="W390" s="26"/>
      <c r="X390" s="26"/>
      <c r="Y390" s="26"/>
      <c r="Z390" s="26"/>
      <c r="AA390" s="26"/>
      <c r="AB390" s="26"/>
      <c r="AC390" s="26" t="n">
        <v>30</v>
      </c>
      <c r="AD390" s="26"/>
      <c r="AE390" s="26" t="n">
        <v>8</v>
      </c>
      <c r="AF390" s="26" t="n">
        <f aca="false">SUM(U390:AE390)</f>
        <v>71</v>
      </c>
      <c r="AG390" s="26" t="n">
        <f aca="false">T390-AF390</f>
        <v>598</v>
      </c>
      <c r="AH390" s="28" t="n">
        <f aca="false">IFERROR(AG390/T390,"")</f>
        <v>0.893871449925262</v>
      </c>
      <c r="AI390" s="29" t="n">
        <f aca="false">IFERROR(R390/AG390*60,"")</f>
        <v>49.6655518394649</v>
      </c>
      <c r="AJ390" s="30" t="n">
        <f aca="false">IFERROR(AI390/Q390,"")</f>
        <v>0.786371237458194</v>
      </c>
      <c r="AK390" s="31" t="n">
        <f aca="false">IFERROR(R390/(T390/60*Q390),"")</f>
        <v>0.702914798206278</v>
      </c>
      <c r="AL390" s="26"/>
      <c r="AM390" s="26"/>
      <c r="AN390" s="26"/>
      <c r="AO390" s="26"/>
      <c r="AP390" s="26" t="n">
        <v>1</v>
      </c>
      <c r="AQ390" s="26"/>
      <c r="AR390" s="26"/>
      <c r="AS390" s="26"/>
      <c r="AT390" s="26" t="n">
        <v>2</v>
      </c>
      <c r="AU390" s="26" t="n">
        <v>1</v>
      </c>
      <c r="AV390" s="26" t="n">
        <f aca="false">SUM(AL390:AU390)</f>
        <v>4</v>
      </c>
      <c r="AW390" s="32" t="n">
        <f aca="false">IFERROR(AV390/R390*1000000,"")</f>
        <v>8080.80808080808</v>
      </c>
      <c r="AX390" s="33" t="n">
        <f aca="false">IFERROR((R390-AV390)/R390,"")</f>
        <v>0.991919191919192</v>
      </c>
      <c r="AY390" s="34" t="n">
        <f aca="false">IFERROR(AH390*AJ390*AX390,"")</f>
        <v>0.697234678624813</v>
      </c>
      <c r="AZ390" s="35"/>
    </row>
    <row r="391" customFormat="false" ht="12.75" hidden="false" customHeight="true" outlineLevel="0" collapsed="false">
      <c r="A391" s="24" t="n">
        <v>387</v>
      </c>
      <c r="B391" s="25" t="n">
        <v>46151</v>
      </c>
      <c r="C391" s="25" t="n">
        <v>12</v>
      </c>
      <c r="D391" s="26" t="s">
        <v>87</v>
      </c>
      <c r="E391" s="26" t="s">
        <v>88</v>
      </c>
      <c r="F391" s="26" t="s">
        <v>73</v>
      </c>
      <c r="G391" s="26" t="s">
        <v>10</v>
      </c>
      <c r="H391" s="27" t="n">
        <v>0.354166666666667</v>
      </c>
      <c r="I391" s="27" t="n">
        <v>0.854166666666667</v>
      </c>
      <c r="J391" s="26" t="n">
        <f aca="false">IFERROR((I391-H391)*24*60,"")</f>
        <v>720</v>
      </c>
      <c r="K391" s="26" t="s">
        <v>74</v>
      </c>
      <c r="L391" s="26" t="s">
        <v>83</v>
      </c>
      <c r="M391" s="26" t="s">
        <v>91</v>
      </c>
      <c r="N391" s="26" t="s">
        <v>92</v>
      </c>
      <c r="O391" s="26" t="n">
        <v>2</v>
      </c>
      <c r="P391" s="26" t="n">
        <v>51</v>
      </c>
      <c r="Q391" s="26" t="n">
        <f aca="false">IFERROR(3600/(P391/O391),"")</f>
        <v>141.176470588235</v>
      </c>
      <c r="R391" s="26" t="n">
        <v>1241</v>
      </c>
      <c r="S391" s="26" t="n">
        <v>39</v>
      </c>
      <c r="T391" s="26" t="n">
        <f aca="false">IFERROR(J391-S391,"")</f>
        <v>681</v>
      </c>
      <c r="U391" s="26" t="n">
        <v>26</v>
      </c>
      <c r="V391" s="26"/>
      <c r="W391" s="26" t="n">
        <v>16</v>
      </c>
      <c r="X391" s="26"/>
      <c r="Y391" s="26" t="n">
        <v>31</v>
      </c>
      <c r="Z391" s="26"/>
      <c r="AA391" s="26"/>
      <c r="AB391" s="26"/>
      <c r="AC391" s="26"/>
      <c r="AD391" s="26"/>
      <c r="AE391" s="26"/>
      <c r="AF391" s="26" t="n">
        <f aca="false">SUM(U391:AE391)</f>
        <v>73</v>
      </c>
      <c r="AG391" s="26" t="n">
        <f aca="false">T391-AF391</f>
        <v>608</v>
      </c>
      <c r="AH391" s="28" t="n">
        <f aca="false">IFERROR(AG391/T391,"")</f>
        <v>0.8928046989721</v>
      </c>
      <c r="AI391" s="29" t="n">
        <f aca="false">IFERROR(R391/AG391*60,"")</f>
        <v>122.467105263158</v>
      </c>
      <c r="AJ391" s="30" t="n">
        <f aca="false">IFERROR(AI391/Q391,"")</f>
        <v>0.867475328947368</v>
      </c>
      <c r="AK391" s="31" t="n">
        <f aca="false">IFERROR(R391/(T391/60*Q391),"")</f>
        <v>0.774486049926579</v>
      </c>
      <c r="AL391" s="26"/>
      <c r="AM391" s="26" t="n">
        <v>1</v>
      </c>
      <c r="AN391" s="26" t="n">
        <v>1</v>
      </c>
      <c r="AO391" s="26" t="n">
        <v>1</v>
      </c>
      <c r="AP391" s="26" t="n">
        <v>1</v>
      </c>
      <c r="AQ391" s="26" t="n">
        <v>1</v>
      </c>
      <c r="AR391" s="26"/>
      <c r="AS391" s="26"/>
      <c r="AT391" s="26" t="n">
        <v>1</v>
      </c>
      <c r="AU391" s="26"/>
      <c r="AV391" s="26" t="n">
        <f aca="false">SUM(AL391:AU391)</f>
        <v>6</v>
      </c>
      <c r="AW391" s="32" t="n">
        <f aca="false">IFERROR(AV391/R391*1000000,"")</f>
        <v>4834.8106365834</v>
      </c>
      <c r="AX391" s="33" t="n">
        <f aca="false">IFERROR((R391-AV391)/R391,"")</f>
        <v>0.995165189363417</v>
      </c>
      <c r="AY391" s="34" t="n">
        <f aca="false">IFERROR(AH391*AJ391*AX391,"")</f>
        <v>0.770741556534508</v>
      </c>
      <c r="AZ391" s="35" t="s">
        <v>78</v>
      </c>
    </row>
    <row r="392" customFormat="false" ht="12.75" hidden="false" customHeight="true" outlineLevel="0" collapsed="false">
      <c r="A392" s="24" t="n">
        <v>388</v>
      </c>
      <c r="B392" s="25" t="n">
        <v>46152</v>
      </c>
      <c r="C392" s="25" t="n">
        <v>12</v>
      </c>
      <c r="D392" s="26" t="s">
        <v>71</v>
      </c>
      <c r="E392" s="26" t="s">
        <v>94</v>
      </c>
      <c r="F392" s="26" t="s">
        <v>81</v>
      </c>
      <c r="G392" s="26" t="s">
        <v>11</v>
      </c>
      <c r="H392" s="27" t="n">
        <v>0.354166666666667</v>
      </c>
      <c r="I392" s="27" t="n">
        <v>0.854166666666667</v>
      </c>
      <c r="J392" s="26" t="n">
        <f aca="false">IFERROR((I392-H392)*24*60,"")</f>
        <v>720</v>
      </c>
      <c r="K392" s="26" t="s">
        <v>105</v>
      </c>
      <c r="L392" s="26" t="s">
        <v>90</v>
      </c>
      <c r="M392" s="26" t="s">
        <v>95</v>
      </c>
      <c r="N392" s="26" t="s">
        <v>96</v>
      </c>
      <c r="O392" s="26" t="n">
        <v>1</v>
      </c>
      <c r="P392" s="26" t="n">
        <v>32</v>
      </c>
      <c r="Q392" s="26" t="n">
        <f aca="false">IFERROR(3600/(P392/O392),"")</f>
        <v>112.5</v>
      </c>
      <c r="R392" s="26" t="n">
        <v>955</v>
      </c>
      <c r="S392" s="26" t="n">
        <v>38</v>
      </c>
      <c r="T392" s="26" t="n">
        <f aca="false">IFERROR(J392-S392,"")</f>
        <v>682</v>
      </c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 t="n">
        <v>17</v>
      </c>
      <c r="AF392" s="26" t="n">
        <f aca="false">SUM(U392:AE392)</f>
        <v>17</v>
      </c>
      <c r="AG392" s="26" t="n">
        <f aca="false">T392-AF392</f>
        <v>665</v>
      </c>
      <c r="AH392" s="28" t="n">
        <f aca="false">IFERROR(AG392/T392,"")</f>
        <v>0.975073313782991</v>
      </c>
      <c r="AI392" s="29" t="n">
        <f aca="false">IFERROR(R392/AG392*60,"")</f>
        <v>86.1654135338346</v>
      </c>
      <c r="AJ392" s="30" t="n">
        <f aca="false">IFERROR(AI392/Q392,"")</f>
        <v>0.765914786967419</v>
      </c>
      <c r="AK392" s="31" t="n">
        <f aca="false">IFERROR(R392/(T392/60*Q392),"")</f>
        <v>0.746823069403715</v>
      </c>
      <c r="AL392" s="26"/>
      <c r="AM392" s="26"/>
      <c r="AN392" s="26"/>
      <c r="AO392" s="26"/>
      <c r="AP392" s="26" t="n">
        <v>1</v>
      </c>
      <c r="AQ392" s="26"/>
      <c r="AR392" s="26"/>
      <c r="AS392" s="26"/>
      <c r="AT392" s="26"/>
      <c r="AU392" s="26" t="n">
        <v>1</v>
      </c>
      <c r="AV392" s="26" t="n">
        <f aca="false">SUM(AL392:AU392)</f>
        <v>2</v>
      </c>
      <c r="AW392" s="32" t="n">
        <f aca="false">IFERROR(AV392/R392*1000000,"")</f>
        <v>2094.24083769634</v>
      </c>
      <c r="AX392" s="33" t="n">
        <f aca="false">IFERROR((R392-AV392)/R392,"")</f>
        <v>0.997905759162304</v>
      </c>
      <c r="AY392" s="34" t="n">
        <f aca="false">IFERROR(AH392*AJ392*AX392,"")</f>
        <v>0.745259042033236</v>
      </c>
      <c r="AZ392" s="35"/>
    </row>
    <row r="393" customFormat="false" ht="12.75" hidden="false" customHeight="true" outlineLevel="0" collapsed="false">
      <c r="A393" s="24" t="n">
        <v>389</v>
      </c>
      <c r="B393" s="25" t="n">
        <v>46152</v>
      </c>
      <c r="C393" s="25" t="n">
        <v>12</v>
      </c>
      <c r="D393" s="26" t="s">
        <v>79</v>
      </c>
      <c r="E393" s="26" t="s">
        <v>97</v>
      </c>
      <c r="F393" s="26" t="s">
        <v>73</v>
      </c>
      <c r="G393" s="26" t="s">
        <v>12</v>
      </c>
      <c r="H393" s="27" t="n">
        <v>0.354166666666667</v>
      </c>
      <c r="I393" s="27" t="n">
        <v>0.854166666666667</v>
      </c>
      <c r="J393" s="26" t="n">
        <f aca="false">IFERROR((I393-H393)*24*60,"")</f>
        <v>720</v>
      </c>
      <c r="K393" s="26" t="s">
        <v>82</v>
      </c>
      <c r="L393" s="26" t="s">
        <v>102</v>
      </c>
      <c r="M393" s="26" t="s">
        <v>99</v>
      </c>
      <c r="N393" s="26" t="s">
        <v>100</v>
      </c>
      <c r="O393" s="26" t="n">
        <v>2</v>
      </c>
      <c r="P393" s="26" t="n">
        <v>50</v>
      </c>
      <c r="Q393" s="26" t="n">
        <f aca="false">IFERROR(3600/(P393/O393),"")</f>
        <v>144</v>
      </c>
      <c r="R393" s="26" t="n">
        <v>1295</v>
      </c>
      <c r="S393" s="26" t="n">
        <v>30</v>
      </c>
      <c r="T393" s="26" t="n">
        <f aca="false">IFERROR(J393-S393,"")</f>
        <v>690</v>
      </c>
      <c r="U393" s="26"/>
      <c r="V393" s="26"/>
      <c r="W393" s="26"/>
      <c r="X393" s="26"/>
      <c r="Y393" s="26"/>
      <c r="Z393" s="26"/>
      <c r="AA393" s="26"/>
      <c r="AB393" s="26"/>
      <c r="AC393" s="26" t="n">
        <v>6</v>
      </c>
      <c r="AD393" s="26"/>
      <c r="AE393" s="26"/>
      <c r="AF393" s="26" t="n">
        <f aca="false">SUM(U393:AE393)</f>
        <v>6</v>
      </c>
      <c r="AG393" s="26" t="n">
        <f aca="false">T393-AF393</f>
        <v>684</v>
      </c>
      <c r="AH393" s="28" t="n">
        <f aca="false">IFERROR(AG393/T393,"")</f>
        <v>0.991304347826087</v>
      </c>
      <c r="AI393" s="29" t="n">
        <f aca="false">IFERROR(R393/AG393*60,"")</f>
        <v>113.59649122807</v>
      </c>
      <c r="AJ393" s="30" t="n">
        <f aca="false">IFERROR(AI393/Q393,"")</f>
        <v>0.788864522417154</v>
      </c>
      <c r="AK393" s="31" t="n">
        <f aca="false">IFERROR(R393/(T393/60*Q393),"")</f>
        <v>0.782004830917874</v>
      </c>
      <c r="AL393" s="26" t="n">
        <v>1</v>
      </c>
      <c r="AM393" s="26" t="n">
        <v>1</v>
      </c>
      <c r="AN393" s="26" t="n">
        <v>3</v>
      </c>
      <c r="AO393" s="26"/>
      <c r="AP393" s="26" t="n">
        <v>1</v>
      </c>
      <c r="AQ393" s="26" t="n">
        <v>3</v>
      </c>
      <c r="AR393" s="26" t="n">
        <v>1</v>
      </c>
      <c r="AS393" s="26" t="n">
        <v>4</v>
      </c>
      <c r="AT393" s="26" t="n">
        <v>2</v>
      </c>
      <c r="AU393" s="26"/>
      <c r="AV393" s="26" t="n">
        <f aca="false">SUM(AL393:AU393)</f>
        <v>16</v>
      </c>
      <c r="AW393" s="32" t="n">
        <f aca="false">IFERROR(AV393/R393*1000000,"")</f>
        <v>12355.2123552124</v>
      </c>
      <c r="AX393" s="33" t="n">
        <f aca="false">IFERROR((R393-AV393)/R393,"")</f>
        <v>0.987644787644788</v>
      </c>
      <c r="AY393" s="34" t="n">
        <f aca="false">IFERROR(AH393*AJ393*AX393,"")</f>
        <v>0.772342995169082</v>
      </c>
      <c r="AZ393" s="35" t="s">
        <v>86</v>
      </c>
    </row>
    <row r="394" customFormat="false" ht="12.75" hidden="false" customHeight="true" outlineLevel="0" collapsed="false">
      <c r="A394" s="24" t="n">
        <v>390</v>
      </c>
      <c r="B394" s="25" t="n">
        <v>46152</v>
      </c>
      <c r="C394" s="25" t="n">
        <v>12</v>
      </c>
      <c r="D394" s="26" t="s">
        <v>87</v>
      </c>
      <c r="E394" s="26" t="s">
        <v>101</v>
      </c>
      <c r="F394" s="26" t="s">
        <v>81</v>
      </c>
      <c r="G394" s="26" t="s">
        <v>13</v>
      </c>
      <c r="H394" s="27" t="n">
        <v>0.354166666666667</v>
      </c>
      <c r="I394" s="27" t="n">
        <v>0.854166666666667</v>
      </c>
      <c r="J394" s="26" t="n">
        <f aca="false">IFERROR((I394-H394)*24*60,"")</f>
        <v>720</v>
      </c>
      <c r="K394" s="26" t="s">
        <v>105</v>
      </c>
      <c r="L394" s="26" t="s">
        <v>102</v>
      </c>
      <c r="M394" s="26" t="s">
        <v>103</v>
      </c>
      <c r="N394" s="26" t="s">
        <v>104</v>
      </c>
      <c r="O394" s="26" t="n">
        <v>1</v>
      </c>
      <c r="P394" s="26" t="n">
        <v>44</v>
      </c>
      <c r="Q394" s="26" t="n">
        <f aca="false">IFERROR(3600/(P394/O394),"")</f>
        <v>81.8181818181818</v>
      </c>
      <c r="R394" s="26" t="n">
        <v>666</v>
      </c>
      <c r="S394" s="26" t="n">
        <v>54</v>
      </c>
      <c r="T394" s="26" t="n">
        <f aca="false">IFERROR(J394-S394,"")</f>
        <v>666</v>
      </c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 t="n">
        <v>11</v>
      </c>
      <c r="AF394" s="26" t="n">
        <f aca="false">SUM(U394:AE394)</f>
        <v>11</v>
      </c>
      <c r="AG394" s="26" t="n">
        <f aca="false">T394-AF394</f>
        <v>655</v>
      </c>
      <c r="AH394" s="28" t="n">
        <f aca="false">IFERROR(AG394/T394,"")</f>
        <v>0.983483483483484</v>
      </c>
      <c r="AI394" s="29" t="n">
        <f aca="false">IFERROR(R394/AG394*60,"")</f>
        <v>61.0076335877863</v>
      </c>
      <c r="AJ394" s="30" t="n">
        <f aca="false">IFERROR(AI394/Q394,"")</f>
        <v>0.745648854961832</v>
      </c>
      <c r="AK394" s="31" t="n">
        <f aca="false">IFERROR(R394/(T394/60*Q394),"")</f>
        <v>0.733333333333333</v>
      </c>
      <c r="AL394" s="26" t="n">
        <v>1</v>
      </c>
      <c r="AM394" s="26" t="n">
        <v>2</v>
      </c>
      <c r="AN394" s="26" t="n">
        <v>2</v>
      </c>
      <c r="AO394" s="26" t="n">
        <v>1</v>
      </c>
      <c r="AP394" s="26"/>
      <c r="AQ394" s="26"/>
      <c r="AR394" s="26" t="n">
        <v>2</v>
      </c>
      <c r="AS394" s="26" t="n">
        <v>2</v>
      </c>
      <c r="AT394" s="26" t="n">
        <v>2</v>
      </c>
      <c r="AU394" s="26"/>
      <c r="AV394" s="26" t="n">
        <f aca="false">SUM(AL394:AU394)</f>
        <v>12</v>
      </c>
      <c r="AW394" s="32" t="n">
        <f aca="false">IFERROR(AV394/R394*1000000,"")</f>
        <v>18018.018018018</v>
      </c>
      <c r="AX394" s="33" t="n">
        <f aca="false">IFERROR((R394-AV394)/R394,"")</f>
        <v>0.981981981981982</v>
      </c>
      <c r="AY394" s="34" t="n">
        <f aca="false">IFERROR(AH394*AJ394*AX394,"")</f>
        <v>0.72012012012012</v>
      </c>
      <c r="AZ394" s="35" t="s">
        <v>86</v>
      </c>
    </row>
    <row r="395" customFormat="false" ht="12.75" hidden="false" customHeight="true" outlineLevel="0" collapsed="false">
      <c r="A395" s="24" t="n">
        <v>391</v>
      </c>
      <c r="B395" s="25" t="n">
        <v>46153</v>
      </c>
      <c r="C395" s="25" t="n">
        <v>12</v>
      </c>
      <c r="D395" s="26" t="s">
        <v>71</v>
      </c>
      <c r="E395" s="26" t="s">
        <v>72</v>
      </c>
      <c r="F395" s="26" t="s">
        <v>73</v>
      </c>
      <c r="G395" s="26" t="s">
        <v>8</v>
      </c>
      <c r="H395" s="27" t="n">
        <v>0.354166666666667</v>
      </c>
      <c r="I395" s="27" t="n">
        <v>0.854166666666667</v>
      </c>
      <c r="J395" s="26" t="n">
        <f aca="false">IFERROR((I395-H395)*24*60,"")</f>
        <v>720</v>
      </c>
      <c r="K395" s="26" t="s">
        <v>82</v>
      </c>
      <c r="L395" s="26" t="s">
        <v>107</v>
      </c>
      <c r="M395" s="26" t="s">
        <v>76</v>
      </c>
      <c r="N395" s="26" t="s">
        <v>77</v>
      </c>
      <c r="O395" s="26" t="n">
        <v>2</v>
      </c>
      <c r="P395" s="26" t="n">
        <v>60</v>
      </c>
      <c r="Q395" s="26" t="n">
        <f aca="false">IFERROR(3600/(P395/O395),"")</f>
        <v>120</v>
      </c>
      <c r="R395" s="26" t="n">
        <v>1146</v>
      </c>
      <c r="S395" s="26" t="n">
        <v>42</v>
      </c>
      <c r="T395" s="26" t="n">
        <f aca="false">IFERROR(J395-S395,"")</f>
        <v>678</v>
      </c>
      <c r="U395" s="26" t="n">
        <v>33</v>
      </c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 t="n">
        <f aca="false">SUM(U395:AE395)</f>
        <v>33</v>
      </c>
      <c r="AG395" s="26" t="n">
        <f aca="false">T395-AF395</f>
        <v>645</v>
      </c>
      <c r="AH395" s="28" t="n">
        <f aca="false">IFERROR(AG395/T395,"")</f>
        <v>0.951327433628319</v>
      </c>
      <c r="AI395" s="29" t="n">
        <f aca="false">IFERROR(R395/AG395*60,"")</f>
        <v>106.604651162791</v>
      </c>
      <c r="AJ395" s="30" t="n">
        <f aca="false">IFERROR(AI395/Q395,"")</f>
        <v>0.888372093023256</v>
      </c>
      <c r="AK395" s="31" t="n">
        <f aca="false">IFERROR(R395/(T395/60*Q395),"")</f>
        <v>0.845132743362832</v>
      </c>
      <c r="AL395" s="26"/>
      <c r="AM395" s="26" t="n">
        <v>1</v>
      </c>
      <c r="AN395" s="26" t="n">
        <v>3</v>
      </c>
      <c r="AO395" s="26" t="n">
        <v>1</v>
      </c>
      <c r="AP395" s="26"/>
      <c r="AQ395" s="26"/>
      <c r="AR395" s="26" t="n">
        <v>2</v>
      </c>
      <c r="AS395" s="26"/>
      <c r="AT395" s="26"/>
      <c r="AU395" s="26" t="n">
        <v>3</v>
      </c>
      <c r="AV395" s="26" t="n">
        <f aca="false">SUM(AL395:AU395)</f>
        <v>10</v>
      </c>
      <c r="AW395" s="32" t="n">
        <f aca="false">IFERROR(AV395/R395*1000000,"")</f>
        <v>8726.0034904014</v>
      </c>
      <c r="AX395" s="33" t="n">
        <f aca="false">IFERROR((R395-AV395)/R395,"")</f>
        <v>0.991273996509599</v>
      </c>
      <c r="AY395" s="34" t="n">
        <f aca="false">IFERROR(AH395*AJ395*AX395,"")</f>
        <v>0.837758112094395</v>
      </c>
      <c r="AZ395" s="35" t="s">
        <v>93</v>
      </c>
    </row>
    <row r="396" customFormat="false" ht="12.75" hidden="false" customHeight="true" outlineLevel="0" collapsed="false">
      <c r="A396" s="24" t="n">
        <v>392</v>
      </c>
      <c r="B396" s="25" t="n">
        <v>46153</v>
      </c>
      <c r="C396" s="25" t="n">
        <v>12</v>
      </c>
      <c r="D396" s="26" t="s">
        <v>79</v>
      </c>
      <c r="E396" s="26" t="s">
        <v>80</v>
      </c>
      <c r="F396" s="26" t="s">
        <v>81</v>
      </c>
      <c r="G396" s="26" t="s">
        <v>9</v>
      </c>
      <c r="H396" s="27" t="n">
        <v>0.354166666666667</v>
      </c>
      <c r="I396" s="27" t="n">
        <v>0.854166666666667</v>
      </c>
      <c r="J396" s="26" t="n">
        <f aca="false">IFERROR((I396-H396)*24*60,"")</f>
        <v>720</v>
      </c>
      <c r="K396" s="26" t="s">
        <v>74</v>
      </c>
      <c r="L396" s="26" t="s">
        <v>90</v>
      </c>
      <c r="M396" s="26" t="s">
        <v>84</v>
      </c>
      <c r="N396" s="26" t="s">
        <v>85</v>
      </c>
      <c r="O396" s="26" t="n">
        <v>2</v>
      </c>
      <c r="P396" s="26" t="n">
        <v>39</v>
      </c>
      <c r="Q396" s="26" t="n">
        <f aca="false">IFERROR(3600/(P396/O396),"")</f>
        <v>184.615384615385</v>
      </c>
      <c r="R396" s="26" t="n">
        <v>1859</v>
      </c>
      <c r="S396" s="26" t="n">
        <v>45</v>
      </c>
      <c r="T396" s="26" t="n">
        <f aca="false">IFERROR(J396-S396,"")</f>
        <v>675</v>
      </c>
      <c r="U396" s="26"/>
      <c r="V396" s="26"/>
      <c r="W396" s="26"/>
      <c r="X396" s="26" t="n">
        <v>26</v>
      </c>
      <c r="Y396" s="26"/>
      <c r="Z396" s="26"/>
      <c r="AA396" s="26"/>
      <c r="AB396" s="26"/>
      <c r="AC396" s="26" t="n">
        <v>21</v>
      </c>
      <c r="AD396" s="26"/>
      <c r="AE396" s="26"/>
      <c r="AF396" s="26" t="n">
        <f aca="false">SUM(U396:AE396)</f>
        <v>47</v>
      </c>
      <c r="AG396" s="26" t="n">
        <f aca="false">T396-AF396</f>
        <v>628</v>
      </c>
      <c r="AH396" s="28" t="n">
        <f aca="false">IFERROR(AG396/T396,"")</f>
        <v>0.93037037037037</v>
      </c>
      <c r="AI396" s="29" t="n">
        <f aca="false">IFERROR(R396/AG396*60,"")</f>
        <v>177.611464968153</v>
      </c>
      <c r="AJ396" s="30" t="n">
        <f aca="false">IFERROR(AI396/Q396,"")</f>
        <v>0.962062101910828</v>
      </c>
      <c r="AK396" s="31" t="n">
        <f aca="false">IFERROR(R396/(T396/60*Q396),"")</f>
        <v>0.895074074074074</v>
      </c>
      <c r="AL396" s="26"/>
      <c r="AM396" s="26" t="n">
        <v>1</v>
      </c>
      <c r="AN396" s="26" t="n">
        <v>1</v>
      </c>
      <c r="AO396" s="26" t="n">
        <v>1</v>
      </c>
      <c r="AP396" s="26" t="n">
        <v>3</v>
      </c>
      <c r="AQ396" s="26"/>
      <c r="AR396" s="26" t="n">
        <v>2</v>
      </c>
      <c r="AS396" s="26" t="n">
        <v>3</v>
      </c>
      <c r="AT396" s="26" t="n">
        <v>1</v>
      </c>
      <c r="AU396" s="26"/>
      <c r="AV396" s="26" t="n">
        <f aca="false">SUM(AL396:AU396)</f>
        <v>12</v>
      </c>
      <c r="AW396" s="32" t="n">
        <f aca="false">IFERROR(AV396/R396*1000000,"")</f>
        <v>6455.0833781603</v>
      </c>
      <c r="AX396" s="33" t="n">
        <f aca="false">IFERROR((R396-AV396)/R396,"")</f>
        <v>0.99354491662184</v>
      </c>
      <c r="AY396" s="34" t="n">
        <f aca="false">IFERROR(AH396*AJ396*AX396,"")</f>
        <v>0.889296296296297</v>
      </c>
      <c r="AZ396" s="35" t="s">
        <v>93</v>
      </c>
    </row>
    <row r="397" customFormat="false" ht="12.75" hidden="false" customHeight="true" outlineLevel="0" collapsed="false">
      <c r="A397" s="24" t="n">
        <v>393</v>
      </c>
      <c r="B397" s="25" t="n">
        <v>46153</v>
      </c>
      <c r="C397" s="25" t="n">
        <v>12</v>
      </c>
      <c r="D397" s="26" t="s">
        <v>87</v>
      </c>
      <c r="E397" s="26" t="s">
        <v>88</v>
      </c>
      <c r="F397" s="26" t="s">
        <v>73</v>
      </c>
      <c r="G397" s="26" t="s">
        <v>10</v>
      </c>
      <c r="H397" s="27" t="n">
        <v>0.354166666666667</v>
      </c>
      <c r="I397" s="27" t="n">
        <v>0.854166666666667</v>
      </c>
      <c r="J397" s="26" t="n">
        <f aca="false">IFERROR((I397-H397)*24*60,"")</f>
        <v>720</v>
      </c>
      <c r="K397" s="26" t="s">
        <v>74</v>
      </c>
      <c r="L397" s="26" t="s">
        <v>75</v>
      </c>
      <c r="M397" s="26" t="s">
        <v>91</v>
      </c>
      <c r="N397" s="26" t="s">
        <v>92</v>
      </c>
      <c r="O397" s="26" t="n">
        <v>8</v>
      </c>
      <c r="P397" s="26" t="n">
        <v>63</v>
      </c>
      <c r="Q397" s="26" t="n">
        <f aca="false">IFERROR(3600/(P397/O397),"")</f>
        <v>457.142857142857</v>
      </c>
      <c r="R397" s="26" t="n">
        <v>4603</v>
      </c>
      <c r="S397" s="26" t="n">
        <v>46</v>
      </c>
      <c r="T397" s="26" t="n">
        <f aca="false">IFERROR(J397-S397,"")</f>
        <v>674</v>
      </c>
      <c r="U397" s="26"/>
      <c r="V397" s="26"/>
      <c r="W397" s="26"/>
      <c r="X397" s="26"/>
      <c r="Y397" s="26"/>
      <c r="Z397" s="26"/>
      <c r="AA397" s="26"/>
      <c r="AB397" s="26" t="n">
        <v>8</v>
      </c>
      <c r="AC397" s="26"/>
      <c r="AD397" s="26"/>
      <c r="AE397" s="26"/>
      <c r="AF397" s="26" t="n">
        <f aca="false">SUM(U397:AE397)</f>
        <v>8</v>
      </c>
      <c r="AG397" s="26" t="n">
        <f aca="false">T397-AF397</f>
        <v>666</v>
      </c>
      <c r="AH397" s="28" t="n">
        <f aca="false">IFERROR(AG397/T397,"")</f>
        <v>0.98813056379822</v>
      </c>
      <c r="AI397" s="29" t="n">
        <f aca="false">IFERROR(R397/AG397*60,"")</f>
        <v>414.684684684685</v>
      </c>
      <c r="AJ397" s="30" t="n">
        <f aca="false">IFERROR(AI397/Q397,"")</f>
        <v>0.907122747747748</v>
      </c>
      <c r="AK397" s="31" t="n">
        <f aca="false">IFERROR(R397/(T397/60*Q397),"")</f>
        <v>0.896355712166172</v>
      </c>
      <c r="AL397" s="26" t="n">
        <v>9</v>
      </c>
      <c r="AM397" s="26" t="n">
        <v>6</v>
      </c>
      <c r="AN397" s="26" t="n">
        <v>9</v>
      </c>
      <c r="AO397" s="26" t="n">
        <v>8</v>
      </c>
      <c r="AP397" s="26" t="n">
        <v>3</v>
      </c>
      <c r="AQ397" s="26" t="n">
        <v>8</v>
      </c>
      <c r="AR397" s="26" t="n">
        <v>3</v>
      </c>
      <c r="AS397" s="26" t="n">
        <v>9</v>
      </c>
      <c r="AT397" s="26" t="n">
        <v>10</v>
      </c>
      <c r="AU397" s="26" t="n">
        <v>8</v>
      </c>
      <c r="AV397" s="26" t="n">
        <f aca="false">SUM(AL397:AU397)</f>
        <v>73</v>
      </c>
      <c r="AW397" s="32" t="n">
        <f aca="false">IFERROR(AV397/R397*1000000,"")</f>
        <v>15859.2222463611</v>
      </c>
      <c r="AX397" s="33" t="n">
        <f aca="false">IFERROR((R397-AV397)/R397,"")</f>
        <v>0.984140777753639</v>
      </c>
      <c r="AY397" s="34" t="n">
        <f aca="false">IFERROR(AH397*AJ397*AX397,"")</f>
        <v>0.882140207715134</v>
      </c>
      <c r="AZ397" s="35" t="s">
        <v>78</v>
      </c>
    </row>
    <row r="398" customFormat="false" ht="12.75" hidden="false" customHeight="true" outlineLevel="0" collapsed="false">
      <c r="A398" s="24" t="n">
        <v>394</v>
      </c>
      <c r="B398" s="25" t="n">
        <v>46154</v>
      </c>
      <c r="C398" s="25" t="n">
        <v>12</v>
      </c>
      <c r="D398" s="26" t="s">
        <v>71</v>
      </c>
      <c r="E398" s="26" t="s">
        <v>94</v>
      </c>
      <c r="F398" s="26" t="s">
        <v>81</v>
      </c>
      <c r="G398" s="26" t="s">
        <v>11</v>
      </c>
      <c r="H398" s="27" t="n">
        <v>0.354166666666667</v>
      </c>
      <c r="I398" s="27" t="n">
        <v>0.854166666666667</v>
      </c>
      <c r="J398" s="26" t="n">
        <f aca="false">IFERROR((I398-H398)*24*60,"")</f>
        <v>720</v>
      </c>
      <c r="K398" s="26" t="s">
        <v>89</v>
      </c>
      <c r="L398" s="26" t="s">
        <v>102</v>
      </c>
      <c r="M398" s="26" t="s">
        <v>95</v>
      </c>
      <c r="N398" s="26" t="s">
        <v>96</v>
      </c>
      <c r="O398" s="26" t="n">
        <v>2</v>
      </c>
      <c r="P398" s="26" t="n">
        <v>73</v>
      </c>
      <c r="Q398" s="26" t="n">
        <f aca="false">IFERROR(3600/(P398/O398),"")</f>
        <v>98.6301369863014</v>
      </c>
      <c r="R398" s="26" t="n">
        <v>1112</v>
      </c>
      <c r="S398" s="26" t="n">
        <v>31</v>
      </c>
      <c r="T398" s="26" t="n">
        <f aca="false">IFERROR(J398-S398,"")</f>
        <v>689</v>
      </c>
      <c r="U398" s="26"/>
      <c r="V398" s="26" t="n">
        <v>3</v>
      </c>
      <c r="W398" s="26"/>
      <c r="X398" s="26"/>
      <c r="Y398" s="26" t="n">
        <v>12</v>
      </c>
      <c r="Z398" s="26" t="n">
        <v>14</v>
      </c>
      <c r="AA398" s="26"/>
      <c r="AB398" s="26"/>
      <c r="AC398" s="26"/>
      <c r="AD398" s="26"/>
      <c r="AE398" s="26"/>
      <c r="AF398" s="26" t="n">
        <f aca="false">SUM(U398:AE398)</f>
        <v>29</v>
      </c>
      <c r="AG398" s="26" t="n">
        <f aca="false">T398-AF398</f>
        <v>660</v>
      </c>
      <c r="AH398" s="28" t="n">
        <f aca="false">IFERROR(AG398/T398,"")</f>
        <v>0.957910014513788</v>
      </c>
      <c r="AI398" s="29" t="n">
        <f aca="false">IFERROR(R398/AG398*60,"")</f>
        <v>101.090909090909</v>
      </c>
      <c r="AJ398" s="30" t="n">
        <f aca="false">IFERROR(AI398/Q398,"")</f>
        <v>1.0249494949495</v>
      </c>
      <c r="AK398" s="31" t="n">
        <f aca="false">IFERROR(R398/(T398/60*Q398),"")</f>
        <v>0.981809385582971</v>
      </c>
      <c r="AL398" s="26" t="n">
        <v>2</v>
      </c>
      <c r="AM398" s="26"/>
      <c r="AN398" s="26"/>
      <c r="AO398" s="26" t="n">
        <v>2</v>
      </c>
      <c r="AP398" s="26" t="n">
        <v>1</v>
      </c>
      <c r="AQ398" s="26"/>
      <c r="AR398" s="26"/>
      <c r="AS398" s="26"/>
      <c r="AT398" s="26" t="n">
        <v>1</v>
      </c>
      <c r="AU398" s="26" t="n">
        <v>1</v>
      </c>
      <c r="AV398" s="26" t="n">
        <f aca="false">SUM(AL398:AU398)</f>
        <v>7</v>
      </c>
      <c r="AW398" s="32" t="n">
        <f aca="false">IFERROR(AV398/R398*1000000,"")</f>
        <v>6294.96402877698</v>
      </c>
      <c r="AX398" s="33" t="n">
        <f aca="false">IFERROR((R398-AV398)/R398,"")</f>
        <v>0.993705035971223</v>
      </c>
      <c r="AY398" s="34" t="n">
        <f aca="false">IFERROR(AH398*AJ398*AX398,"")</f>
        <v>0.97562893081761</v>
      </c>
      <c r="AZ398" s="35" t="s">
        <v>78</v>
      </c>
    </row>
    <row r="399" customFormat="false" ht="12.75" hidden="false" customHeight="true" outlineLevel="0" collapsed="false">
      <c r="A399" s="24" t="n">
        <v>395</v>
      </c>
      <c r="B399" s="25" t="n">
        <v>46154</v>
      </c>
      <c r="C399" s="25" t="n">
        <v>12</v>
      </c>
      <c r="D399" s="26" t="s">
        <v>79</v>
      </c>
      <c r="E399" s="26" t="s">
        <v>97</v>
      </c>
      <c r="F399" s="26" t="s">
        <v>73</v>
      </c>
      <c r="G399" s="26" t="s">
        <v>12</v>
      </c>
      <c r="H399" s="27" t="n">
        <v>0.354166666666667</v>
      </c>
      <c r="I399" s="27" t="n">
        <v>0.854166666666667</v>
      </c>
      <c r="J399" s="26" t="n">
        <f aca="false">IFERROR((I399-H399)*24*60,"")</f>
        <v>720</v>
      </c>
      <c r="K399" s="26" t="s">
        <v>105</v>
      </c>
      <c r="L399" s="26" t="s">
        <v>107</v>
      </c>
      <c r="M399" s="26" t="s">
        <v>99</v>
      </c>
      <c r="N399" s="26" t="s">
        <v>100</v>
      </c>
      <c r="O399" s="26" t="n">
        <v>1</v>
      </c>
      <c r="P399" s="26" t="n">
        <v>62</v>
      </c>
      <c r="Q399" s="26" t="n">
        <f aca="false">IFERROR(3600/(P399/O399),"")</f>
        <v>58.0645161290323</v>
      </c>
      <c r="R399" s="26" t="n">
        <v>607</v>
      </c>
      <c r="S399" s="26" t="n">
        <v>43</v>
      </c>
      <c r="T399" s="26" t="n">
        <f aca="false">IFERROR(J399-S399,"")</f>
        <v>677</v>
      </c>
      <c r="U399" s="26" t="n">
        <v>28</v>
      </c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 t="n">
        <f aca="false">SUM(U399:AE399)</f>
        <v>28</v>
      </c>
      <c r="AG399" s="26" t="n">
        <f aca="false">T399-AF399</f>
        <v>649</v>
      </c>
      <c r="AH399" s="28" t="n">
        <f aca="false">IFERROR(AG399/T399,"")</f>
        <v>0.95864106351551</v>
      </c>
      <c r="AI399" s="29" t="n">
        <f aca="false">IFERROR(R399/AG399*60,"")</f>
        <v>56.1171032357473</v>
      </c>
      <c r="AJ399" s="30" t="n">
        <f aca="false">IFERROR(AI399/Q399,"")</f>
        <v>0.966461222393426</v>
      </c>
      <c r="AK399" s="31" t="n">
        <f aca="false">IFERROR(R399/(T399/60*Q399),"")</f>
        <v>0.926489414081733</v>
      </c>
      <c r="AL399" s="26" t="n">
        <v>1</v>
      </c>
      <c r="AM399" s="26" t="n">
        <v>2</v>
      </c>
      <c r="AN399" s="26" t="n">
        <v>3</v>
      </c>
      <c r="AO399" s="26" t="n">
        <v>1</v>
      </c>
      <c r="AP399" s="26"/>
      <c r="AQ399" s="26"/>
      <c r="AR399" s="26" t="n">
        <v>1</v>
      </c>
      <c r="AS399" s="26" t="n">
        <v>2</v>
      </c>
      <c r="AT399" s="26"/>
      <c r="AU399" s="26"/>
      <c r="AV399" s="26" t="n">
        <f aca="false">SUM(AL399:AU399)</f>
        <v>10</v>
      </c>
      <c r="AW399" s="32" t="n">
        <f aca="false">IFERROR(AV399/R399*1000000,"")</f>
        <v>16474.4645799012</v>
      </c>
      <c r="AX399" s="33" t="n">
        <f aca="false">IFERROR((R399-AV399)/R399,"")</f>
        <v>0.983525535420099</v>
      </c>
      <c r="AY399" s="34" t="n">
        <f aca="false">IFERROR(AH399*AJ399*AX399,"")</f>
        <v>0.91122599704579</v>
      </c>
      <c r="AZ399" s="35" t="s">
        <v>78</v>
      </c>
    </row>
    <row r="400" customFormat="false" ht="12.75" hidden="false" customHeight="true" outlineLevel="0" collapsed="false">
      <c r="A400" s="24" t="n">
        <v>396</v>
      </c>
      <c r="B400" s="25" t="n">
        <v>46154</v>
      </c>
      <c r="C400" s="25" t="n">
        <v>12</v>
      </c>
      <c r="D400" s="26" t="s">
        <v>87</v>
      </c>
      <c r="E400" s="26" t="s">
        <v>101</v>
      </c>
      <c r="F400" s="26" t="s">
        <v>81</v>
      </c>
      <c r="G400" s="26" t="s">
        <v>13</v>
      </c>
      <c r="H400" s="27" t="n">
        <v>0.354166666666667</v>
      </c>
      <c r="I400" s="27" t="n">
        <v>0.854166666666667</v>
      </c>
      <c r="J400" s="26" t="n">
        <f aca="false">IFERROR((I400-H400)*24*60,"")</f>
        <v>720</v>
      </c>
      <c r="K400" s="26" t="s">
        <v>74</v>
      </c>
      <c r="L400" s="26" t="s">
        <v>90</v>
      </c>
      <c r="M400" s="26" t="s">
        <v>103</v>
      </c>
      <c r="N400" s="26" t="s">
        <v>104</v>
      </c>
      <c r="O400" s="26" t="n">
        <v>8</v>
      </c>
      <c r="P400" s="26" t="n">
        <v>30</v>
      </c>
      <c r="Q400" s="26" t="n">
        <f aca="false">IFERROR(3600/(P400/O400),"")</f>
        <v>960</v>
      </c>
      <c r="R400" s="26" t="n">
        <v>7627</v>
      </c>
      <c r="S400" s="26" t="n">
        <v>37</v>
      </c>
      <c r="T400" s="26" t="n">
        <f aca="false">IFERROR(J400-S400,"")</f>
        <v>683</v>
      </c>
      <c r="U400" s="26"/>
      <c r="V400" s="26" t="n">
        <v>4</v>
      </c>
      <c r="W400" s="26"/>
      <c r="X400" s="26"/>
      <c r="Y400" s="26"/>
      <c r="Z400" s="26"/>
      <c r="AA400" s="26"/>
      <c r="AB400" s="26"/>
      <c r="AC400" s="26"/>
      <c r="AD400" s="26"/>
      <c r="AE400" s="26"/>
      <c r="AF400" s="26" t="n">
        <f aca="false">SUM(U400:AE400)</f>
        <v>4</v>
      </c>
      <c r="AG400" s="26" t="n">
        <f aca="false">T400-AF400</f>
        <v>679</v>
      </c>
      <c r="AH400" s="28" t="n">
        <f aca="false">IFERROR(AG400/T400,"")</f>
        <v>0.994143484626647</v>
      </c>
      <c r="AI400" s="29" t="n">
        <f aca="false">IFERROR(R400/AG400*60,"")</f>
        <v>673.961708394698</v>
      </c>
      <c r="AJ400" s="30" t="n">
        <f aca="false">IFERROR(AI400/Q400,"")</f>
        <v>0.702043446244477</v>
      </c>
      <c r="AK400" s="31" t="n">
        <f aca="false">IFERROR(R400/(T400/60*Q400),"")</f>
        <v>0.697931918008785</v>
      </c>
      <c r="AL400" s="26" t="n">
        <v>16</v>
      </c>
      <c r="AM400" s="26" t="n">
        <v>10</v>
      </c>
      <c r="AN400" s="26" t="n">
        <v>18</v>
      </c>
      <c r="AO400" s="26" t="n">
        <v>13</v>
      </c>
      <c r="AP400" s="26" t="n">
        <v>12</v>
      </c>
      <c r="AQ400" s="26" t="n">
        <v>13</v>
      </c>
      <c r="AR400" s="26" t="n">
        <v>11</v>
      </c>
      <c r="AS400" s="26" t="n">
        <v>9</v>
      </c>
      <c r="AT400" s="26" t="n">
        <v>9</v>
      </c>
      <c r="AU400" s="26" t="n">
        <v>12</v>
      </c>
      <c r="AV400" s="26" t="n">
        <f aca="false">SUM(AL400:AU400)</f>
        <v>123</v>
      </c>
      <c r="AW400" s="32" t="n">
        <f aca="false">IFERROR(AV400/R400*1000000,"")</f>
        <v>16126.9175298282</v>
      </c>
      <c r="AX400" s="33" t="n">
        <f aca="false">IFERROR((R400-AV400)/R400,"")</f>
        <v>0.983873082470172</v>
      </c>
      <c r="AY400" s="34" t="n">
        <f aca="false">IFERROR(AH400*AJ400*AX400,"")</f>
        <v>0.686676427525622</v>
      </c>
      <c r="AZ400" s="35" t="s">
        <v>78</v>
      </c>
    </row>
    <row r="401" customFormat="false" ht="12.75" hidden="false" customHeight="true" outlineLevel="0" collapsed="false">
      <c r="A401" s="24" t="n">
        <v>397</v>
      </c>
      <c r="B401" s="25" t="n">
        <v>46155</v>
      </c>
      <c r="C401" s="25" t="n">
        <v>12</v>
      </c>
      <c r="D401" s="26" t="s">
        <v>71</v>
      </c>
      <c r="E401" s="26" t="s">
        <v>72</v>
      </c>
      <c r="F401" s="26" t="s">
        <v>73</v>
      </c>
      <c r="G401" s="26" t="s">
        <v>8</v>
      </c>
      <c r="H401" s="27" t="n">
        <v>0.354166666666667</v>
      </c>
      <c r="I401" s="27" t="n">
        <v>0.854166666666667</v>
      </c>
      <c r="J401" s="26" t="n">
        <f aca="false">IFERROR((I401-H401)*24*60,"")</f>
        <v>720</v>
      </c>
      <c r="K401" s="26" t="s">
        <v>105</v>
      </c>
      <c r="L401" s="26" t="s">
        <v>90</v>
      </c>
      <c r="M401" s="26" t="s">
        <v>76</v>
      </c>
      <c r="N401" s="26" t="s">
        <v>77</v>
      </c>
      <c r="O401" s="26" t="n">
        <v>8</v>
      </c>
      <c r="P401" s="26" t="n">
        <v>55</v>
      </c>
      <c r="Q401" s="26" t="n">
        <f aca="false">IFERROR(3600/(P401/O401),"")</f>
        <v>523.636363636364</v>
      </c>
      <c r="R401" s="26" t="n">
        <v>5006</v>
      </c>
      <c r="S401" s="26" t="n">
        <v>31</v>
      </c>
      <c r="T401" s="26" t="n">
        <f aca="false">IFERROR(J401-S401,"")</f>
        <v>689</v>
      </c>
      <c r="U401" s="26"/>
      <c r="V401" s="26"/>
      <c r="W401" s="26"/>
      <c r="X401" s="26"/>
      <c r="Y401" s="26" t="n">
        <v>16</v>
      </c>
      <c r="Z401" s="26" t="n">
        <v>17</v>
      </c>
      <c r="AA401" s="26"/>
      <c r="AB401" s="26"/>
      <c r="AC401" s="26"/>
      <c r="AD401" s="26" t="n">
        <v>23</v>
      </c>
      <c r="AE401" s="26"/>
      <c r="AF401" s="26" t="n">
        <f aca="false">SUM(U401:AE401)</f>
        <v>56</v>
      </c>
      <c r="AG401" s="26" t="n">
        <f aca="false">T401-AF401</f>
        <v>633</v>
      </c>
      <c r="AH401" s="28" t="n">
        <f aca="false">IFERROR(AG401/T401,"")</f>
        <v>0.918722786647315</v>
      </c>
      <c r="AI401" s="29" t="n">
        <f aca="false">IFERROR(R401/AG401*60,"")</f>
        <v>474.502369668246</v>
      </c>
      <c r="AJ401" s="30" t="n">
        <f aca="false">IFERROR(AI401/Q401,"")</f>
        <v>0.906167719852554</v>
      </c>
      <c r="AK401" s="31" t="n">
        <f aca="false">IFERROR(R401/(T401/60*Q401),"")</f>
        <v>0.832516932752782</v>
      </c>
      <c r="AL401" s="26" t="n">
        <v>1</v>
      </c>
      <c r="AM401" s="26" t="n">
        <v>2</v>
      </c>
      <c r="AN401" s="26" t="n">
        <v>2</v>
      </c>
      <c r="AO401" s="26" t="n">
        <v>1</v>
      </c>
      <c r="AP401" s="26" t="n">
        <v>3</v>
      </c>
      <c r="AQ401" s="26" t="n">
        <v>2</v>
      </c>
      <c r="AR401" s="26" t="n">
        <v>2</v>
      </c>
      <c r="AS401" s="26" t="n">
        <v>3</v>
      </c>
      <c r="AT401" s="26"/>
      <c r="AU401" s="26" t="n">
        <v>1</v>
      </c>
      <c r="AV401" s="26" t="n">
        <f aca="false">SUM(AL401:AU401)</f>
        <v>17</v>
      </c>
      <c r="AW401" s="32" t="n">
        <f aca="false">IFERROR(AV401/R401*1000000,"")</f>
        <v>3395.92489013184</v>
      </c>
      <c r="AX401" s="33" t="n">
        <f aca="false">IFERROR((R401-AV401)/R401,"")</f>
        <v>0.996604075109868</v>
      </c>
      <c r="AY401" s="34" t="n">
        <f aca="false">IFERROR(AH401*AJ401*AX401,"")</f>
        <v>0.82968976777939</v>
      </c>
      <c r="AZ401" s="35" t="s">
        <v>78</v>
      </c>
    </row>
    <row r="402" customFormat="false" ht="12.75" hidden="false" customHeight="true" outlineLevel="0" collapsed="false">
      <c r="A402" s="24" t="n">
        <v>398</v>
      </c>
      <c r="B402" s="25" t="n">
        <v>46155</v>
      </c>
      <c r="C402" s="25" t="n">
        <v>12</v>
      </c>
      <c r="D402" s="26" t="s">
        <v>79</v>
      </c>
      <c r="E402" s="26" t="s">
        <v>80</v>
      </c>
      <c r="F402" s="26" t="s">
        <v>81</v>
      </c>
      <c r="G402" s="26" t="s">
        <v>9</v>
      </c>
      <c r="H402" s="27" t="n">
        <v>0.354166666666667</v>
      </c>
      <c r="I402" s="27" t="n">
        <v>0.854166666666667</v>
      </c>
      <c r="J402" s="26" t="n">
        <f aca="false">IFERROR((I402-H402)*24*60,"")</f>
        <v>720</v>
      </c>
      <c r="K402" s="26" t="s">
        <v>105</v>
      </c>
      <c r="L402" s="26" t="s">
        <v>106</v>
      </c>
      <c r="M402" s="26" t="s">
        <v>84</v>
      </c>
      <c r="N402" s="26" t="s">
        <v>85</v>
      </c>
      <c r="O402" s="26" t="n">
        <v>1</v>
      </c>
      <c r="P402" s="26" t="n">
        <v>37</v>
      </c>
      <c r="Q402" s="26" t="n">
        <f aca="false">IFERROR(3600/(P402/O402),"")</f>
        <v>97.2972972972973</v>
      </c>
      <c r="R402" s="26" t="n">
        <v>748</v>
      </c>
      <c r="S402" s="26" t="n">
        <v>62</v>
      </c>
      <c r="T402" s="26" t="n">
        <f aca="false">IFERROR(J402-S402,"")</f>
        <v>658</v>
      </c>
      <c r="U402" s="26"/>
      <c r="V402" s="26" t="n">
        <v>4</v>
      </c>
      <c r="W402" s="26"/>
      <c r="X402" s="26"/>
      <c r="Y402" s="26"/>
      <c r="Z402" s="26"/>
      <c r="AA402" s="26"/>
      <c r="AB402" s="26" t="n">
        <v>12</v>
      </c>
      <c r="AC402" s="26" t="n">
        <v>9</v>
      </c>
      <c r="AD402" s="26"/>
      <c r="AE402" s="26"/>
      <c r="AF402" s="26" t="n">
        <f aca="false">SUM(U402:AE402)</f>
        <v>25</v>
      </c>
      <c r="AG402" s="26" t="n">
        <f aca="false">T402-AF402</f>
        <v>633</v>
      </c>
      <c r="AH402" s="28" t="n">
        <f aca="false">IFERROR(AG402/T402,"")</f>
        <v>0.962006079027356</v>
      </c>
      <c r="AI402" s="29" t="n">
        <f aca="false">IFERROR(R402/AG402*60,"")</f>
        <v>70.9004739336493</v>
      </c>
      <c r="AJ402" s="30" t="n">
        <f aca="false">IFERROR(AI402/Q402,"")</f>
        <v>0.728699315429173</v>
      </c>
      <c r="AK402" s="31" t="n">
        <f aca="false">IFERROR(R402/(T402/60*Q402),"")</f>
        <v>0.701013171225937</v>
      </c>
      <c r="AL402" s="26" t="n">
        <v>2</v>
      </c>
      <c r="AM402" s="26" t="n">
        <v>1</v>
      </c>
      <c r="AN402" s="26" t="n">
        <v>1</v>
      </c>
      <c r="AO402" s="26"/>
      <c r="AP402" s="26"/>
      <c r="AQ402" s="26"/>
      <c r="AR402" s="26" t="n">
        <v>1</v>
      </c>
      <c r="AS402" s="26" t="n">
        <v>1</v>
      </c>
      <c r="AT402" s="26" t="n">
        <v>2</v>
      </c>
      <c r="AU402" s="26"/>
      <c r="AV402" s="26" t="n">
        <f aca="false">SUM(AL402:AU402)</f>
        <v>8</v>
      </c>
      <c r="AW402" s="32" t="n">
        <f aca="false">IFERROR(AV402/R402*1000000,"")</f>
        <v>10695.1871657754</v>
      </c>
      <c r="AX402" s="33" t="n">
        <f aca="false">IFERROR((R402-AV402)/R402,"")</f>
        <v>0.989304812834225</v>
      </c>
      <c r="AY402" s="34" t="n">
        <f aca="false">IFERROR(AH402*AJ402*AX402,"")</f>
        <v>0.693515704154002</v>
      </c>
      <c r="AZ402" s="35"/>
    </row>
    <row r="403" customFormat="false" ht="12.75" hidden="false" customHeight="true" outlineLevel="0" collapsed="false">
      <c r="A403" s="24" t="n">
        <v>399</v>
      </c>
      <c r="B403" s="25" t="n">
        <v>46155</v>
      </c>
      <c r="C403" s="25" t="n">
        <v>12</v>
      </c>
      <c r="D403" s="26" t="s">
        <v>87</v>
      </c>
      <c r="E403" s="26" t="s">
        <v>88</v>
      </c>
      <c r="F403" s="26" t="s">
        <v>73</v>
      </c>
      <c r="G403" s="26" t="s">
        <v>10</v>
      </c>
      <c r="H403" s="27" t="n">
        <v>0.354166666666667</v>
      </c>
      <c r="I403" s="27" t="n">
        <v>0.854166666666667</v>
      </c>
      <c r="J403" s="26" t="n">
        <f aca="false">IFERROR((I403-H403)*24*60,"")</f>
        <v>720</v>
      </c>
      <c r="K403" s="26" t="s">
        <v>89</v>
      </c>
      <c r="L403" s="26" t="s">
        <v>107</v>
      </c>
      <c r="M403" s="26" t="s">
        <v>91</v>
      </c>
      <c r="N403" s="26" t="s">
        <v>92</v>
      </c>
      <c r="O403" s="26" t="n">
        <v>1</v>
      </c>
      <c r="P403" s="26" t="n">
        <v>70</v>
      </c>
      <c r="Q403" s="26" t="n">
        <f aca="false">IFERROR(3600/(P403/O403),"")</f>
        <v>51.4285714285714</v>
      </c>
      <c r="R403" s="26" t="n">
        <v>424</v>
      </c>
      <c r="S403" s="26" t="n">
        <v>36</v>
      </c>
      <c r="T403" s="26" t="n">
        <f aca="false">IFERROR(J403-S403,"")</f>
        <v>684</v>
      </c>
      <c r="U403" s="26" t="n">
        <v>14</v>
      </c>
      <c r="V403" s="26" t="n">
        <v>6</v>
      </c>
      <c r="W403" s="26"/>
      <c r="X403" s="26"/>
      <c r="Y403" s="26"/>
      <c r="Z403" s="26"/>
      <c r="AA403" s="26"/>
      <c r="AB403" s="26"/>
      <c r="AC403" s="26"/>
      <c r="AD403" s="26"/>
      <c r="AE403" s="26"/>
      <c r="AF403" s="26" t="n">
        <f aca="false">SUM(U403:AE403)</f>
        <v>20</v>
      </c>
      <c r="AG403" s="26" t="n">
        <f aca="false">T403-AF403</f>
        <v>664</v>
      </c>
      <c r="AH403" s="28" t="n">
        <f aca="false">IFERROR(AG403/T403,"")</f>
        <v>0.970760233918129</v>
      </c>
      <c r="AI403" s="29" t="n">
        <f aca="false">IFERROR(R403/AG403*60,"")</f>
        <v>38.3132530120482</v>
      </c>
      <c r="AJ403" s="30" t="n">
        <f aca="false">IFERROR(AI403/Q403,"")</f>
        <v>0.744979919678715</v>
      </c>
      <c r="AK403" s="31" t="n">
        <f aca="false">IFERROR(R403/(T403/60*Q403),"")</f>
        <v>0.723196881091618</v>
      </c>
      <c r="AL403" s="26" t="n">
        <v>1</v>
      </c>
      <c r="AM403" s="26"/>
      <c r="AN403" s="26"/>
      <c r="AO403" s="26"/>
      <c r="AP403" s="26"/>
      <c r="AQ403" s="26"/>
      <c r="AR403" s="26" t="n">
        <v>1</v>
      </c>
      <c r="AS403" s="26"/>
      <c r="AT403" s="26"/>
      <c r="AU403" s="26"/>
      <c r="AV403" s="26" t="n">
        <f aca="false">SUM(AL403:AU403)</f>
        <v>2</v>
      </c>
      <c r="AW403" s="32" t="n">
        <f aca="false">IFERROR(AV403/R403*1000000,"")</f>
        <v>4716.98113207547</v>
      </c>
      <c r="AX403" s="33" t="n">
        <f aca="false">IFERROR((R403-AV403)/R403,"")</f>
        <v>0.995283018867925</v>
      </c>
      <c r="AY403" s="34" t="n">
        <f aca="false">IFERROR(AH403*AJ403*AX403,"")</f>
        <v>0.719785575048733</v>
      </c>
      <c r="AZ403" s="35" t="s">
        <v>86</v>
      </c>
    </row>
    <row r="404" customFormat="false" ht="12.75" hidden="false" customHeight="true" outlineLevel="0" collapsed="false">
      <c r="A404" s="24" t="n">
        <v>400</v>
      </c>
      <c r="B404" s="25" t="n">
        <v>46156</v>
      </c>
      <c r="C404" s="25" t="n">
        <v>12</v>
      </c>
      <c r="D404" s="26" t="s">
        <v>71</v>
      </c>
      <c r="E404" s="26" t="s">
        <v>94</v>
      </c>
      <c r="F404" s="26" t="s">
        <v>81</v>
      </c>
      <c r="G404" s="26" t="s">
        <v>11</v>
      </c>
      <c r="H404" s="27" t="n">
        <v>0.354166666666667</v>
      </c>
      <c r="I404" s="27" t="n">
        <v>0.854166666666667</v>
      </c>
      <c r="J404" s="26" t="n">
        <f aca="false">IFERROR((I404-H404)*24*60,"")</f>
        <v>720</v>
      </c>
      <c r="K404" s="26" t="s">
        <v>74</v>
      </c>
      <c r="L404" s="26" t="s">
        <v>75</v>
      </c>
      <c r="M404" s="26" t="s">
        <v>95</v>
      </c>
      <c r="N404" s="26" t="s">
        <v>96</v>
      </c>
      <c r="O404" s="26" t="n">
        <v>2</v>
      </c>
      <c r="P404" s="26" t="n">
        <v>45</v>
      </c>
      <c r="Q404" s="26" t="n">
        <f aca="false">IFERROR(3600/(P404/O404),"")</f>
        <v>160</v>
      </c>
      <c r="R404" s="26" t="n">
        <v>1229</v>
      </c>
      <c r="S404" s="26" t="n">
        <v>33</v>
      </c>
      <c r="T404" s="26" t="n">
        <f aca="false">IFERROR(J404-S404,"")</f>
        <v>687</v>
      </c>
      <c r="U404" s="26"/>
      <c r="V404" s="26"/>
      <c r="W404" s="26"/>
      <c r="X404" s="26"/>
      <c r="Y404" s="26"/>
      <c r="Z404" s="26" t="n">
        <v>21</v>
      </c>
      <c r="AA404" s="26"/>
      <c r="AB404" s="26"/>
      <c r="AC404" s="26"/>
      <c r="AD404" s="26"/>
      <c r="AE404" s="26"/>
      <c r="AF404" s="26" t="n">
        <f aca="false">SUM(U404:AE404)</f>
        <v>21</v>
      </c>
      <c r="AG404" s="26" t="n">
        <f aca="false">T404-AF404</f>
        <v>666</v>
      </c>
      <c r="AH404" s="28" t="n">
        <f aca="false">IFERROR(AG404/T404,"")</f>
        <v>0.96943231441048</v>
      </c>
      <c r="AI404" s="29" t="n">
        <f aca="false">IFERROR(R404/AG404*60,"")</f>
        <v>110.720720720721</v>
      </c>
      <c r="AJ404" s="30" t="n">
        <f aca="false">IFERROR(AI404/Q404,"")</f>
        <v>0.692004504504505</v>
      </c>
      <c r="AK404" s="31" t="n">
        <f aca="false">IFERROR(R404/(T404/60*Q404),"")</f>
        <v>0.67085152838428</v>
      </c>
      <c r="AL404" s="26" t="n">
        <v>4</v>
      </c>
      <c r="AM404" s="26" t="n">
        <v>2</v>
      </c>
      <c r="AN404" s="26" t="n">
        <v>2</v>
      </c>
      <c r="AO404" s="26" t="n">
        <v>3</v>
      </c>
      <c r="AP404" s="26" t="n">
        <v>3</v>
      </c>
      <c r="AQ404" s="26" t="n">
        <v>3</v>
      </c>
      <c r="AR404" s="26" t="n">
        <v>4</v>
      </c>
      <c r="AS404" s="26" t="n">
        <v>3</v>
      </c>
      <c r="AT404" s="26" t="n">
        <v>3</v>
      </c>
      <c r="AU404" s="26" t="n">
        <v>2</v>
      </c>
      <c r="AV404" s="26" t="n">
        <f aca="false">SUM(AL404:AU404)</f>
        <v>29</v>
      </c>
      <c r="AW404" s="32" t="n">
        <f aca="false">IFERROR(AV404/R404*1000000,"")</f>
        <v>23596.4198535395</v>
      </c>
      <c r="AX404" s="33" t="n">
        <f aca="false">IFERROR((R404-AV404)/R404,"")</f>
        <v>0.976403580146461</v>
      </c>
      <c r="AY404" s="34" t="n">
        <f aca="false">IFERROR(AH404*AJ404*AX404,"")</f>
        <v>0.655021834061135</v>
      </c>
      <c r="AZ404" s="35"/>
    </row>
    <row r="405" customFormat="false" ht="12.75" hidden="false" customHeight="true" outlineLevel="0" collapsed="false">
      <c r="A405" s="24" t="n">
        <v>401</v>
      </c>
      <c r="B405" s="25" t="n">
        <v>46156</v>
      </c>
      <c r="C405" s="25" t="n">
        <v>12</v>
      </c>
      <c r="D405" s="26" t="s">
        <v>79</v>
      </c>
      <c r="E405" s="26" t="s">
        <v>97</v>
      </c>
      <c r="F405" s="26" t="s">
        <v>73</v>
      </c>
      <c r="G405" s="26" t="s">
        <v>12</v>
      </c>
      <c r="H405" s="27" t="n">
        <v>0.354166666666667</v>
      </c>
      <c r="I405" s="27" t="n">
        <v>0.854166666666667</v>
      </c>
      <c r="J405" s="26" t="n">
        <f aca="false">IFERROR((I405-H405)*24*60,"")</f>
        <v>720</v>
      </c>
      <c r="K405" s="26" t="s">
        <v>105</v>
      </c>
      <c r="L405" s="26" t="s">
        <v>98</v>
      </c>
      <c r="M405" s="26" t="s">
        <v>99</v>
      </c>
      <c r="N405" s="26" t="s">
        <v>100</v>
      </c>
      <c r="O405" s="26" t="n">
        <v>4</v>
      </c>
      <c r="P405" s="26" t="n">
        <v>51</v>
      </c>
      <c r="Q405" s="26" t="n">
        <f aca="false">IFERROR(3600/(P405/O405),"")</f>
        <v>282.352941176471</v>
      </c>
      <c r="R405" s="26" t="n">
        <v>2928</v>
      </c>
      <c r="S405" s="26" t="n">
        <v>40</v>
      </c>
      <c r="T405" s="26" t="n">
        <f aca="false">IFERROR(J405-S405,"")</f>
        <v>680</v>
      </c>
      <c r="U405" s="26"/>
      <c r="V405" s="26"/>
      <c r="W405" s="26" t="n">
        <v>29</v>
      </c>
      <c r="X405" s="26"/>
      <c r="Y405" s="26"/>
      <c r="Z405" s="26" t="n">
        <v>5</v>
      </c>
      <c r="AA405" s="26"/>
      <c r="AB405" s="26"/>
      <c r="AC405" s="26"/>
      <c r="AD405" s="26"/>
      <c r="AE405" s="26"/>
      <c r="AF405" s="26" t="n">
        <f aca="false">SUM(U405:AE405)</f>
        <v>34</v>
      </c>
      <c r="AG405" s="26" t="n">
        <f aca="false">T405-AF405</f>
        <v>646</v>
      </c>
      <c r="AH405" s="28" t="n">
        <f aca="false">IFERROR(AG405/T405,"")</f>
        <v>0.95</v>
      </c>
      <c r="AI405" s="29" t="n">
        <f aca="false">IFERROR(R405/AG405*60,"")</f>
        <v>271.950464396285</v>
      </c>
      <c r="AJ405" s="30" t="n">
        <f aca="false">IFERROR(AI405/Q405,"")</f>
        <v>0.963157894736842</v>
      </c>
      <c r="AK405" s="31" t="n">
        <f aca="false">IFERROR(R405/(T405/60*Q405),"")</f>
        <v>0.915</v>
      </c>
      <c r="AL405" s="26" t="n">
        <v>9</v>
      </c>
      <c r="AM405" s="26" t="n">
        <v>6</v>
      </c>
      <c r="AN405" s="26" t="n">
        <v>2</v>
      </c>
      <c r="AO405" s="26" t="n">
        <v>3</v>
      </c>
      <c r="AP405" s="26" t="n">
        <v>6</v>
      </c>
      <c r="AQ405" s="26" t="n">
        <v>3</v>
      </c>
      <c r="AR405" s="26" t="n">
        <v>3</v>
      </c>
      <c r="AS405" s="26" t="n">
        <v>4</v>
      </c>
      <c r="AT405" s="26" t="n">
        <v>3</v>
      </c>
      <c r="AU405" s="26" t="n">
        <v>6</v>
      </c>
      <c r="AV405" s="26" t="n">
        <f aca="false">SUM(AL405:AU405)</f>
        <v>45</v>
      </c>
      <c r="AW405" s="32" t="n">
        <f aca="false">IFERROR(AV405/R405*1000000,"")</f>
        <v>15368.8524590164</v>
      </c>
      <c r="AX405" s="33" t="n">
        <f aca="false">IFERROR((R405-AV405)/R405,"")</f>
        <v>0.984631147540984</v>
      </c>
      <c r="AY405" s="34" t="n">
        <f aca="false">IFERROR(AH405*AJ405*AX405,"")</f>
        <v>0.9009375</v>
      </c>
      <c r="AZ405" s="35"/>
    </row>
    <row r="406" customFormat="false" ht="12.75" hidden="false" customHeight="true" outlineLevel="0" collapsed="false">
      <c r="A406" s="24" t="n">
        <v>402</v>
      </c>
      <c r="B406" s="25" t="n">
        <v>46156</v>
      </c>
      <c r="C406" s="25" t="n">
        <v>12</v>
      </c>
      <c r="D406" s="26" t="s">
        <v>87</v>
      </c>
      <c r="E406" s="26" t="s">
        <v>101</v>
      </c>
      <c r="F406" s="26" t="s">
        <v>81</v>
      </c>
      <c r="G406" s="26" t="s">
        <v>13</v>
      </c>
      <c r="H406" s="27" t="n">
        <v>0.354166666666667</v>
      </c>
      <c r="I406" s="27" t="n">
        <v>0.854166666666667</v>
      </c>
      <c r="J406" s="26" t="n">
        <f aca="false">IFERROR((I406-H406)*24*60,"")</f>
        <v>720</v>
      </c>
      <c r="K406" s="26" t="s">
        <v>105</v>
      </c>
      <c r="L406" s="26" t="s">
        <v>98</v>
      </c>
      <c r="M406" s="26" t="s">
        <v>103</v>
      </c>
      <c r="N406" s="26" t="s">
        <v>104</v>
      </c>
      <c r="O406" s="26" t="n">
        <v>8</v>
      </c>
      <c r="P406" s="26" t="n">
        <v>64</v>
      </c>
      <c r="Q406" s="26" t="n">
        <f aca="false">IFERROR(3600/(P406/O406),"")</f>
        <v>450</v>
      </c>
      <c r="R406" s="26" t="n">
        <v>3500</v>
      </c>
      <c r="S406" s="26" t="n">
        <v>55</v>
      </c>
      <c r="T406" s="26" t="n">
        <f aca="false">IFERROR(J406-S406,"")</f>
        <v>665</v>
      </c>
      <c r="U406" s="26"/>
      <c r="V406" s="26"/>
      <c r="W406" s="26"/>
      <c r="X406" s="26"/>
      <c r="Y406" s="26"/>
      <c r="Z406" s="26"/>
      <c r="AA406" s="26"/>
      <c r="AB406" s="26" t="n">
        <v>15</v>
      </c>
      <c r="AC406" s="26"/>
      <c r="AD406" s="26"/>
      <c r="AE406" s="26"/>
      <c r="AF406" s="26" t="n">
        <f aca="false">SUM(U406:AE406)</f>
        <v>15</v>
      </c>
      <c r="AG406" s="26" t="n">
        <f aca="false">T406-AF406</f>
        <v>650</v>
      </c>
      <c r="AH406" s="28" t="n">
        <f aca="false">IFERROR(AG406/T406,"")</f>
        <v>0.977443609022556</v>
      </c>
      <c r="AI406" s="29" t="n">
        <f aca="false">IFERROR(R406/AG406*60,"")</f>
        <v>323.076923076923</v>
      </c>
      <c r="AJ406" s="30" t="n">
        <f aca="false">IFERROR(AI406/Q406,"")</f>
        <v>0.717948717948718</v>
      </c>
      <c r="AK406" s="31" t="n">
        <f aca="false">IFERROR(R406/(T406/60*Q406),"")</f>
        <v>0.701754385964912</v>
      </c>
      <c r="AL406" s="26" t="n">
        <v>5</v>
      </c>
      <c r="AM406" s="26" t="n">
        <v>7</v>
      </c>
      <c r="AN406" s="26" t="n">
        <v>7</v>
      </c>
      <c r="AO406" s="26" t="n">
        <v>5</v>
      </c>
      <c r="AP406" s="26" t="n">
        <v>5</v>
      </c>
      <c r="AQ406" s="26" t="n">
        <v>1</v>
      </c>
      <c r="AR406" s="26" t="n">
        <v>7</v>
      </c>
      <c r="AS406" s="26" t="n">
        <v>6</v>
      </c>
      <c r="AT406" s="26" t="n">
        <v>4</v>
      </c>
      <c r="AU406" s="26" t="n">
        <v>7</v>
      </c>
      <c r="AV406" s="26" t="n">
        <f aca="false">SUM(AL406:AU406)</f>
        <v>54</v>
      </c>
      <c r="AW406" s="32" t="n">
        <f aca="false">IFERROR(AV406/R406*1000000,"")</f>
        <v>15428.5714285714</v>
      </c>
      <c r="AX406" s="33" t="n">
        <f aca="false">IFERROR((R406-AV406)/R406,"")</f>
        <v>0.984571428571429</v>
      </c>
      <c r="AY406" s="34" t="n">
        <f aca="false">IFERROR(AH406*AJ406*AX406,"")</f>
        <v>0.690927318295739</v>
      </c>
      <c r="AZ406" s="35" t="s">
        <v>78</v>
      </c>
    </row>
    <row r="407" customFormat="false" ht="12.75" hidden="false" customHeight="true" outlineLevel="0" collapsed="false">
      <c r="A407" s="24" t="n">
        <v>403</v>
      </c>
      <c r="B407" s="25" t="n">
        <v>46157</v>
      </c>
      <c r="C407" s="25" t="n">
        <v>12</v>
      </c>
      <c r="D407" s="26" t="s">
        <v>71</v>
      </c>
      <c r="E407" s="26" t="s">
        <v>72</v>
      </c>
      <c r="F407" s="26" t="s">
        <v>73</v>
      </c>
      <c r="G407" s="26" t="s">
        <v>8</v>
      </c>
      <c r="H407" s="27" t="n">
        <v>0.354166666666667</v>
      </c>
      <c r="I407" s="27" t="n">
        <v>0.854166666666667</v>
      </c>
      <c r="J407" s="26" t="n">
        <f aca="false">IFERROR((I407-H407)*24*60,"")</f>
        <v>720</v>
      </c>
      <c r="K407" s="26" t="s">
        <v>105</v>
      </c>
      <c r="L407" s="26" t="s">
        <v>83</v>
      </c>
      <c r="M407" s="26" t="s">
        <v>76</v>
      </c>
      <c r="N407" s="26" t="s">
        <v>77</v>
      </c>
      <c r="O407" s="26" t="n">
        <v>2</v>
      </c>
      <c r="P407" s="26" t="n">
        <v>47</v>
      </c>
      <c r="Q407" s="26" t="n">
        <f aca="false">IFERROR(3600/(P407/O407),"")</f>
        <v>153.191489361702</v>
      </c>
      <c r="R407" s="26" t="n">
        <v>1535</v>
      </c>
      <c r="S407" s="26" t="n">
        <v>64</v>
      </c>
      <c r="T407" s="26" t="n">
        <f aca="false">IFERROR(J407-S407,"")</f>
        <v>656</v>
      </c>
      <c r="U407" s="26"/>
      <c r="V407" s="26" t="n">
        <v>3</v>
      </c>
      <c r="W407" s="26" t="n">
        <v>10</v>
      </c>
      <c r="X407" s="26"/>
      <c r="Y407" s="26"/>
      <c r="Z407" s="26"/>
      <c r="AA407" s="26"/>
      <c r="AB407" s="26" t="n">
        <v>7</v>
      </c>
      <c r="AC407" s="26"/>
      <c r="AD407" s="26"/>
      <c r="AE407" s="26"/>
      <c r="AF407" s="26" t="n">
        <f aca="false">SUM(U407:AE407)</f>
        <v>20</v>
      </c>
      <c r="AG407" s="26" t="n">
        <f aca="false">T407-AF407</f>
        <v>636</v>
      </c>
      <c r="AH407" s="28" t="n">
        <f aca="false">IFERROR(AG407/T407,"")</f>
        <v>0.969512195121951</v>
      </c>
      <c r="AI407" s="29" t="n">
        <f aca="false">IFERROR(R407/AG407*60,"")</f>
        <v>144.811320754717</v>
      </c>
      <c r="AJ407" s="30" t="n">
        <f aca="false">IFERROR(AI407/Q407,"")</f>
        <v>0.945296121593291</v>
      </c>
      <c r="AK407" s="31" t="n">
        <f aca="false">IFERROR(R407/(T407/60*Q407),"")</f>
        <v>0.916476117886179</v>
      </c>
      <c r="AL407" s="26" t="n">
        <v>5</v>
      </c>
      <c r="AM407" s="26" t="n">
        <v>2</v>
      </c>
      <c r="AN407" s="26" t="n">
        <v>3</v>
      </c>
      <c r="AO407" s="26" t="n">
        <v>1</v>
      </c>
      <c r="AP407" s="26" t="n">
        <v>4</v>
      </c>
      <c r="AQ407" s="26" t="n">
        <v>3</v>
      </c>
      <c r="AR407" s="26" t="n">
        <v>2</v>
      </c>
      <c r="AS407" s="26" t="n">
        <v>5</v>
      </c>
      <c r="AT407" s="26" t="n">
        <v>10</v>
      </c>
      <c r="AU407" s="26" t="n">
        <v>2</v>
      </c>
      <c r="AV407" s="26" t="n">
        <f aca="false">SUM(AL407:AU407)</f>
        <v>37</v>
      </c>
      <c r="AW407" s="32" t="n">
        <f aca="false">IFERROR(AV407/R407*1000000,"")</f>
        <v>24104.2345276873</v>
      </c>
      <c r="AX407" s="33" t="n">
        <f aca="false">IFERROR((R407-AV407)/R407,"")</f>
        <v>0.975895765472313</v>
      </c>
      <c r="AY407" s="34" t="n">
        <f aca="false">IFERROR(AH407*AJ407*AX407,"")</f>
        <v>0.894385162601626</v>
      </c>
      <c r="AZ407" s="35" t="s">
        <v>86</v>
      </c>
    </row>
    <row r="408" customFormat="false" ht="12.75" hidden="false" customHeight="true" outlineLevel="0" collapsed="false">
      <c r="A408" s="24" t="n">
        <v>404</v>
      </c>
      <c r="B408" s="25" t="n">
        <v>46157</v>
      </c>
      <c r="C408" s="25" t="n">
        <v>12</v>
      </c>
      <c r="D408" s="26" t="s">
        <v>79</v>
      </c>
      <c r="E408" s="26" t="s">
        <v>80</v>
      </c>
      <c r="F408" s="26" t="s">
        <v>81</v>
      </c>
      <c r="G408" s="26" t="s">
        <v>9</v>
      </c>
      <c r="H408" s="27" t="n">
        <v>0.354166666666667</v>
      </c>
      <c r="I408" s="27" t="n">
        <v>0.854166666666667</v>
      </c>
      <c r="J408" s="26" t="n">
        <f aca="false">IFERROR((I408-H408)*24*60,"")</f>
        <v>720</v>
      </c>
      <c r="K408" s="26" t="s">
        <v>105</v>
      </c>
      <c r="L408" s="26" t="s">
        <v>108</v>
      </c>
      <c r="M408" s="26" t="s">
        <v>84</v>
      </c>
      <c r="N408" s="26" t="s">
        <v>85</v>
      </c>
      <c r="O408" s="26" t="n">
        <v>4</v>
      </c>
      <c r="P408" s="26" t="n">
        <v>62</v>
      </c>
      <c r="Q408" s="26" t="n">
        <f aca="false">IFERROR(3600/(P408/O408),"")</f>
        <v>232.258064516129</v>
      </c>
      <c r="R408" s="26" t="n">
        <v>2133</v>
      </c>
      <c r="S408" s="26" t="n">
        <v>54</v>
      </c>
      <c r="T408" s="26" t="n">
        <f aca="false">IFERROR(J408-S408,"")</f>
        <v>666</v>
      </c>
      <c r="U408" s="26"/>
      <c r="V408" s="26"/>
      <c r="W408" s="26" t="n">
        <v>4</v>
      </c>
      <c r="X408" s="26"/>
      <c r="Y408" s="26"/>
      <c r="Z408" s="26"/>
      <c r="AA408" s="26"/>
      <c r="AB408" s="26" t="n">
        <v>7</v>
      </c>
      <c r="AC408" s="26"/>
      <c r="AD408" s="26"/>
      <c r="AE408" s="26" t="n">
        <v>9</v>
      </c>
      <c r="AF408" s="26" t="n">
        <f aca="false">SUM(U408:AE408)</f>
        <v>20</v>
      </c>
      <c r="AG408" s="26" t="n">
        <f aca="false">T408-AF408</f>
        <v>646</v>
      </c>
      <c r="AH408" s="28" t="n">
        <f aca="false">IFERROR(AG408/T408,"")</f>
        <v>0.96996996996997</v>
      </c>
      <c r="AI408" s="29" t="n">
        <f aca="false">IFERROR(R408/AG408*60,"")</f>
        <v>198.111455108359</v>
      </c>
      <c r="AJ408" s="30" t="n">
        <f aca="false">IFERROR(AI408/Q408,"")</f>
        <v>0.852979876160991</v>
      </c>
      <c r="AK408" s="31" t="n">
        <f aca="false">IFERROR(R408/(T408/60*Q408),"")</f>
        <v>0.827364864864865</v>
      </c>
      <c r="AL408" s="26" t="n">
        <v>3</v>
      </c>
      <c r="AM408" s="26" t="n">
        <v>4</v>
      </c>
      <c r="AN408" s="26" t="n">
        <v>4</v>
      </c>
      <c r="AO408" s="26" t="n">
        <v>3</v>
      </c>
      <c r="AP408" s="26" t="n">
        <v>5</v>
      </c>
      <c r="AQ408" s="26" t="n">
        <v>4</v>
      </c>
      <c r="AR408" s="26" t="n">
        <v>6</v>
      </c>
      <c r="AS408" s="26" t="n">
        <v>5</v>
      </c>
      <c r="AT408" s="26" t="n">
        <v>5</v>
      </c>
      <c r="AU408" s="26" t="n">
        <v>5</v>
      </c>
      <c r="AV408" s="26" t="n">
        <f aca="false">SUM(AL408:AU408)</f>
        <v>44</v>
      </c>
      <c r="AW408" s="32" t="n">
        <f aca="false">IFERROR(AV408/R408*1000000,"")</f>
        <v>20628.2231598687</v>
      </c>
      <c r="AX408" s="33" t="n">
        <f aca="false">IFERROR((R408-AV408)/R408,"")</f>
        <v>0.979371776840131</v>
      </c>
      <c r="AY408" s="34" t="n">
        <f aca="false">IFERROR(AH408*AJ408*AX408,"")</f>
        <v>0.810297797797798</v>
      </c>
      <c r="AZ408" s="35" t="s">
        <v>93</v>
      </c>
    </row>
    <row r="409" customFormat="false" ht="12.75" hidden="false" customHeight="true" outlineLevel="0" collapsed="false">
      <c r="A409" s="24" t="n">
        <v>405</v>
      </c>
      <c r="B409" s="25" t="n">
        <v>46157</v>
      </c>
      <c r="C409" s="25" t="n">
        <v>12</v>
      </c>
      <c r="D409" s="26" t="s">
        <v>87</v>
      </c>
      <c r="E409" s="26" t="s">
        <v>88</v>
      </c>
      <c r="F409" s="26" t="s">
        <v>73</v>
      </c>
      <c r="G409" s="26" t="s">
        <v>10</v>
      </c>
      <c r="H409" s="27" t="n">
        <v>0.354166666666667</v>
      </c>
      <c r="I409" s="27" t="n">
        <v>0.854166666666667</v>
      </c>
      <c r="J409" s="26" t="n">
        <f aca="false">IFERROR((I409-H409)*24*60,"")</f>
        <v>720</v>
      </c>
      <c r="K409" s="26" t="s">
        <v>82</v>
      </c>
      <c r="L409" s="26" t="s">
        <v>107</v>
      </c>
      <c r="M409" s="26" t="s">
        <v>91</v>
      </c>
      <c r="N409" s="26" t="s">
        <v>92</v>
      </c>
      <c r="O409" s="26" t="n">
        <v>8</v>
      </c>
      <c r="P409" s="26" t="n">
        <v>58</v>
      </c>
      <c r="Q409" s="26" t="n">
        <f aca="false">IFERROR(3600/(P409/O409),"")</f>
        <v>496.551724137931</v>
      </c>
      <c r="R409" s="26" t="n">
        <v>3936</v>
      </c>
      <c r="S409" s="26" t="n">
        <v>69</v>
      </c>
      <c r="T409" s="26" t="n">
        <f aca="false">IFERROR(J409-S409,"")</f>
        <v>651</v>
      </c>
      <c r="U409" s="26"/>
      <c r="V409" s="26"/>
      <c r="W409" s="26"/>
      <c r="X409" s="26"/>
      <c r="Y409" s="26" t="n">
        <v>3</v>
      </c>
      <c r="Z409" s="26"/>
      <c r="AA409" s="26" t="n">
        <v>22</v>
      </c>
      <c r="AB409" s="26"/>
      <c r="AC409" s="26"/>
      <c r="AD409" s="26"/>
      <c r="AE409" s="26"/>
      <c r="AF409" s="26" t="n">
        <f aca="false">SUM(U409:AE409)</f>
        <v>25</v>
      </c>
      <c r="AG409" s="26" t="n">
        <f aca="false">T409-AF409</f>
        <v>626</v>
      </c>
      <c r="AH409" s="28" t="n">
        <f aca="false">IFERROR(AG409/T409,"")</f>
        <v>0.961597542242704</v>
      </c>
      <c r="AI409" s="29" t="n">
        <f aca="false">IFERROR(R409/AG409*60,"")</f>
        <v>377.252396166134</v>
      </c>
      <c r="AJ409" s="30" t="n">
        <f aca="false">IFERROR(AI409/Q409,"")</f>
        <v>0.759744408945687</v>
      </c>
      <c r="AK409" s="31" t="n">
        <f aca="false">IFERROR(R409/(T409/60*Q409),"")</f>
        <v>0.730568356374808</v>
      </c>
      <c r="AL409" s="26" t="n">
        <v>4</v>
      </c>
      <c r="AM409" s="26" t="n">
        <v>5</v>
      </c>
      <c r="AN409" s="26" t="n">
        <v>7</v>
      </c>
      <c r="AO409" s="26" t="n">
        <v>3</v>
      </c>
      <c r="AP409" s="26" t="n">
        <v>4</v>
      </c>
      <c r="AQ409" s="26" t="n">
        <v>2</v>
      </c>
      <c r="AR409" s="26" t="n">
        <v>6</v>
      </c>
      <c r="AS409" s="26" t="n">
        <v>3</v>
      </c>
      <c r="AT409" s="26" t="n">
        <v>8</v>
      </c>
      <c r="AU409" s="26" t="n">
        <v>6</v>
      </c>
      <c r="AV409" s="26" t="n">
        <f aca="false">SUM(AL409:AU409)</f>
        <v>48</v>
      </c>
      <c r="AW409" s="32" t="n">
        <f aca="false">IFERROR(AV409/R409*1000000,"")</f>
        <v>12195.1219512195</v>
      </c>
      <c r="AX409" s="33" t="n">
        <f aca="false">IFERROR((R409-AV409)/R409,"")</f>
        <v>0.987804878048781</v>
      </c>
      <c r="AY409" s="34" t="n">
        <f aca="false">IFERROR(AH409*AJ409*AX409,"")</f>
        <v>0.721658986175115</v>
      </c>
      <c r="AZ409" s="35" t="s">
        <v>86</v>
      </c>
    </row>
    <row r="410" customFormat="false" ht="12.75" hidden="false" customHeight="true" outlineLevel="0" collapsed="false">
      <c r="A410" s="24" t="n">
        <v>406</v>
      </c>
      <c r="B410" s="25" t="n">
        <v>46158</v>
      </c>
      <c r="C410" s="25" t="n">
        <v>12</v>
      </c>
      <c r="D410" s="26" t="s">
        <v>71</v>
      </c>
      <c r="E410" s="26" t="s">
        <v>94</v>
      </c>
      <c r="F410" s="26" t="s">
        <v>81</v>
      </c>
      <c r="G410" s="26" t="s">
        <v>11</v>
      </c>
      <c r="H410" s="27" t="n">
        <v>0.354166666666667</v>
      </c>
      <c r="I410" s="27" t="n">
        <v>0.854166666666667</v>
      </c>
      <c r="J410" s="26" t="n">
        <f aca="false">IFERROR((I410-H410)*24*60,"")</f>
        <v>720</v>
      </c>
      <c r="K410" s="26" t="s">
        <v>82</v>
      </c>
      <c r="L410" s="26" t="s">
        <v>98</v>
      </c>
      <c r="M410" s="26" t="s">
        <v>95</v>
      </c>
      <c r="N410" s="26" t="s">
        <v>96</v>
      </c>
      <c r="O410" s="26" t="n">
        <v>4</v>
      </c>
      <c r="P410" s="26" t="n">
        <v>66</v>
      </c>
      <c r="Q410" s="26" t="n">
        <f aca="false">IFERROR(3600/(P410/O410),"")</f>
        <v>218.181818181818</v>
      </c>
      <c r="R410" s="26" t="n">
        <v>2262</v>
      </c>
      <c r="S410" s="26" t="n">
        <v>37</v>
      </c>
      <c r="T410" s="26" t="n">
        <f aca="false">IFERROR(J410-S410,"")</f>
        <v>683</v>
      </c>
      <c r="U410" s="26"/>
      <c r="V410" s="26" t="n">
        <v>19</v>
      </c>
      <c r="W410" s="26"/>
      <c r="X410" s="26" t="n">
        <v>8</v>
      </c>
      <c r="Y410" s="26"/>
      <c r="Z410" s="26"/>
      <c r="AA410" s="26" t="n">
        <v>14</v>
      </c>
      <c r="AB410" s="26"/>
      <c r="AC410" s="26"/>
      <c r="AD410" s="26"/>
      <c r="AE410" s="26"/>
      <c r="AF410" s="26" t="n">
        <f aca="false">SUM(U410:AE410)</f>
        <v>41</v>
      </c>
      <c r="AG410" s="26" t="n">
        <f aca="false">T410-AF410</f>
        <v>642</v>
      </c>
      <c r="AH410" s="28" t="n">
        <f aca="false">IFERROR(AG410/T410,"")</f>
        <v>0.939970717423133</v>
      </c>
      <c r="AI410" s="29" t="n">
        <f aca="false">IFERROR(R410/AG410*60,"")</f>
        <v>211.401869158879</v>
      </c>
      <c r="AJ410" s="30" t="n">
        <f aca="false">IFERROR(AI410/Q410,"")</f>
        <v>0.96892523364486</v>
      </c>
      <c r="AK410" s="31" t="n">
        <f aca="false">IFERROR(R410/(T410/60*Q410),"")</f>
        <v>0.910761346998536</v>
      </c>
      <c r="AL410" s="26" t="n">
        <v>3</v>
      </c>
      <c r="AM410" s="26" t="n">
        <v>1</v>
      </c>
      <c r="AN410" s="26" t="n">
        <v>2</v>
      </c>
      <c r="AO410" s="26" t="n">
        <v>1</v>
      </c>
      <c r="AP410" s="26" t="n">
        <v>1</v>
      </c>
      <c r="AQ410" s="26" t="n">
        <v>3</v>
      </c>
      <c r="AR410" s="26" t="n">
        <v>2</v>
      </c>
      <c r="AS410" s="26" t="n">
        <v>1</v>
      </c>
      <c r="AT410" s="26" t="n">
        <v>2</v>
      </c>
      <c r="AU410" s="26"/>
      <c r="AV410" s="26" t="n">
        <f aca="false">SUM(AL410:AU410)</f>
        <v>16</v>
      </c>
      <c r="AW410" s="32" t="n">
        <f aca="false">IFERROR(AV410/R410*1000000,"")</f>
        <v>7073.38638373121</v>
      </c>
      <c r="AX410" s="33" t="n">
        <f aca="false">IFERROR((R410-AV410)/R410,"")</f>
        <v>0.992926613616269</v>
      </c>
      <c r="AY410" s="34" t="n">
        <f aca="false">IFERROR(AH410*AJ410*AX410,"")</f>
        <v>0.904319180087848</v>
      </c>
      <c r="AZ410" s="35" t="s">
        <v>93</v>
      </c>
    </row>
    <row r="411" customFormat="false" ht="12.75" hidden="false" customHeight="true" outlineLevel="0" collapsed="false">
      <c r="A411" s="24" t="n">
        <v>407</v>
      </c>
      <c r="B411" s="25" t="n">
        <v>46158</v>
      </c>
      <c r="C411" s="25" t="n">
        <v>12</v>
      </c>
      <c r="D411" s="26" t="s">
        <v>79</v>
      </c>
      <c r="E411" s="26" t="s">
        <v>97</v>
      </c>
      <c r="F411" s="26" t="s">
        <v>73</v>
      </c>
      <c r="G411" s="26" t="s">
        <v>12</v>
      </c>
      <c r="H411" s="27" t="n">
        <v>0.354166666666667</v>
      </c>
      <c r="I411" s="27" t="n">
        <v>0.854166666666667</v>
      </c>
      <c r="J411" s="26" t="n">
        <f aca="false">IFERROR((I411-H411)*24*60,"")</f>
        <v>720</v>
      </c>
      <c r="K411" s="26" t="s">
        <v>74</v>
      </c>
      <c r="L411" s="26" t="s">
        <v>108</v>
      </c>
      <c r="M411" s="26" t="s">
        <v>99</v>
      </c>
      <c r="N411" s="26" t="s">
        <v>100</v>
      </c>
      <c r="O411" s="26" t="n">
        <v>4</v>
      </c>
      <c r="P411" s="26" t="n">
        <v>31</v>
      </c>
      <c r="Q411" s="26" t="n">
        <f aca="false">IFERROR(3600/(P411/O411),"")</f>
        <v>464.516129032258</v>
      </c>
      <c r="R411" s="26" t="n">
        <v>4510</v>
      </c>
      <c r="S411" s="26" t="n">
        <v>61</v>
      </c>
      <c r="T411" s="26" t="n">
        <f aca="false">IFERROR(J411-S411,"")</f>
        <v>659</v>
      </c>
      <c r="U411" s="26"/>
      <c r="V411" s="26"/>
      <c r="W411" s="26"/>
      <c r="X411" s="26" t="n">
        <v>3</v>
      </c>
      <c r="Y411" s="26"/>
      <c r="Z411" s="26"/>
      <c r="AA411" s="26"/>
      <c r="AB411" s="26"/>
      <c r="AC411" s="26"/>
      <c r="AD411" s="26"/>
      <c r="AE411" s="26" t="n">
        <v>8</v>
      </c>
      <c r="AF411" s="26" t="n">
        <f aca="false">SUM(U411:AE411)</f>
        <v>11</v>
      </c>
      <c r="AG411" s="26" t="n">
        <f aca="false">T411-AF411</f>
        <v>648</v>
      </c>
      <c r="AH411" s="28" t="n">
        <f aca="false">IFERROR(AG411/T411,"")</f>
        <v>0.983308042488619</v>
      </c>
      <c r="AI411" s="29" t="n">
        <f aca="false">IFERROR(R411/AG411*60,"")</f>
        <v>417.592592592593</v>
      </c>
      <c r="AJ411" s="30" t="n">
        <f aca="false">IFERROR(AI411/Q411,"")</f>
        <v>0.898984053497942</v>
      </c>
      <c r="AK411" s="31" t="n">
        <f aca="false">IFERROR(R411/(T411/60*Q411),"")</f>
        <v>0.883978249873546</v>
      </c>
      <c r="AL411" s="26" t="n">
        <v>7</v>
      </c>
      <c r="AM411" s="26" t="n">
        <v>11</v>
      </c>
      <c r="AN411" s="26" t="n">
        <v>5</v>
      </c>
      <c r="AO411" s="26" t="n">
        <v>3</v>
      </c>
      <c r="AP411" s="26" t="n">
        <v>8</v>
      </c>
      <c r="AQ411" s="26" t="n">
        <v>6</v>
      </c>
      <c r="AR411" s="26" t="n">
        <v>11</v>
      </c>
      <c r="AS411" s="26" t="n">
        <v>7</v>
      </c>
      <c r="AT411" s="26" t="n">
        <v>11</v>
      </c>
      <c r="AU411" s="26" t="n">
        <v>12</v>
      </c>
      <c r="AV411" s="26" t="n">
        <f aca="false">SUM(AL411:AU411)</f>
        <v>81</v>
      </c>
      <c r="AW411" s="32" t="n">
        <f aca="false">IFERROR(AV411/R411*1000000,"")</f>
        <v>17960.088691796</v>
      </c>
      <c r="AX411" s="33" t="n">
        <f aca="false">IFERROR((R411-AV411)/R411,"")</f>
        <v>0.982039911308204</v>
      </c>
      <c r="AY411" s="34" t="n">
        <f aca="false">IFERROR(AH411*AJ411*AX411,"")</f>
        <v>0.868101922104198</v>
      </c>
      <c r="AZ411" s="35" t="s">
        <v>86</v>
      </c>
    </row>
    <row r="412" customFormat="false" ht="12.75" hidden="false" customHeight="true" outlineLevel="0" collapsed="false">
      <c r="A412" s="24" t="n">
        <v>408</v>
      </c>
      <c r="B412" s="25" t="n">
        <v>46158</v>
      </c>
      <c r="C412" s="25" t="n">
        <v>12</v>
      </c>
      <c r="D412" s="26" t="s">
        <v>87</v>
      </c>
      <c r="E412" s="26" t="s">
        <v>101</v>
      </c>
      <c r="F412" s="26" t="s">
        <v>81</v>
      </c>
      <c r="G412" s="26" t="s">
        <v>13</v>
      </c>
      <c r="H412" s="27" t="n">
        <v>0.354166666666667</v>
      </c>
      <c r="I412" s="27" t="n">
        <v>0.854166666666667</v>
      </c>
      <c r="J412" s="26" t="n">
        <f aca="false">IFERROR((I412-H412)*24*60,"")</f>
        <v>720</v>
      </c>
      <c r="K412" s="26" t="s">
        <v>82</v>
      </c>
      <c r="L412" s="26" t="s">
        <v>83</v>
      </c>
      <c r="M412" s="26" t="s">
        <v>103</v>
      </c>
      <c r="N412" s="26" t="s">
        <v>104</v>
      </c>
      <c r="O412" s="26" t="n">
        <v>2</v>
      </c>
      <c r="P412" s="26" t="n">
        <v>50</v>
      </c>
      <c r="Q412" s="26" t="n">
        <f aca="false">IFERROR(3600/(P412/O412),"")</f>
        <v>144</v>
      </c>
      <c r="R412" s="26" t="n">
        <v>1535</v>
      </c>
      <c r="S412" s="26" t="n">
        <v>56</v>
      </c>
      <c r="T412" s="26" t="n">
        <f aca="false">IFERROR(J412-S412,"")</f>
        <v>664</v>
      </c>
      <c r="U412" s="26"/>
      <c r="V412" s="26" t="n">
        <v>7</v>
      </c>
      <c r="W412" s="26"/>
      <c r="X412" s="26"/>
      <c r="Y412" s="26" t="n">
        <v>24</v>
      </c>
      <c r="Z412" s="26"/>
      <c r="AA412" s="26"/>
      <c r="AB412" s="26"/>
      <c r="AC412" s="26"/>
      <c r="AD412" s="26" t="n">
        <v>19</v>
      </c>
      <c r="AE412" s="26"/>
      <c r="AF412" s="26" t="n">
        <f aca="false">SUM(U412:AE412)</f>
        <v>50</v>
      </c>
      <c r="AG412" s="26" t="n">
        <f aca="false">T412-AF412</f>
        <v>614</v>
      </c>
      <c r="AH412" s="28" t="n">
        <f aca="false">IFERROR(AG412/T412,"")</f>
        <v>0.924698795180723</v>
      </c>
      <c r="AI412" s="29" t="n">
        <f aca="false">IFERROR(R412/AG412*60,"")</f>
        <v>150</v>
      </c>
      <c r="AJ412" s="30" t="n">
        <f aca="false">IFERROR(AI412/Q412,"")</f>
        <v>1.04166666666667</v>
      </c>
      <c r="AK412" s="31" t="n">
        <f aca="false">IFERROR(R412/(T412/60*Q412),"")</f>
        <v>0.963227911646586</v>
      </c>
      <c r="AL412" s="26" t="n">
        <v>4</v>
      </c>
      <c r="AM412" s="26"/>
      <c r="AN412" s="26" t="n">
        <v>1</v>
      </c>
      <c r="AO412" s="26"/>
      <c r="AP412" s="26" t="n">
        <v>2</v>
      </c>
      <c r="AQ412" s="26"/>
      <c r="AR412" s="26" t="n">
        <v>1</v>
      </c>
      <c r="AS412" s="26" t="n">
        <v>1</v>
      </c>
      <c r="AT412" s="26" t="n">
        <v>1</v>
      </c>
      <c r="AU412" s="26" t="n">
        <v>4</v>
      </c>
      <c r="AV412" s="26" t="n">
        <f aca="false">SUM(AL412:AU412)</f>
        <v>14</v>
      </c>
      <c r="AW412" s="32" t="n">
        <f aca="false">IFERROR(AV412/R412*1000000,"")</f>
        <v>9120.52117263844</v>
      </c>
      <c r="AX412" s="33" t="n">
        <f aca="false">IFERROR((R412-AV412)/R412,"")</f>
        <v>0.990879478827362</v>
      </c>
      <c r="AY412" s="34" t="n">
        <f aca="false">IFERROR(AH412*AJ412*AX412,"")</f>
        <v>0.954442771084337</v>
      </c>
      <c r="AZ412" s="35" t="s">
        <v>78</v>
      </c>
    </row>
    <row r="413" customFormat="false" ht="12.75" hidden="false" customHeight="true" outlineLevel="0" collapsed="false">
      <c r="A413" s="24" t="n">
        <v>409</v>
      </c>
      <c r="B413" s="25" t="n">
        <v>46159</v>
      </c>
      <c r="C413" s="25" t="n">
        <v>12</v>
      </c>
      <c r="D413" s="26" t="s">
        <v>71</v>
      </c>
      <c r="E413" s="26" t="s">
        <v>72</v>
      </c>
      <c r="F413" s="26" t="s">
        <v>73</v>
      </c>
      <c r="G413" s="26" t="s">
        <v>8</v>
      </c>
      <c r="H413" s="27" t="n">
        <v>0.354166666666667</v>
      </c>
      <c r="I413" s="27" t="n">
        <v>0.854166666666667</v>
      </c>
      <c r="J413" s="26" t="n">
        <f aca="false">IFERROR((I413-H413)*24*60,"")</f>
        <v>720</v>
      </c>
      <c r="K413" s="26" t="s">
        <v>74</v>
      </c>
      <c r="L413" s="26" t="s">
        <v>98</v>
      </c>
      <c r="M413" s="26" t="s">
        <v>76</v>
      </c>
      <c r="N413" s="26" t="s">
        <v>77</v>
      </c>
      <c r="O413" s="26" t="n">
        <v>8</v>
      </c>
      <c r="P413" s="26" t="n">
        <v>67</v>
      </c>
      <c r="Q413" s="26" t="n">
        <f aca="false">IFERROR(3600/(P413/O413),"")</f>
        <v>429.850746268657</v>
      </c>
      <c r="R413" s="26" t="n">
        <v>4423</v>
      </c>
      <c r="S413" s="26" t="n">
        <v>48</v>
      </c>
      <c r="T413" s="26" t="n">
        <f aca="false">IFERROR(J413-S413,"")</f>
        <v>672</v>
      </c>
      <c r="U413" s="26"/>
      <c r="V413" s="26"/>
      <c r="W413" s="26"/>
      <c r="X413" s="26"/>
      <c r="Y413" s="26"/>
      <c r="Z413" s="26"/>
      <c r="AA413" s="26" t="n">
        <v>16</v>
      </c>
      <c r="AB413" s="26" t="n">
        <v>22</v>
      </c>
      <c r="AC413" s="26"/>
      <c r="AD413" s="26" t="n">
        <v>20</v>
      </c>
      <c r="AE413" s="26"/>
      <c r="AF413" s="26" t="n">
        <f aca="false">SUM(U413:AE413)</f>
        <v>58</v>
      </c>
      <c r="AG413" s="26" t="n">
        <f aca="false">T413-AF413</f>
        <v>614</v>
      </c>
      <c r="AH413" s="28" t="n">
        <f aca="false">IFERROR(AG413/T413,"")</f>
        <v>0.913690476190476</v>
      </c>
      <c r="AI413" s="29" t="n">
        <f aca="false">IFERROR(R413/AG413*60,"")</f>
        <v>432.214983713355</v>
      </c>
      <c r="AJ413" s="30" t="n">
        <f aca="false">IFERROR(AI413/Q413,"")</f>
        <v>1.00550013572204</v>
      </c>
      <c r="AK413" s="31" t="n">
        <f aca="false">IFERROR(R413/(T413/60*Q413),"")</f>
        <v>0.91871589781746</v>
      </c>
      <c r="AL413" s="26" t="n">
        <v>6</v>
      </c>
      <c r="AM413" s="26" t="n">
        <v>2</v>
      </c>
      <c r="AN413" s="26" t="n">
        <v>7</v>
      </c>
      <c r="AO413" s="26" t="n">
        <v>4</v>
      </c>
      <c r="AP413" s="26" t="n">
        <v>5</v>
      </c>
      <c r="AQ413" s="26" t="n">
        <v>9</v>
      </c>
      <c r="AR413" s="26" t="n">
        <v>8</v>
      </c>
      <c r="AS413" s="26" t="n">
        <v>3</v>
      </c>
      <c r="AT413" s="26" t="n">
        <v>2</v>
      </c>
      <c r="AU413" s="26" t="n">
        <v>4</v>
      </c>
      <c r="AV413" s="26" t="n">
        <f aca="false">SUM(AL413:AU413)</f>
        <v>50</v>
      </c>
      <c r="AW413" s="32" t="n">
        <f aca="false">IFERROR(AV413/R413*1000000,"")</f>
        <v>11304.5444268596</v>
      </c>
      <c r="AX413" s="33" t="n">
        <f aca="false">IFERROR((R413-AV413)/R413,"")</f>
        <v>0.98869545557314</v>
      </c>
      <c r="AY413" s="34" t="n">
        <f aca="false">IFERROR(AH413*AJ413*AX413,"")</f>
        <v>0.908330233134921</v>
      </c>
      <c r="AZ413" s="35" t="s">
        <v>86</v>
      </c>
    </row>
    <row r="414" customFormat="false" ht="12.75" hidden="false" customHeight="true" outlineLevel="0" collapsed="false">
      <c r="A414" s="24" t="n">
        <v>410</v>
      </c>
      <c r="B414" s="25" t="n">
        <v>46159</v>
      </c>
      <c r="C414" s="25" t="n">
        <v>12</v>
      </c>
      <c r="D414" s="26" t="s">
        <v>79</v>
      </c>
      <c r="E414" s="26" t="s">
        <v>80</v>
      </c>
      <c r="F414" s="26" t="s">
        <v>81</v>
      </c>
      <c r="G414" s="26" t="s">
        <v>9</v>
      </c>
      <c r="H414" s="27" t="n">
        <v>0.354166666666667</v>
      </c>
      <c r="I414" s="27" t="n">
        <v>0.854166666666667</v>
      </c>
      <c r="J414" s="26" t="n">
        <f aca="false">IFERROR((I414-H414)*24*60,"")</f>
        <v>720</v>
      </c>
      <c r="K414" s="26" t="s">
        <v>105</v>
      </c>
      <c r="L414" s="26" t="s">
        <v>90</v>
      </c>
      <c r="M414" s="26" t="s">
        <v>84</v>
      </c>
      <c r="N414" s="26" t="s">
        <v>85</v>
      </c>
      <c r="O414" s="26" t="n">
        <v>8</v>
      </c>
      <c r="P414" s="26" t="n">
        <v>68</v>
      </c>
      <c r="Q414" s="26" t="n">
        <f aca="false">IFERROR(3600/(P414/O414),"")</f>
        <v>423.529411764706</v>
      </c>
      <c r="R414" s="26" t="n">
        <v>3953</v>
      </c>
      <c r="S414" s="26" t="n">
        <v>58</v>
      </c>
      <c r="T414" s="26" t="n">
        <f aca="false">IFERROR(J414-S414,"")</f>
        <v>662</v>
      </c>
      <c r="U414" s="26"/>
      <c r="V414" s="26"/>
      <c r="W414" s="26" t="n">
        <v>15</v>
      </c>
      <c r="X414" s="26"/>
      <c r="Y414" s="26"/>
      <c r="Z414" s="26"/>
      <c r="AA414" s="26"/>
      <c r="AB414" s="26"/>
      <c r="AC414" s="26"/>
      <c r="AD414" s="26" t="n">
        <v>13</v>
      </c>
      <c r="AE414" s="26"/>
      <c r="AF414" s="26" t="n">
        <f aca="false">SUM(U414:AE414)</f>
        <v>28</v>
      </c>
      <c r="AG414" s="26" t="n">
        <f aca="false">T414-AF414</f>
        <v>634</v>
      </c>
      <c r="AH414" s="28" t="n">
        <f aca="false">IFERROR(AG414/T414,"")</f>
        <v>0.957703927492447</v>
      </c>
      <c r="AI414" s="29" t="n">
        <f aca="false">IFERROR(R414/AG414*60,"")</f>
        <v>374.10094637224</v>
      </c>
      <c r="AJ414" s="30" t="n">
        <f aca="false">IFERROR(AI414/Q414,"")</f>
        <v>0.883293901156677</v>
      </c>
      <c r="AK414" s="31" t="n">
        <f aca="false">IFERROR(R414/(T414/60*Q414),"")</f>
        <v>0.845934038267875</v>
      </c>
      <c r="AL414" s="26" t="n">
        <v>2</v>
      </c>
      <c r="AM414" s="26" t="n">
        <v>4</v>
      </c>
      <c r="AN414" s="26" t="n">
        <v>1</v>
      </c>
      <c r="AO414" s="26"/>
      <c r="AP414" s="26" t="n">
        <v>2</v>
      </c>
      <c r="AQ414" s="26" t="n">
        <v>1</v>
      </c>
      <c r="AR414" s="26" t="n">
        <v>1</v>
      </c>
      <c r="AS414" s="26"/>
      <c r="AT414" s="26" t="n">
        <v>3</v>
      </c>
      <c r="AU414" s="26"/>
      <c r="AV414" s="26" t="n">
        <f aca="false">SUM(AL414:AU414)</f>
        <v>14</v>
      </c>
      <c r="AW414" s="32" t="n">
        <f aca="false">IFERROR(AV414/R414*1000000,"")</f>
        <v>3541.61396407792</v>
      </c>
      <c r="AX414" s="33" t="n">
        <f aca="false">IFERROR((R414-AV414)/R414,"")</f>
        <v>0.996458386035922</v>
      </c>
      <c r="AY414" s="34" t="n">
        <f aca="false">IFERROR(AH414*AJ414*AX414,"")</f>
        <v>0.842938066465257</v>
      </c>
      <c r="AZ414" s="35" t="s">
        <v>78</v>
      </c>
    </row>
    <row r="415" customFormat="false" ht="12.75" hidden="false" customHeight="true" outlineLevel="0" collapsed="false">
      <c r="A415" s="24" t="n">
        <v>411</v>
      </c>
      <c r="B415" s="25" t="n">
        <v>46159</v>
      </c>
      <c r="C415" s="25" t="n">
        <v>12</v>
      </c>
      <c r="D415" s="26" t="s">
        <v>87</v>
      </c>
      <c r="E415" s="26" t="s">
        <v>88</v>
      </c>
      <c r="F415" s="26" t="s">
        <v>73</v>
      </c>
      <c r="G415" s="26" t="s">
        <v>10</v>
      </c>
      <c r="H415" s="27" t="n">
        <v>0.354166666666667</v>
      </c>
      <c r="I415" s="27" t="n">
        <v>0.854166666666667</v>
      </c>
      <c r="J415" s="26" t="n">
        <f aca="false">IFERROR((I415-H415)*24*60,"")</f>
        <v>720</v>
      </c>
      <c r="K415" s="26" t="s">
        <v>74</v>
      </c>
      <c r="L415" s="26" t="s">
        <v>102</v>
      </c>
      <c r="M415" s="26" t="s">
        <v>91</v>
      </c>
      <c r="N415" s="26" t="s">
        <v>92</v>
      </c>
      <c r="O415" s="26" t="n">
        <v>8</v>
      </c>
      <c r="P415" s="26" t="n">
        <v>54</v>
      </c>
      <c r="Q415" s="26" t="n">
        <f aca="false">IFERROR(3600/(P415/O415),"")</f>
        <v>533.333333333333</v>
      </c>
      <c r="R415" s="26" t="n">
        <v>4955</v>
      </c>
      <c r="S415" s="26" t="n">
        <v>60</v>
      </c>
      <c r="T415" s="26" t="n">
        <f aca="false">IFERROR(J415-S415,"")</f>
        <v>660</v>
      </c>
      <c r="U415" s="26"/>
      <c r="V415" s="26" t="n">
        <v>30</v>
      </c>
      <c r="W415" s="26" t="n">
        <v>35</v>
      </c>
      <c r="X415" s="26" t="n">
        <v>11</v>
      </c>
      <c r="Y415" s="26"/>
      <c r="Z415" s="26"/>
      <c r="AA415" s="26"/>
      <c r="AB415" s="26"/>
      <c r="AC415" s="26"/>
      <c r="AD415" s="26"/>
      <c r="AE415" s="26"/>
      <c r="AF415" s="26" t="n">
        <f aca="false">SUM(U415:AE415)</f>
        <v>76</v>
      </c>
      <c r="AG415" s="26" t="n">
        <f aca="false">T415-AF415</f>
        <v>584</v>
      </c>
      <c r="AH415" s="28" t="n">
        <f aca="false">IFERROR(AG415/T415,"")</f>
        <v>0.884848484848485</v>
      </c>
      <c r="AI415" s="29" t="n">
        <f aca="false">IFERROR(R415/AG415*60,"")</f>
        <v>509.075342465753</v>
      </c>
      <c r="AJ415" s="30" t="n">
        <f aca="false">IFERROR(AI415/Q415,"")</f>
        <v>0.954516267123288</v>
      </c>
      <c r="AK415" s="31" t="n">
        <f aca="false">IFERROR(R415/(T415/60*Q415),"")</f>
        <v>0.844602272727273</v>
      </c>
      <c r="AL415" s="26" t="n">
        <v>5</v>
      </c>
      <c r="AM415" s="26" t="n">
        <v>6</v>
      </c>
      <c r="AN415" s="26" t="n">
        <v>10</v>
      </c>
      <c r="AO415" s="26" t="n">
        <v>8</v>
      </c>
      <c r="AP415" s="26" t="n">
        <v>12</v>
      </c>
      <c r="AQ415" s="26" t="n">
        <v>9</v>
      </c>
      <c r="AR415" s="26" t="n">
        <v>6</v>
      </c>
      <c r="AS415" s="26" t="n">
        <v>9</v>
      </c>
      <c r="AT415" s="26" t="n">
        <v>7</v>
      </c>
      <c r="AU415" s="26" t="n">
        <v>3</v>
      </c>
      <c r="AV415" s="26" t="n">
        <f aca="false">SUM(AL415:AU415)</f>
        <v>75</v>
      </c>
      <c r="AW415" s="32" t="n">
        <f aca="false">IFERROR(AV415/R415*1000000,"")</f>
        <v>15136.2260343088</v>
      </c>
      <c r="AX415" s="33" t="n">
        <f aca="false">IFERROR((R415-AV415)/R415,"")</f>
        <v>0.984863773965691</v>
      </c>
      <c r="AY415" s="34" t="n">
        <f aca="false">IFERROR(AH415*AJ415*AX415,"")</f>
        <v>0.831818181818182</v>
      </c>
      <c r="AZ415" s="35" t="s">
        <v>86</v>
      </c>
    </row>
    <row r="416" customFormat="false" ht="12.75" hidden="false" customHeight="true" outlineLevel="0" collapsed="false">
      <c r="A416" s="24" t="n">
        <v>412</v>
      </c>
      <c r="B416" s="25" t="n">
        <v>46160</v>
      </c>
      <c r="C416" s="25" t="n">
        <v>12</v>
      </c>
      <c r="D416" s="26" t="s">
        <v>71</v>
      </c>
      <c r="E416" s="26" t="s">
        <v>94</v>
      </c>
      <c r="F416" s="26" t="s">
        <v>81</v>
      </c>
      <c r="G416" s="26" t="s">
        <v>11</v>
      </c>
      <c r="H416" s="27" t="n">
        <v>0.354166666666667</v>
      </c>
      <c r="I416" s="27" t="n">
        <v>0.854166666666667</v>
      </c>
      <c r="J416" s="26" t="n">
        <f aca="false">IFERROR((I416-H416)*24*60,"")</f>
        <v>720</v>
      </c>
      <c r="K416" s="26" t="s">
        <v>105</v>
      </c>
      <c r="L416" s="26" t="s">
        <v>108</v>
      </c>
      <c r="M416" s="26" t="s">
        <v>95</v>
      </c>
      <c r="N416" s="26" t="s">
        <v>96</v>
      </c>
      <c r="O416" s="26" t="n">
        <v>8</v>
      </c>
      <c r="P416" s="26" t="n">
        <v>67</v>
      </c>
      <c r="Q416" s="26" t="n">
        <f aca="false">IFERROR(3600/(P416/O416),"")</f>
        <v>429.850746268657</v>
      </c>
      <c r="R416" s="26" t="n">
        <v>3641</v>
      </c>
      <c r="S416" s="26" t="n">
        <v>31</v>
      </c>
      <c r="T416" s="26" t="n">
        <f aca="false">IFERROR(J416-S416,"")</f>
        <v>689</v>
      </c>
      <c r="U416" s="26"/>
      <c r="V416" s="26"/>
      <c r="W416" s="26"/>
      <c r="X416" s="26"/>
      <c r="Y416" s="26"/>
      <c r="Z416" s="26"/>
      <c r="AA416" s="26"/>
      <c r="AB416" s="26" t="n">
        <v>17</v>
      </c>
      <c r="AC416" s="26"/>
      <c r="AD416" s="26"/>
      <c r="AE416" s="26"/>
      <c r="AF416" s="26" t="n">
        <f aca="false">SUM(U416:AE416)</f>
        <v>17</v>
      </c>
      <c r="AG416" s="26" t="n">
        <f aca="false">T416-AF416</f>
        <v>672</v>
      </c>
      <c r="AH416" s="28" t="n">
        <f aca="false">IFERROR(AG416/T416,"")</f>
        <v>0.975326560232221</v>
      </c>
      <c r="AI416" s="29" t="n">
        <f aca="false">IFERROR(R416/AG416*60,"")</f>
        <v>325.089285714286</v>
      </c>
      <c r="AJ416" s="30" t="n">
        <f aca="false">IFERROR(AI416/Q416,"")</f>
        <v>0.75628410218254</v>
      </c>
      <c r="AK416" s="31" t="n">
        <f aca="false">IFERROR(R416/(T416/60*Q416),"")</f>
        <v>0.73762397194001</v>
      </c>
      <c r="AL416" s="26" t="n">
        <v>6</v>
      </c>
      <c r="AM416" s="26" t="n">
        <v>3</v>
      </c>
      <c r="AN416" s="26" t="n">
        <v>1</v>
      </c>
      <c r="AO416" s="26" t="n">
        <v>5</v>
      </c>
      <c r="AP416" s="26" t="n">
        <v>4</v>
      </c>
      <c r="AQ416" s="26" t="n">
        <v>3</v>
      </c>
      <c r="AR416" s="26" t="n">
        <v>3</v>
      </c>
      <c r="AS416" s="26" t="n">
        <v>2</v>
      </c>
      <c r="AT416" s="26" t="n">
        <v>6</v>
      </c>
      <c r="AU416" s="26" t="n">
        <v>3</v>
      </c>
      <c r="AV416" s="26" t="n">
        <f aca="false">SUM(AL416:AU416)</f>
        <v>36</v>
      </c>
      <c r="AW416" s="32" t="n">
        <f aca="false">IFERROR(AV416/R416*1000000,"")</f>
        <v>9887.39357319418</v>
      </c>
      <c r="AX416" s="33" t="n">
        <f aca="false">IFERROR((R416-AV416)/R416,"")</f>
        <v>0.990112606426806</v>
      </c>
      <c r="AY416" s="34" t="n">
        <f aca="false">IFERROR(AH416*AJ416*AX416,"")</f>
        <v>0.730330793420416</v>
      </c>
      <c r="AZ416" s="35" t="s">
        <v>93</v>
      </c>
    </row>
    <row r="417" customFormat="false" ht="12.75" hidden="false" customHeight="true" outlineLevel="0" collapsed="false">
      <c r="A417" s="24" t="n">
        <v>413</v>
      </c>
      <c r="B417" s="25" t="n">
        <v>46160</v>
      </c>
      <c r="C417" s="25" t="n">
        <v>12</v>
      </c>
      <c r="D417" s="26" t="s">
        <v>79</v>
      </c>
      <c r="E417" s="26" t="s">
        <v>97</v>
      </c>
      <c r="F417" s="26" t="s">
        <v>73</v>
      </c>
      <c r="G417" s="26" t="s">
        <v>12</v>
      </c>
      <c r="H417" s="27" t="n">
        <v>0.354166666666667</v>
      </c>
      <c r="I417" s="27" t="n">
        <v>0.854166666666667</v>
      </c>
      <c r="J417" s="26" t="n">
        <f aca="false">IFERROR((I417-H417)*24*60,"")</f>
        <v>720</v>
      </c>
      <c r="K417" s="26" t="s">
        <v>74</v>
      </c>
      <c r="L417" s="26" t="s">
        <v>83</v>
      </c>
      <c r="M417" s="26" t="s">
        <v>99</v>
      </c>
      <c r="N417" s="26" t="s">
        <v>100</v>
      </c>
      <c r="O417" s="26" t="n">
        <v>4</v>
      </c>
      <c r="P417" s="26" t="n">
        <v>40</v>
      </c>
      <c r="Q417" s="26" t="n">
        <f aca="false">IFERROR(3600/(P417/O417),"")</f>
        <v>360</v>
      </c>
      <c r="R417" s="26" t="n">
        <v>3889</v>
      </c>
      <c r="S417" s="26" t="n">
        <v>41</v>
      </c>
      <c r="T417" s="26" t="n">
        <f aca="false">IFERROR(J417-S417,"")</f>
        <v>679</v>
      </c>
      <c r="U417" s="26" t="n">
        <v>9</v>
      </c>
      <c r="V417" s="26"/>
      <c r="W417" s="26"/>
      <c r="X417" s="26"/>
      <c r="Y417" s="26" t="n">
        <v>11</v>
      </c>
      <c r="Z417" s="26"/>
      <c r="AA417" s="26"/>
      <c r="AB417" s="26"/>
      <c r="AC417" s="26"/>
      <c r="AD417" s="26"/>
      <c r="AE417" s="26"/>
      <c r="AF417" s="26" t="n">
        <f aca="false">SUM(U417:AE417)</f>
        <v>20</v>
      </c>
      <c r="AG417" s="26" t="n">
        <f aca="false">T417-AF417</f>
        <v>659</v>
      </c>
      <c r="AH417" s="28" t="n">
        <f aca="false">IFERROR(AG417/T417,"")</f>
        <v>0.970544918998527</v>
      </c>
      <c r="AI417" s="29" t="n">
        <f aca="false">IFERROR(R417/AG417*60,"")</f>
        <v>354.081942336874</v>
      </c>
      <c r="AJ417" s="30" t="n">
        <f aca="false">IFERROR(AI417/Q417,"")</f>
        <v>0.983560950935761</v>
      </c>
      <c r="AK417" s="31" t="n">
        <f aca="false">IFERROR(R417/(T417/60*Q417),"")</f>
        <v>0.954590083456063</v>
      </c>
      <c r="AL417" s="26" t="n">
        <v>5</v>
      </c>
      <c r="AM417" s="26" t="n">
        <v>7</v>
      </c>
      <c r="AN417" s="26" t="n">
        <v>10</v>
      </c>
      <c r="AO417" s="26" t="n">
        <v>9</v>
      </c>
      <c r="AP417" s="26" t="n">
        <v>6</v>
      </c>
      <c r="AQ417" s="26" t="n">
        <v>3</v>
      </c>
      <c r="AR417" s="26" t="n">
        <v>5</v>
      </c>
      <c r="AS417" s="26" t="n">
        <v>8</v>
      </c>
      <c r="AT417" s="26" t="n">
        <v>14</v>
      </c>
      <c r="AU417" s="26" t="n">
        <v>14</v>
      </c>
      <c r="AV417" s="26" t="n">
        <f aca="false">SUM(AL417:AU417)</f>
        <v>81</v>
      </c>
      <c r="AW417" s="32" t="n">
        <f aca="false">IFERROR(AV417/R417*1000000,"")</f>
        <v>20827.976343533</v>
      </c>
      <c r="AX417" s="33" t="n">
        <f aca="false">IFERROR((R417-AV417)/R417,"")</f>
        <v>0.979172023656467</v>
      </c>
      <c r="AY417" s="34" t="n">
        <f aca="false">IFERROR(AH417*AJ417*AX417,"")</f>
        <v>0.934707903780069</v>
      </c>
      <c r="AZ417" s="35" t="s">
        <v>86</v>
      </c>
    </row>
    <row r="418" customFormat="false" ht="12.75" hidden="false" customHeight="true" outlineLevel="0" collapsed="false">
      <c r="A418" s="24" t="n">
        <v>414</v>
      </c>
      <c r="B418" s="25" t="n">
        <v>46160</v>
      </c>
      <c r="C418" s="25" t="n">
        <v>12</v>
      </c>
      <c r="D418" s="26" t="s">
        <v>87</v>
      </c>
      <c r="E418" s="26" t="s">
        <v>101</v>
      </c>
      <c r="F418" s="26" t="s">
        <v>81</v>
      </c>
      <c r="G418" s="26" t="s">
        <v>13</v>
      </c>
      <c r="H418" s="27" t="n">
        <v>0.354166666666667</v>
      </c>
      <c r="I418" s="27" t="n">
        <v>0.854166666666667</v>
      </c>
      <c r="J418" s="26" t="n">
        <f aca="false">IFERROR((I418-H418)*24*60,"")</f>
        <v>720</v>
      </c>
      <c r="K418" s="26" t="s">
        <v>89</v>
      </c>
      <c r="L418" s="26" t="s">
        <v>107</v>
      </c>
      <c r="M418" s="26" t="s">
        <v>103</v>
      </c>
      <c r="N418" s="26" t="s">
        <v>104</v>
      </c>
      <c r="O418" s="26" t="n">
        <v>1</v>
      </c>
      <c r="P418" s="26" t="n">
        <v>24</v>
      </c>
      <c r="Q418" s="26" t="n">
        <f aca="false">IFERROR(3600/(P418/O418),"")</f>
        <v>150</v>
      </c>
      <c r="R418" s="26" t="n">
        <v>1304</v>
      </c>
      <c r="S418" s="26" t="n">
        <v>37</v>
      </c>
      <c r="T418" s="26" t="n">
        <f aca="false">IFERROR(J418-S418,"")</f>
        <v>683</v>
      </c>
      <c r="U418" s="26" t="n">
        <v>3</v>
      </c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 t="n">
        <f aca="false">SUM(U418:AE418)</f>
        <v>3</v>
      </c>
      <c r="AG418" s="26" t="n">
        <f aca="false">T418-AF418</f>
        <v>680</v>
      </c>
      <c r="AH418" s="28" t="n">
        <f aca="false">IFERROR(AG418/T418,"")</f>
        <v>0.995607613469985</v>
      </c>
      <c r="AI418" s="29" t="n">
        <f aca="false">IFERROR(R418/AG418*60,"")</f>
        <v>115.058823529412</v>
      </c>
      <c r="AJ418" s="30" t="n">
        <f aca="false">IFERROR(AI418/Q418,"")</f>
        <v>0.767058823529412</v>
      </c>
      <c r="AK418" s="31" t="n">
        <f aca="false">IFERROR(R418/(T418/60*Q418),"")</f>
        <v>0.763689604685212</v>
      </c>
      <c r="AL418" s="26"/>
      <c r="AM418" s="26"/>
      <c r="AN418" s="26"/>
      <c r="AO418" s="26"/>
      <c r="AP418" s="26"/>
      <c r="AQ418" s="26"/>
      <c r="AR418" s="26" t="n">
        <v>2</v>
      </c>
      <c r="AS418" s="26" t="n">
        <v>1</v>
      </c>
      <c r="AT418" s="26" t="n">
        <v>1</v>
      </c>
      <c r="AU418" s="26"/>
      <c r="AV418" s="26" t="n">
        <f aca="false">SUM(AL418:AU418)</f>
        <v>4</v>
      </c>
      <c r="AW418" s="32" t="n">
        <f aca="false">IFERROR(AV418/R418*1000000,"")</f>
        <v>3067.48466257669</v>
      </c>
      <c r="AX418" s="33" t="n">
        <f aca="false">IFERROR((R418-AV418)/R418,"")</f>
        <v>0.996932515337423</v>
      </c>
      <c r="AY418" s="34" t="n">
        <f aca="false">IFERROR(AH418*AJ418*AX418,"")</f>
        <v>0.761346998535871</v>
      </c>
      <c r="AZ418" s="35" t="s">
        <v>78</v>
      </c>
    </row>
    <row r="419" customFormat="false" ht="12.75" hidden="false" customHeight="true" outlineLevel="0" collapsed="false">
      <c r="A419" s="24" t="n">
        <v>415</v>
      </c>
      <c r="B419" s="25" t="n">
        <v>46161</v>
      </c>
      <c r="C419" s="25" t="n">
        <v>12</v>
      </c>
      <c r="D419" s="26" t="s">
        <v>71</v>
      </c>
      <c r="E419" s="26" t="s">
        <v>72</v>
      </c>
      <c r="F419" s="26" t="s">
        <v>73</v>
      </c>
      <c r="G419" s="26" t="s">
        <v>8</v>
      </c>
      <c r="H419" s="27" t="n">
        <v>0.354166666666667</v>
      </c>
      <c r="I419" s="27" t="n">
        <v>0.854166666666667</v>
      </c>
      <c r="J419" s="26" t="n">
        <f aca="false">IFERROR((I419-H419)*24*60,"")</f>
        <v>720</v>
      </c>
      <c r="K419" s="26" t="s">
        <v>82</v>
      </c>
      <c r="L419" s="26" t="s">
        <v>107</v>
      </c>
      <c r="M419" s="26" t="s">
        <v>76</v>
      </c>
      <c r="N419" s="26" t="s">
        <v>77</v>
      </c>
      <c r="O419" s="26" t="n">
        <v>8</v>
      </c>
      <c r="P419" s="26" t="n">
        <v>69</v>
      </c>
      <c r="Q419" s="26" t="n">
        <f aca="false">IFERROR(3600/(P419/O419),"")</f>
        <v>417.391304347826</v>
      </c>
      <c r="R419" s="26" t="n">
        <v>3619</v>
      </c>
      <c r="S419" s="26" t="n">
        <v>31</v>
      </c>
      <c r="T419" s="26" t="n">
        <f aca="false">IFERROR(J419-S419,"")</f>
        <v>689</v>
      </c>
      <c r="U419" s="26"/>
      <c r="V419" s="26"/>
      <c r="W419" s="26"/>
      <c r="X419" s="26"/>
      <c r="Y419" s="26" t="n">
        <v>8</v>
      </c>
      <c r="Z419" s="26"/>
      <c r="AA419" s="26"/>
      <c r="AB419" s="26"/>
      <c r="AC419" s="26"/>
      <c r="AD419" s="26"/>
      <c r="AE419" s="26"/>
      <c r="AF419" s="26" t="n">
        <f aca="false">SUM(U419:AE419)</f>
        <v>8</v>
      </c>
      <c r="AG419" s="26" t="n">
        <f aca="false">T419-AF419</f>
        <v>681</v>
      </c>
      <c r="AH419" s="28" t="n">
        <f aca="false">IFERROR(AG419/T419,"")</f>
        <v>0.988388969521045</v>
      </c>
      <c r="AI419" s="29" t="n">
        <f aca="false">IFERROR(R419/AG419*60,"")</f>
        <v>318.854625550661</v>
      </c>
      <c r="AJ419" s="30" t="n">
        <f aca="false">IFERROR(AI419/Q419,"")</f>
        <v>0.763922540381792</v>
      </c>
      <c r="AK419" s="31" t="n">
        <f aca="false">IFERROR(R419/(T419/60*Q419),"")</f>
        <v>0.755052612481858</v>
      </c>
      <c r="AL419" s="26" t="n">
        <v>2</v>
      </c>
      <c r="AM419" s="26" t="n">
        <v>2</v>
      </c>
      <c r="AN419" s="26" t="n">
        <v>1</v>
      </c>
      <c r="AO419" s="26" t="n">
        <v>3</v>
      </c>
      <c r="AP419" s="26" t="n">
        <v>4</v>
      </c>
      <c r="AQ419" s="26" t="n">
        <v>2</v>
      </c>
      <c r="AR419" s="26" t="n">
        <v>3</v>
      </c>
      <c r="AS419" s="26" t="n">
        <v>1</v>
      </c>
      <c r="AT419" s="26" t="n">
        <v>3</v>
      </c>
      <c r="AU419" s="26" t="n">
        <v>1</v>
      </c>
      <c r="AV419" s="26" t="n">
        <f aca="false">SUM(AL419:AU419)</f>
        <v>22</v>
      </c>
      <c r="AW419" s="32" t="n">
        <f aca="false">IFERROR(AV419/R419*1000000,"")</f>
        <v>6079.0273556231</v>
      </c>
      <c r="AX419" s="33" t="n">
        <f aca="false">IFERROR((R419-AV419)/R419,"")</f>
        <v>0.993920972644377</v>
      </c>
      <c r="AY419" s="34" t="n">
        <f aca="false">IFERROR(AH419*AJ419*AX419,"")</f>
        <v>0.750462626995646</v>
      </c>
      <c r="AZ419" s="35" t="s">
        <v>78</v>
      </c>
    </row>
    <row r="420" customFormat="false" ht="12.75" hidden="false" customHeight="true" outlineLevel="0" collapsed="false">
      <c r="A420" s="24" t="n">
        <v>416</v>
      </c>
      <c r="B420" s="25" t="n">
        <v>46161</v>
      </c>
      <c r="C420" s="25" t="n">
        <v>12</v>
      </c>
      <c r="D420" s="26" t="s">
        <v>79</v>
      </c>
      <c r="E420" s="26" t="s">
        <v>80</v>
      </c>
      <c r="F420" s="26" t="s">
        <v>81</v>
      </c>
      <c r="G420" s="26" t="s">
        <v>9</v>
      </c>
      <c r="H420" s="27" t="n">
        <v>0.354166666666667</v>
      </c>
      <c r="I420" s="27" t="n">
        <v>0.854166666666667</v>
      </c>
      <c r="J420" s="26" t="n">
        <f aca="false">IFERROR((I420-H420)*24*60,"")</f>
        <v>720</v>
      </c>
      <c r="K420" s="26" t="s">
        <v>105</v>
      </c>
      <c r="L420" s="26" t="s">
        <v>90</v>
      </c>
      <c r="M420" s="26" t="s">
        <v>84</v>
      </c>
      <c r="N420" s="26" t="s">
        <v>85</v>
      </c>
      <c r="O420" s="26" t="n">
        <v>1</v>
      </c>
      <c r="P420" s="26" t="n">
        <v>53</v>
      </c>
      <c r="Q420" s="26" t="n">
        <f aca="false">IFERROR(3600/(P420/O420),"")</f>
        <v>67.9245283018868</v>
      </c>
      <c r="R420" s="26" t="n">
        <v>738</v>
      </c>
      <c r="S420" s="26" t="n">
        <v>30</v>
      </c>
      <c r="T420" s="26" t="n">
        <f aca="false">IFERROR(J420-S420,"")</f>
        <v>690</v>
      </c>
      <c r="U420" s="26"/>
      <c r="V420" s="26"/>
      <c r="W420" s="26" t="n">
        <v>17</v>
      </c>
      <c r="X420" s="26"/>
      <c r="Y420" s="26"/>
      <c r="Z420" s="26" t="n">
        <v>3</v>
      </c>
      <c r="AA420" s="26"/>
      <c r="AB420" s="26"/>
      <c r="AC420" s="26"/>
      <c r="AD420" s="26"/>
      <c r="AE420" s="26"/>
      <c r="AF420" s="26" t="n">
        <f aca="false">SUM(U420:AE420)</f>
        <v>20</v>
      </c>
      <c r="AG420" s="26" t="n">
        <f aca="false">T420-AF420</f>
        <v>670</v>
      </c>
      <c r="AH420" s="28" t="n">
        <f aca="false">IFERROR(AG420/T420,"")</f>
        <v>0.971014492753623</v>
      </c>
      <c r="AI420" s="29" t="n">
        <f aca="false">IFERROR(R420/AG420*60,"")</f>
        <v>66.089552238806</v>
      </c>
      <c r="AJ420" s="30" t="n">
        <f aca="false">IFERROR(AI420/Q420,"")</f>
        <v>0.972985074626866</v>
      </c>
      <c r="AK420" s="31" t="n">
        <f aca="false">IFERROR(R420/(T420/60*Q420),"")</f>
        <v>0.944782608695652</v>
      </c>
      <c r="AL420" s="26" t="n">
        <v>2</v>
      </c>
      <c r="AM420" s="26" t="n">
        <v>2</v>
      </c>
      <c r="AN420" s="26"/>
      <c r="AO420" s="26"/>
      <c r="AP420" s="26" t="n">
        <v>2</v>
      </c>
      <c r="AQ420" s="26" t="n">
        <v>2</v>
      </c>
      <c r="AR420" s="26" t="n">
        <v>5</v>
      </c>
      <c r="AS420" s="26" t="n">
        <v>1</v>
      </c>
      <c r="AT420" s="26"/>
      <c r="AU420" s="26" t="n">
        <v>1</v>
      </c>
      <c r="AV420" s="26" t="n">
        <f aca="false">SUM(AL420:AU420)</f>
        <v>15</v>
      </c>
      <c r="AW420" s="32" t="n">
        <f aca="false">IFERROR(AV420/R420*1000000,"")</f>
        <v>20325.2032520325</v>
      </c>
      <c r="AX420" s="33" t="n">
        <f aca="false">IFERROR((R420-AV420)/R420,"")</f>
        <v>0.979674796747967</v>
      </c>
      <c r="AY420" s="34" t="n">
        <f aca="false">IFERROR(AH420*AJ420*AX420,"")</f>
        <v>0.925579710144927</v>
      </c>
      <c r="AZ420" s="35"/>
    </row>
    <row r="421" customFormat="false" ht="12.75" hidden="false" customHeight="true" outlineLevel="0" collapsed="false">
      <c r="A421" s="24" t="n">
        <v>417</v>
      </c>
      <c r="B421" s="25" t="n">
        <v>46161</v>
      </c>
      <c r="C421" s="25" t="n">
        <v>12</v>
      </c>
      <c r="D421" s="26" t="s">
        <v>87</v>
      </c>
      <c r="E421" s="26" t="s">
        <v>88</v>
      </c>
      <c r="F421" s="26" t="s">
        <v>73</v>
      </c>
      <c r="G421" s="26" t="s">
        <v>10</v>
      </c>
      <c r="H421" s="27" t="n">
        <v>0.354166666666667</v>
      </c>
      <c r="I421" s="27" t="n">
        <v>0.854166666666667</v>
      </c>
      <c r="J421" s="26" t="n">
        <f aca="false">IFERROR((I421-H421)*24*60,"")</f>
        <v>720</v>
      </c>
      <c r="K421" s="26" t="s">
        <v>89</v>
      </c>
      <c r="L421" s="26" t="s">
        <v>90</v>
      </c>
      <c r="M421" s="26" t="s">
        <v>91</v>
      </c>
      <c r="N421" s="26" t="s">
        <v>92</v>
      </c>
      <c r="O421" s="26" t="n">
        <v>1</v>
      </c>
      <c r="P421" s="26" t="n">
        <v>69</v>
      </c>
      <c r="Q421" s="26" t="n">
        <f aca="false">IFERROR(3600/(P421/O421),"")</f>
        <v>52.1739130434783</v>
      </c>
      <c r="R421" s="26" t="n">
        <v>403</v>
      </c>
      <c r="S421" s="26" t="n">
        <v>53</v>
      </c>
      <c r="T421" s="26" t="n">
        <f aca="false">IFERROR(J421-S421,"")</f>
        <v>667</v>
      </c>
      <c r="U421" s="26" t="n">
        <v>12</v>
      </c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 t="n">
        <f aca="false">SUM(U421:AE421)</f>
        <v>12</v>
      </c>
      <c r="AG421" s="26" t="n">
        <f aca="false">T421-AF421</f>
        <v>655</v>
      </c>
      <c r="AH421" s="28" t="n">
        <f aca="false">IFERROR(AG421/T421,"")</f>
        <v>0.982008995502249</v>
      </c>
      <c r="AI421" s="29" t="n">
        <f aca="false">IFERROR(R421/AG421*60,"")</f>
        <v>36.9160305343511</v>
      </c>
      <c r="AJ421" s="30" t="n">
        <f aca="false">IFERROR(AI421/Q421,"")</f>
        <v>0.707557251908397</v>
      </c>
      <c r="AK421" s="31" t="n">
        <f aca="false">IFERROR(R421/(T421/60*Q421),"")</f>
        <v>0.694827586206897</v>
      </c>
      <c r="AL421" s="26"/>
      <c r="AM421" s="26" t="n">
        <v>1</v>
      </c>
      <c r="AN421" s="26"/>
      <c r="AO421" s="26"/>
      <c r="AP421" s="26" t="n">
        <v>1</v>
      </c>
      <c r="AQ421" s="26" t="n">
        <v>1</v>
      </c>
      <c r="AR421" s="26" t="n">
        <v>1</v>
      </c>
      <c r="AS421" s="26"/>
      <c r="AT421" s="26" t="n">
        <v>1</v>
      </c>
      <c r="AU421" s="26" t="n">
        <v>3</v>
      </c>
      <c r="AV421" s="26" t="n">
        <f aca="false">SUM(AL421:AU421)</f>
        <v>8</v>
      </c>
      <c r="AW421" s="32" t="n">
        <f aca="false">IFERROR(AV421/R421*1000000,"")</f>
        <v>19851.1166253102</v>
      </c>
      <c r="AX421" s="33" t="n">
        <f aca="false">IFERROR((R421-AV421)/R421,"")</f>
        <v>0.98014888337469</v>
      </c>
      <c r="AY421" s="34" t="n">
        <f aca="false">IFERROR(AH421*AJ421*AX421,"")</f>
        <v>0.681034482758621</v>
      </c>
      <c r="AZ421" s="35" t="s">
        <v>78</v>
      </c>
    </row>
    <row r="422" customFormat="false" ht="12.75" hidden="false" customHeight="true" outlineLevel="0" collapsed="false">
      <c r="A422" s="24" t="n">
        <v>418</v>
      </c>
      <c r="B422" s="25" t="n">
        <v>46162</v>
      </c>
      <c r="C422" s="25" t="n">
        <v>12</v>
      </c>
      <c r="D422" s="26" t="s">
        <v>71</v>
      </c>
      <c r="E422" s="26" t="s">
        <v>94</v>
      </c>
      <c r="F422" s="26" t="s">
        <v>81</v>
      </c>
      <c r="G422" s="26" t="s">
        <v>11</v>
      </c>
      <c r="H422" s="27" t="n">
        <v>0.354166666666667</v>
      </c>
      <c r="I422" s="27" t="n">
        <v>0.854166666666667</v>
      </c>
      <c r="J422" s="26" t="n">
        <f aca="false">IFERROR((I422-H422)*24*60,"")</f>
        <v>720</v>
      </c>
      <c r="K422" s="26" t="s">
        <v>74</v>
      </c>
      <c r="L422" s="26" t="s">
        <v>107</v>
      </c>
      <c r="M422" s="26" t="s">
        <v>95</v>
      </c>
      <c r="N422" s="26" t="s">
        <v>96</v>
      </c>
      <c r="O422" s="26" t="n">
        <v>8</v>
      </c>
      <c r="P422" s="26" t="n">
        <v>50</v>
      </c>
      <c r="Q422" s="26" t="n">
        <f aca="false">IFERROR(3600/(P422/O422),"")</f>
        <v>576</v>
      </c>
      <c r="R422" s="26" t="n">
        <v>5474</v>
      </c>
      <c r="S422" s="26" t="n">
        <v>53</v>
      </c>
      <c r="T422" s="26" t="n">
        <f aca="false">IFERROR(J422-S422,"")</f>
        <v>667</v>
      </c>
      <c r="U422" s="26"/>
      <c r="V422" s="26"/>
      <c r="W422" s="26" t="n">
        <v>11</v>
      </c>
      <c r="X422" s="26"/>
      <c r="Y422" s="26"/>
      <c r="Z422" s="26"/>
      <c r="AA422" s="26"/>
      <c r="AB422" s="26"/>
      <c r="AC422" s="26" t="n">
        <v>9</v>
      </c>
      <c r="AD422" s="26"/>
      <c r="AE422" s="26"/>
      <c r="AF422" s="26" t="n">
        <f aca="false">SUM(U422:AE422)</f>
        <v>20</v>
      </c>
      <c r="AG422" s="26" t="n">
        <f aca="false">T422-AF422</f>
        <v>647</v>
      </c>
      <c r="AH422" s="28" t="n">
        <f aca="false">IFERROR(AG422/T422,"")</f>
        <v>0.970014992503748</v>
      </c>
      <c r="AI422" s="29" t="n">
        <f aca="false">IFERROR(R422/AG422*60,"")</f>
        <v>507.635239567233</v>
      </c>
      <c r="AJ422" s="30" t="n">
        <f aca="false">IFERROR(AI422/Q422,"")</f>
        <v>0.881311179804225</v>
      </c>
      <c r="AK422" s="31" t="n">
        <f aca="false">IFERROR(R422/(T422/60*Q422),"")</f>
        <v>0.854885057471264</v>
      </c>
      <c r="AL422" s="26" t="n">
        <v>7</v>
      </c>
      <c r="AM422" s="26" t="n">
        <v>12</v>
      </c>
      <c r="AN422" s="26" t="n">
        <v>13</v>
      </c>
      <c r="AO422" s="26" t="n">
        <v>2</v>
      </c>
      <c r="AP422" s="26" t="n">
        <v>7</v>
      </c>
      <c r="AQ422" s="26" t="n">
        <v>10</v>
      </c>
      <c r="AR422" s="26" t="n">
        <v>10</v>
      </c>
      <c r="AS422" s="26" t="n">
        <v>13</v>
      </c>
      <c r="AT422" s="26" t="n">
        <v>13</v>
      </c>
      <c r="AU422" s="26" t="n">
        <v>15</v>
      </c>
      <c r="AV422" s="26" t="n">
        <f aca="false">SUM(AL422:AU422)</f>
        <v>102</v>
      </c>
      <c r="AW422" s="32" t="n">
        <f aca="false">IFERROR(AV422/R422*1000000,"")</f>
        <v>18633.5403726708</v>
      </c>
      <c r="AX422" s="33" t="n">
        <f aca="false">IFERROR((R422-AV422)/R422,"")</f>
        <v>0.981366459627329</v>
      </c>
      <c r="AY422" s="34" t="n">
        <f aca="false">IFERROR(AH422*AJ422*AX422,"")</f>
        <v>0.838955522238881</v>
      </c>
      <c r="AZ422" s="35" t="s">
        <v>93</v>
      </c>
    </row>
    <row r="423" customFormat="false" ht="12.75" hidden="false" customHeight="true" outlineLevel="0" collapsed="false">
      <c r="A423" s="24" t="n">
        <v>419</v>
      </c>
      <c r="B423" s="25" t="n">
        <v>46162</v>
      </c>
      <c r="C423" s="25" t="n">
        <v>12</v>
      </c>
      <c r="D423" s="26" t="s">
        <v>79</v>
      </c>
      <c r="E423" s="26" t="s">
        <v>97</v>
      </c>
      <c r="F423" s="26" t="s">
        <v>73</v>
      </c>
      <c r="G423" s="26" t="s">
        <v>12</v>
      </c>
      <c r="H423" s="27" t="n">
        <v>0.354166666666667</v>
      </c>
      <c r="I423" s="27" t="n">
        <v>0.854166666666667</v>
      </c>
      <c r="J423" s="26" t="n">
        <f aca="false">IFERROR((I423-H423)*24*60,"")</f>
        <v>720</v>
      </c>
      <c r="K423" s="26" t="s">
        <v>105</v>
      </c>
      <c r="L423" s="26" t="s">
        <v>90</v>
      </c>
      <c r="M423" s="26" t="s">
        <v>99</v>
      </c>
      <c r="N423" s="26" t="s">
        <v>100</v>
      </c>
      <c r="O423" s="26" t="n">
        <v>4</v>
      </c>
      <c r="P423" s="26" t="n">
        <v>55</v>
      </c>
      <c r="Q423" s="26" t="n">
        <f aca="false">IFERROR(3600/(P423/O423),"")</f>
        <v>261.818181818182</v>
      </c>
      <c r="R423" s="26" t="n">
        <v>2605</v>
      </c>
      <c r="S423" s="26" t="n">
        <v>73</v>
      </c>
      <c r="T423" s="26" t="n">
        <f aca="false">IFERROR(J423-S423,"")</f>
        <v>647</v>
      </c>
      <c r="U423" s="26"/>
      <c r="V423" s="26"/>
      <c r="W423" s="26"/>
      <c r="X423" s="26"/>
      <c r="Y423" s="26"/>
      <c r="Z423" s="26"/>
      <c r="AA423" s="26" t="n">
        <v>13</v>
      </c>
      <c r="AB423" s="26"/>
      <c r="AC423" s="26"/>
      <c r="AD423" s="26"/>
      <c r="AE423" s="26"/>
      <c r="AF423" s="26" t="n">
        <f aca="false">SUM(U423:AE423)</f>
        <v>13</v>
      </c>
      <c r="AG423" s="26" t="n">
        <f aca="false">T423-AF423</f>
        <v>634</v>
      </c>
      <c r="AH423" s="28" t="n">
        <f aca="false">IFERROR(AG423/T423,"")</f>
        <v>0.979907264296754</v>
      </c>
      <c r="AI423" s="29" t="n">
        <f aca="false">IFERROR(R423/AG423*60,"")</f>
        <v>246.529968454259</v>
      </c>
      <c r="AJ423" s="30" t="n">
        <f aca="false">IFERROR(AI423/Q423,"")</f>
        <v>0.941607518401682</v>
      </c>
      <c r="AK423" s="31" t="n">
        <f aca="false">IFERROR(R423/(T423/60*Q423),"")</f>
        <v>0.922688047398248</v>
      </c>
      <c r="AL423" s="26" t="n">
        <v>8</v>
      </c>
      <c r="AM423" s="26" t="n">
        <v>4</v>
      </c>
      <c r="AN423" s="26" t="n">
        <v>10</v>
      </c>
      <c r="AO423" s="26" t="n">
        <v>3</v>
      </c>
      <c r="AP423" s="26" t="n">
        <v>4</v>
      </c>
      <c r="AQ423" s="26" t="n">
        <v>4</v>
      </c>
      <c r="AR423" s="26" t="n">
        <v>4</v>
      </c>
      <c r="AS423" s="26" t="n">
        <v>6</v>
      </c>
      <c r="AT423" s="26" t="n">
        <v>5</v>
      </c>
      <c r="AU423" s="26" t="n">
        <v>3</v>
      </c>
      <c r="AV423" s="26" t="n">
        <f aca="false">SUM(AL423:AU423)</f>
        <v>51</v>
      </c>
      <c r="AW423" s="32" t="n">
        <f aca="false">IFERROR(AV423/R423*1000000,"")</f>
        <v>19577.7351247601</v>
      </c>
      <c r="AX423" s="33" t="n">
        <f aca="false">IFERROR((R423-AV423)/R423,"")</f>
        <v>0.98042226487524</v>
      </c>
      <c r="AY423" s="34" t="n">
        <f aca="false">IFERROR(AH423*AJ423*AX423,"")</f>
        <v>0.904623905203503</v>
      </c>
      <c r="AZ423" s="35" t="s">
        <v>93</v>
      </c>
    </row>
    <row r="424" customFormat="false" ht="12.75" hidden="false" customHeight="true" outlineLevel="0" collapsed="false">
      <c r="A424" s="24" t="n">
        <v>420</v>
      </c>
      <c r="B424" s="25" t="n">
        <v>46162</v>
      </c>
      <c r="C424" s="25" t="n">
        <v>12</v>
      </c>
      <c r="D424" s="26" t="s">
        <v>87</v>
      </c>
      <c r="E424" s="26" t="s">
        <v>101</v>
      </c>
      <c r="F424" s="26" t="s">
        <v>81</v>
      </c>
      <c r="G424" s="26" t="s">
        <v>13</v>
      </c>
      <c r="H424" s="27" t="n">
        <v>0.354166666666667</v>
      </c>
      <c r="I424" s="27" t="n">
        <v>0.854166666666667</v>
      </c>
      <c r="J424" s="26" t="n">
        <f aca="false">IFERROR((I424-H424)*24*60,"")</f>
        <v>720</v>
      </c>
      <c r="K424" s="26" t="s">
        <v>82</v>
      </c>
      <c r="L424" s="26" t="s">
        <v>107</v>
      </c>
      <c r="M424" s="26" t="s">
        <v>103</v>
      </c>
      <c r="N424" s="26" t="s">
        <v>104</v>
      </c>
      <c r="O424" s="26" t="n">
        <v>1</v>
      </c>
      <c r="P424" s="26" t="n">
        <v>31</v>
      </c>
      <c r="Q424" s="26" t="n">
        <f aca="false">IFERROR(3600/(P424/O424),"")</f>
        <v>116.129032258065</v>
      </c>
      <c r="R424" s="26" t="n">
        <v>1123</v>
      </c>
      <c r="S424" s="26" t="n">
        <v>65</v>
      </c>
      <c r="T424" s="26" t="n">
        <f aca="false">IFERROR(J424-S424,"")</f>
        <v>655</v>
      </c>
      <c r="U424" s="26"/>
      <c r="V424" s="26"/>
      <c r="W424" s="26" t="n">
        <v>7</v>
      </c>
      <c r="X424" s="26"/>
      <c r="Y424" s="26"/>
      <c r="Z424" s="26"/>
      <c r="AA424" s="26"/>
      <c r="AB424" s="26"/>
      <c r="AC424" s="26"/>
      <c r="AD424" s="26"/>
      <c r="AE424" s="26"/>
      <c r="AF424" s="26" t="n">
        <f aca="false">SUM(U424:AE424)</f>
        <v>7</v>
      </c>
      <c r="AG424" s="26" t="n">
        <f aca="false">T424-AF424</f>
        <v>648</v>
      </c>
      <c r="AH424" s="28" t="n">
        <f aca="false">IFERROR(AG424/T424,"")</f>
        <v>0.989312977099237</v>
      </c>
      <c r="AI424" s="29" t="n">
        <f aca="false">IFERROR(R424/AG424*60,"")</f>
        <v>103.981481481481</v>
      </c>
      <c r="AJ424" s="30" t="n">
        <f aca="false">IFERROR(AI424/Q424,"")</f>
        <v>0.89539609053498</v>
      </c>
      <c r="AK424" s="31" t="n">
        <f aca="false">IFERROR(R424/(T424/60*Q424),"")</f>
        <v>0.885826972010178</v>
      </c>
      <c r="AL424" s="26" t="n">
        <v>6</v>
      </c>
      <c r="AM424" s="26" t="n">
        <v>4</v>
      </c>
      <c r="AN424" s="26" t="n">
        <v>2</v>
      </c>
      <c r="AO424" s="26" t="n">
        <v>2</v>
      </c>
      <c r="AP424" s="26"/>
      <c r="AQ424" s="26" t="n">
        <v>3</v>
      </c>
      <c r="AR424" s="26" t="n">
        <v>2</v>
      </c>
      <c r="AS424" s="26" t="n">
        <v>3</v>
      </c>
      <c r="AT424" s="26"/>
      <c r="AU424" s="26" t="n">
        <v>2</v>
      </c>
      <c r="AV424" s="26" t="n">
        <f aca="false">SUM(AL424:AU424)</f>
        <v>24</v>
      </c>
      <c r="AW424" s="32" t="n">
        <f aca="false">IFERROR(AV424/R424*1000000,"")</f>
        <v>21371.3268032057</v>
      </c>
      <c r="AX424" s="33" t="n">
        <f aca="false">IFERROR((R424-AV424)/R424,"")</f>
        <v>0.978628673196794</v>
      </c>
      <c r="AY424" s="34" t="n">
        <f aca="false">IFERROR(AH424*AJ424*AX424,"")</f>
        <v>0.866895674300254</v>
      </c>
      <c r="AZ424" s="35" t="s">
        <v>93</v>
      </c>
    </row>
    <row r="425" customFormat="false" ht="12.75" hidden="false" customHeight="true" outlineLevel="0" collapsed="false">
      <c r="A425" s="24" t="n">
        <v>421</v>
      </c>
      <c r="B425" s="25" t="n">
        <v>46163</v>
      </c>
      <c r="C425" s="25" t="n">
        <v>12</v>
      </c>
      <c r="D425" s="26" t="s">
        <v>71</v>
      </c>
      <c r="E425" s="26" t="s">
        <v>72</v>
      </c>
      <c r="F425" s="26" t="s">
        <v>73</v>
      </c>
      <c r="G425" s="26" t="s">
        <v>8</v>
      </c>
      <c r="H425" s="27" t="n">
        <v>0.354166666666667</v>
      </c>
      <c r="I425" s="27" t="n">
        <v>0.854166666666667</v>
      </c>
      <c r="J425" s="26" t="n">
        <f aca="false">IFERROR((I425-H425)*24*60,"")</f>
        <v>720</v>
      </c>
      <c r="K425" s="26" t="s">
        <v>105</v>
      </c>
      <c r="L425" s="26" t="s">
        <v>108</v>
      </c>
      <c r="M425" s="26" t="s">
        <v>76</v>
      </c>
      <c r="N425" s="26" t="s">
        <v>77</v>
      </c>
      <c r="O425" s="26" t="n">
        <v>4</v>
      </c>
      <c r="P425" s="26" t="n">
        <v>38</v>
      </c>
      <c r="Q425" s="26" t="n">
        <f aca="false">IFERROR(3600/(P425/O425),"")</f>
        <v>378.947368421053</v>
      </c>
      <c r="R425" s="26" t="n">
        <v>3767</v>
      </c>
      <c r="S425" s="26" t="n">
        <v>65</v>
      </c>
      <c r="T425" s="26" t="n">
        <f aca="false">IFERROR(J425-S425,"")</f>
        <v>655</v>
      </c>
      <c r="U425" s="26"/>
      <c r="V425" s="26"/>
      <c r="W425" s="26"/>
      <c r="X425" s="26"/>
      <c r="Y425" s="26"/>
      <c r="Z425" s="26"/>
      <c r="AA425" s="26"/>
      <c r="AB425" s="26"/>
      <c r="AC425" s="26" t="n">
        <v>21</v>
      </c>
      <c r="AD425" s="26"/>
      <c r="AE425" s="26"/>
      <c r="AF425" s="26" t="n">
        <f aca="false">SUM(U425:AE425)</f>
        <v>21</v>
      </c>
      <c r="AG425" s="26" t="n">
        <f aca="false">T425-AF425</f>
        <v>634</v>
      </c>
      <c r="AH425" s="28" t="n">
        <f aca="false">IFERROR(AG425/T425,"")</f>
        <v>0.96793893129771</v>
      </c>
      <c r="AI425" s="29" t="n">
        <f aca="false">IFERROR(R425/AG425*60,"")</f>
        <v>356.498422712934</v>
      </c>
      <c r="AJ425" s="30" t="n">
        <f aca="false">IFERROR(AI425/Q425,"")</f>
        <v>0.940759726603575</v>
      </c>
      <c r="AK425" s="31" t="n">
        <f aca="false">IFERROR(R425/(T425/60*Q425),"")</f>
        <v>0.91059796437659</v>
      </c>
      <c r="AL425" s="26" t="n">
        <v>2</v>
      </c>
      <c r="AM425" s="26" t="n">
        <v>5</v>
      </c>
      <c r="AN425" s="26" t="n">
        <v>5</v>
      </c>
      <c r="AO425" s="26" t="n">
        <v>6</v>
      </c>
      <c r="AP425" s="26" t="n">
        <v>6</v>
      </c>
      <c r="AQ425" s="26" t="n">
        <v>5</v>
      </c>
      <c r="AR425" s="26" t="n">
        <v>4</v>
      </c>
      <c r="AS425" s="26" t="n">
        <v>4</v>
      </c>
      <c r="AT425" s="26" t="n">
        <v>6</v>
      </c>
      <c r="AU425" s="26" t="n">
        <v>5</v>
      </c>
      <c r="AV425" s="26" t="n">
        <f aca="false">SUM(AL425:AU425)</f>
        <v>48</v>
      </c>
      <c r="AW425" s="32" t="n">
        <f aca="false">IFERROR(AV425/R425*1000000,"")</f>
        <v>12742.2352004247</v>
      </c>
      <c r="AX425" s="33" t="n">
        <f aca="false">IFERROR((R425-AV425)/R425,"")</f>
        <v>0.987257764799575</v>
      </c>
      <c r="AY425" s="34" t="n">
        <f aca="false">IFERROR(AH425*AJ425*AX425,"")</f>
        <v>0.898994910941476</v>
      </c>
      <c r="AZ425" s="35" t="s">
        <v>93</v>
      </c>
    </row>
    <row r="426" customFormat="false" ht="12.75" hidden="false" customHeight="true" outlineLevel="0" collapsed="false">
      <c r="A426" s="24" t="n">
        <v>422</v>
      </c>
      <c r="B426" s="25" t="n">
        <v>46163</v>
      </c>
      <c r="C426" s="25" t="n">
        <v>12</v>
      </c>
      <c r="D426" s="26" t="s">
        <v>79</v>
      </c>
      <c r="E426" s="26" t="s">
        <v>80</v>
      </c>
      <c r="F426" s="26" t="s">
        <v>81</v>
      </c>
      <c r="G426" s="26" t="s">
        <v>9</v>
      </c>
      <c r="H426" s="27" t="n">
        <v>0.354166666666667</v>
      </c>
      <c r="I426" s="27" t="n">
        <v>0.854166666666667</v>
      </c>
      <c r="J426" s="26" t="n">
        <f aca="false">IFERROR((I426-H426)*24*60,"")</f>
        <v>720</v>
      </c>
      <c r="K426" s="26" t="s">
        <v>74</v>
      </c>
      <c r="L426" s="26" t="s">
        <v>98</v>
      </c>
      <c r="M426" s="26" t="s">
        <v>84</v>
      </c>
      <c r="N426" s="26" t="s">
        <v>85</v>
      </c>
      <c r="O426" s="26" t="n">
        <v>1</v>
      </c>
      <c r="P426" s="26" t="n">
        <v>71</v>
      </c>
      <c r="Q426" s="26" t="n">
        <f aca="false">IFERROR(3600/(P426/O426),"")</f>
        <v>50.7042253521127</v>
      </c>
      <c r="R426" s="26" t="n">
        <v>430</v>
      </c>
      <c r="S426" s="26" t="n">
        <v>64</v>
      </c>
      <c r="T426" s="26" t="n">
        <f aca="false">IFERROR(J426-S426,"")</f>
        <v>656</v>
      </c>
      <c r="U426" s="26"/>
      <c r="V426" s="26"/>
      <c r="W426" s="26"/>
      <c r="X426" s="26"/>
      <c r="Y426" s="26"/>
      <c r="Z426" s="26"/>
      <c r="AA426" s="26"/>
      <c r="AB426" s="26"/>
      <c r="AC426" s="26" t="n">
        <v>21</v>
      </c>
      <c r="AD426" s="26"/>
      <c r="AE426" s="26"/>
      <c r="AF426" s="26" t="n">
        <f aca="false">SUM(U426:AE426)</f>
        <v>21</v>
      </c>
      <c r="AG426" s="26" t="n">
        <f aca="false">T426-AF426</f>
        <v>635</v>
      </c>
      <c r="AH426" s="28" t="n">
        <f aca="false">IFERROR(AG426/T426,"")</f>
        <v>0.967987804878049</v>
      </c>
      <c r="AI426" s="29" t="n">
        <f aca="false">IFERROR(R426/AG426*60,"")</f>
        <v>40.6299212598425</v>
      </c>
      <c r="AJ426" s="30" t="n">
        <f aca="false">IFERROR(AI426/Q426,"")</f>
        <v>0.801312335958005</v>
      </c>
      <c r="AK426" s="31" t="n">
        <f aca="false">IFERROR(R426/(T426/60*Q426),"")</f>
        <v>0.775660569105691</v>
      </c>
      <c r="AL426" s="26"/>
      <c r="AM426" s="26"/>
      <c r="AN426" s="26"/>
      <c r="AO426" s="26"/>
      <c r="AP426" s="26" t="n">
        <v>2</v>
      </c>
      <c r="AQ426" s="26"/>
      <c r="AR426" s="26"/>
      <c r="AS426" s="26"/>
      <c r="AT426" s="26" t="n">
        <v>1</v>
      </c>
      <c r="AU426" s="26"/>
      <c r="AV426" s="26" t="n">
        <f aca="false">SUM(AL426:AU426)</f>
        <v>3</v>
      </c>
      <c r="AW426" s="32" t="n">
        <f aca="false">IFERROR(AV426/R426*1000000,"")</f>
        <v>6976.74418604651</v>
      </c>
      <c r="AX426" s="33" t="n">
        <f aca="false">IFERROR((R426-AV426)/R426,"")</f>
        <v>0.993023255813954</v>
      </c>
      <c r="AY426" s="34" t="n">
        <f aca="false">IFERROR(AH426*AJ426*AX426,"")</f>
        <v>0.770248983739837</v>
      </c>
      <c r="AZ426" s="35" t="s">
        <v>86</v>
      </c>
    </row>
    <row r="427" customFormat="false" ht="12.75" hidden="false" customHeight="true" outlineLevel="0" collapsed="false">
      <c r="A427" s="24" t="n">
        <v>423</v>
      </c>
      <c r="B427" s="25" t="n">
        <v>46163</v>
      </c>
      <c r="C427" s="25" t="n">
        <v>12</v>
      </c>
      <c r="D427" s="26" t="s">
        <v>87</v>
      </c>
      <c r="E427" s="26" t="s">
        <v>88</v>
      </c>
      <c r="F427" s="26" t="s">
        <v>73</v>
      </c>
      <c r="G427" s="26" t="s">
        <v>10</v>
      </c>
      <c r="H427" s="27" t="n">
        <v>0.354166666666667</v>
      </c>
      <c r="I427" s="27" t="n">
        <v>0.854166666666667</v>
      </c>
      <c r="J427" s="26" t="n">
        <f aca="false">IFERROR((I427-H427)*24*60,"")</f>
        <v>720</v>
      </c>
      <c r="K427" s="26" t="s">
        <v>105</v>
      </c>
      <c r="L427" s="26" t="s">
        <v>83</v>
      </c>
      <c r="M427" s="26" t="s">
        <v>91</v>
      </c>
      <c r="N427" s="26" t="s">
        <v>92</v>
      </c>
      <c r="O427" s="26" t="n">
        <v>8</v>
      </c>
      <c r="P427" s="26" t="n">
        <v>75</v>
      </c>
      <c r="Q427" s="26" t="n">
        <f aca="false">IFERROR(3600/(P427/O427),"")</f>
        <v>384</v>
      </c>
      <c r="R427" s="26" t="n">
        <v>4117</v>
      </c>
      <c r="S427" s="26" t="n">
        <v>50</v>
      </c>
      <c r="T427" s="26" t="n">
        <f aca="false">IFERROR(J427-S427,"")</f>
        <v>670</v>
      </c>
      <c r="U427" s="26" t="n">
        <v>11</v>
      </c>
      <c r="V427" s="26"/>
      <c r="W427" s="26" t="n">
        <v>15</v>
      </c>
      <c r="X427" s="26"/>
      <c r="Y427" s="26"/>
      <c r="Z427" s="26"/>
      <c r="AA427" s="26"/>
      <c r="AB427" s="26"/>
      <c r="AC427" s="26"/>
      <c r="AD427" s="26"/>
      <c r="AE427" s="26"/>
      <c r="AF427" s="26" t="n">
        <f aca="false">SUM(U427:AE427)</f>
        <v>26</v>
      </c>
      <c r="AG427" s="26" t="n">
        <f aca="false">T427-AF427</f>
        <v>644</v>
      </c>
      <c r="AH427" s="28" t="n">
        <f aca="false">IFERROR(AG427/T427,"")</f>
        <v>0.961194029850746</v>
      </c>
      <c r="AI427" s="29" t="n">
        <f aca="false">IFERROR(R427/AG427*60,"")</f>
        <v>383.571428571429</v>
      </c>
      <c r="AJ427" s="30" t="n">
        <f aca="false">IFERROR(AI427/Q427,"")</f>
        <v>0.998883928571429</v>
      </c>
      <c r="AK427" s="31" t="n">
        <f aca="false">IFERROR(R427/(T427/60*Q427),"")</f>
        <v>0.960121268656716</v>
      </c>
      <c r="AL427" s="26" t="n">
        <v>6</v>
      </c>
      <c r="AM427" s="26" t="n">
        <v>7</v>
      </c>
      <c r="AN427" s="26" t="n">
        <v>2</v>
      </c>
      <c r="AO427" s="26" t="n">
        <v>2</v>
      </c>
      <c r="AP427" s="26" t="n">
        <v>2</v>
      </c>
      <c r="AQ427" s="26" t="n">
        <v>6</v>
      </c>
      <c r="AR427" s="26" t="n">
        <v>3</v>
      </c>
      <c r="AS427" s="26" t="n">
        <v>5</v>
      </c>
      <c r="AT427" s="26" t="n">
        <v>2</v>
      </c>
      <c r="AU427" s="26" t="n">
        <v>4</v>
      </c>
      <c r="AV427" s="26" t="n">
        <f aca="false">SUM(AL427:AU427)</f>
        <v>39</v>
      </c>
      <c r="AW427" s="32" t="n">
        <f aca="false">IFERROR(AV427/R427*1000000,"")</f>
        <v>9472.91717269857</v>
      </c>
      <c r="AX427" s="33" t="n">
        <f aca="false">IFERROR((R427-AV427)/R427,"")</f>
        <v>0.990527082827301</v>
      </c>
      <c r="AY427" s="34" t="n">
        <f aca="false">IFERROR(AH427*AJ427*AX427,"")</f>
        <v>0.951026119402985</v>
      </c>
      <c r="AZ427" s="35" t="s">
        <v>93</v>
      </c>
    </row>
    <row r="428" customFormat="false" ht="12.75" hidden="false" customHeight="true" outlineLevel="0" collapsed="false">
      <c r="A428" s="24" t="n">
        <v>424</v>
      </c>
      <c r="B428" s="25" t="n">
        <v>46164</v>
      </c>
      <c r="C428" s="25" t="n">
        <v>12</v>
      </c>
      <c r="D428" s="26" t="s">
        <v>71</v>
      </c>
      <c r="E428" s="26" t="s">
        <v>94</v>
      </c>
      <c r="F428" s="26" t="s">
        <v>81</v>
      </c>
      <c r="G428" s="26" t="s">
        <v>11</v>
      </c>
      <c r="H428" s="27" t="n">
        <v>0.354166666666667</v>
      </c>
      <c r="I428" s="27" t="n">
        <v>0.854166666666667</v>
      </c>
      <c r="J428" s="26" t="n">
        <f aca="false">IFERROR((I428-H428)*24*60,"")</f>
        <v>720</v>
      </c>
      <c r="K428" s="26" t="s">
        <v>74</v>
      </c>
      <c r="L428" s="26" t="s">
        <v>106</v>
      </c>
      <c r="M428" s="26" t="s">
        <v>95</v>
      </c>
      <c r="N428" s="26" t="s">
        <v>96</v>
      </c>
      <c r="O428" s="26" t="n">
        <v>8</v>
      </c>
      <c r="P428" s="26" t="n">
        <v>27</v>
      </c>
      <c r="Q428" s="26" t="n">
        <f aca="false">IFERROR(3600/(P428/O428),"")</f>
        <v>1066.66666666667</v>
      </c>
      <c r="R428" s="26" t="n">
        <v>10198</v>
      </c>
      <c r="S428" s="26" t="n">
        <v>48</v>
      </c>
      <c r="T428" s="26" t="n">
        <f aca="false">IFERROR(J428-S428,"")</f>
        <v>672</v>
      </c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 t="n">
        <v>8</v>
      </c>
      <c r="AF428" s="26" t="n">
        <f aca="false">SUM(U428:AE428)</f>
        <v>8</v>
      </c>
      <c r="AG428" s="26" t="n">
        <f aca="false">T428-AF428</f>
        <v>664</v>
      </c>
      <c r="AH428" s="28" t="n">
        <f aca="false">IFERROR(AG428/T428,"")</f>
        <v>0.988095238095238</v>
      </c>
      <c r="AI428" s="29" t="n">
        <f aca="false">IFERROR(R428/AG428*60,"")</f>
        <v>921.506024096386</v>
      </c>
      <c r="AJ428" s="30" t="n">
        <f aca="false">IFERROR(AI428/Q428,"")</f>
        <v>0.863911897590361</v>
      </c>
      <c r="AK428" s="31" t="n">
        <f aca="false">IFERROR(R428/(T428/60*Q428),"")</f>
        <v>0.853627232142857</v>
      </c>
      <c r="AL428" s="26" t="n">
        <v>4</v>
      </c>
      <c r="AM428" s="26" t="n">
        <v>4</v>
      </c>
      <c r="AN428" s="26" t="n">
        <v>4</v>
      </c>
      <c r="AO428" s="26" t="n">
        <v>2</v>
      </c>
      <c r="AP428" s="26" t="n">
        <v>1</v>
      </c>
      <c r="AQ428" s="26" t="n">
        <v>6</v>
      </c>
      <c r="AR428" s="26" t="n">
        <v>1</v>
      </c>
      <c r="AS428" s="26" t="n">
        <v>1</v>
      </c>
      <c r="AT428" s="26"/>
      <c r="AU428" s="26" t="n">
        <v>2</v>
      </c>
      <c r="AV428" s="26" t="n">
        <f aca="false">SUM(AL428:AU428)</f>
        <v>25</v>
      </c>
      <c r="AW428" s="32" t="n">
        <f aca="false">IFERROR(AV428/R428*1000000,"")</f>
        <v>2451.4610707982</v>
      </c>
      <c r="AX428" s="33" t="n">
        <f aca="false">IFERROR((R428-AV428)/R428,"")</f>
        <v>0.997548538929202</v>
      </c>
      <c r="AY428" s="34" t="n">
        <f aca="false">IFERROR(AH428*AJ428*AX428,"")</f>
        <v>0.851534598214286</v>
      </c>
      <c r="AZ428" s="35" t="s">
        <v>93</v>
      </c>
    </row>
    <row r="429" customFormat="false" ht="12.75" hidden="false" customHeight="true" outlineLevel="0" collapsed="false">
      <c r="A429" s="24" t="n">
        <v>425</v>
      </c>
      <c r="B429" s="25" t="n">
        <v>46164</v>
      </c>
      <c r="C429" s="25" t="n">
        <v>12</v>
      </c>
      <c r="D429" s="26" t="s">
        <v>79</v>
      </c>
      <c r="E429" s="26" t="s">
        <v>97</v>
      </c>
      <c r="F429" s="26" t="s">
        <v>73</v>
      </c>
      <c r="G429" s="26" t="s">
        <v>12</v>
      </c>
      <c r="H429" s="27" t="n">
        <v>0.354166666666667</v>
      </c>
      <c r="I429" s="27" t="n">
        <v>0.854166666666667</v>
      </c>
      <c r="J429" s="26" t="n">
        <f aca="false">IFERROR((I429-H429)*24*60,"")</f>
        <v>720</v>
      </c>
      <c r="K429" s="26" t="s">
        <v>105</v>
      </c>
      <c r="L429" s="26" t="s">
        <v>90</v>
      </c>
      <c r="M429" s="26" t="s">
        <v>99</v>
      </c>
      <c r="N429" s="26" t="s">
        <v>100</v>
      </c>
      <c r="O429" s="26" t="n">
        <v>1</v>
      </c>
      <c r="P429" s="26" t="n">
        <v>52</v>
      </c>
      <c r="Q429" s="26" t="n">
        <f aca="false">IFERROR(3600/(P429/O429),"")</f>
        <v>69.2307692307692</v>
      </c>
      <c r="R429" s="26" t="n">
        <v>571</v>
      </c>
      <c r="S429" s="26" t="n">
        <v>58</v>
      </c>
      <c r="T429" s="26" t="n">
        <f aca="false">IFERROR(J429-S429,"")</f>
        <v>662</v>
      </c>
      <c r="U429" s="26"/>
      <c r="V429" s="26"/>
      <c r="W429" s="26" t="n">
        <v>9</v>
      </c>
      <c r="X429" s="26"/>
      <c r="Y429" s="26"/>
      <c r="Z429" s="26"/>
      <c r="AA429" s="26"/>
      <c r="AB429" s="26" t="n">
        <v>6</v>
      </c>
      <c r="AC429" s="26"/>
      <c r="AD429" s="26"/>
      <c r="AE429" s="26"/>
      <c r="AF429" s="26" t="n">
        <f aca="false">SUM(U429:AE429)</f>
        <v>15</v>
      </c>
      <c r="AG429" s="26" t="n">
        <f aca="false">T429-AF429</f>
        <v>647</v>
      </c>
      <c r="AH429" s="28" t="n">
        <f aca="false">IFERROR(AG429/T429,"")</f>
        <v>0.977341389728097</v>
      </c>
      <c r="AI429" s="29" t="n">
        <f aca="false">IFERROR(R429/AG429*60,"")</f>
        <v>52.952086553323</v>
      </c>
      <c r="AJ429" s="30" t="n">
        <f aca="false">IFERROR(AI429/Q429,"")</f>
        <v>0.764863472436888</v>
      </c>
      <c r="AK429" s="31" t="n">
        <f aca="false">IFERROR(R429/(T429/60*Q429),"")</f>
        <v>0.747532729103726</v>
      </c>
      <c r="AL429" s="26" t="n">
        <v>2</v>
      </c>
      <c r="AM429" s="26"/>
      <c r="AN429" s="26"/>
      <c r="AO429" s="26" t="n">
        <v>1</v>
      </c>
      <c r="AP429" s="26"/>
      <c r="AQ429" s="26" t="n">
        <v>2</v>
      </c>
      <c r="AR429" s="26"/>
      <c r="AS429" s="26"/>
      <c r="AT429" s="26" t="n">
        <v>1</v>
      </c>
      <c r="AU429" s="26" t="n">
        <v>1</v>
      </c>
      <c r="AV429" s="26" t="n">
        <f aca="false">SUM(AL429:AU429)</f>
        <v>7</v>
      </c>
      <c r="AW429" s="32" t="n">
        <f aca="false">IFERROR(AV429/R429*1000000,"")</f>
        <v>12259.1943957968</v>
      </c>
      <c r="AX429" s="33" t="n">
        <f aca="false">IFERROR((R429-AV429)/R429,"")</f>
        <v>0.987740805604203</v>
      </c>
      <c r="AY429" s="34" t="n">
        <f aca="false">IFERROR(AH429*AJ429*AX429,"")</f>
        <v>0.738368580060423</v>
      </c>
      <c r="AZ429" s="35" t="s">
        <v>78</v>
      </c>
    </row>
    <row r="430" customFormat="false" ht="12.75" hidden="false" customHeight="true" outlineLevel="0" collapsed="false">
      <c r="A430" s="24" t="n">
        <v>426</v>
      </c>
      <c r="B430" s="25" t="n">
        <v>46164</v>
      </c>
      <c r="C430" s="25" t="n">
        <v>12</v>
      </c>
      <c r="D430" s="26" t="s">
        <v>87</v>
      </c>
      <c r="E430" s="26" t="s">
        <v>101</v>
      </c>
      <c r="F430" s="26" t="s">
        <v>81</v>
      </c>
      <c r="G430" s="26" t="s">
        <v>13</v>
      </c>
      <c r="H430" s="27" t="n">
        <v>0.354166666666667</v>
      </c>
      <c r="I430" s="27" t="n">
        <v>0.854166666666667</v>
      </c>
      <c r="J430" s="26" t="n">
        <f aca="false">IFERROR((I430-H430)*24*60,"")</f>
        <v>720</v>
      </c>
      <c r="K430" s="26" t="s">
        <v>82</v>
      </c>
      <c r="L430" s="26" t="s">
        <v>107</v>
      </c>
      <c r="M430" s="26" t="s">
        <v>103</v>
      </c>
      <c r="N430" s="26" t="s">
        <v>104</v>
      </c>
      <c r="O430" s="26" t="n">
        <v>2</v>
      </c>
      <c r="P430" s="26" t="n">
        <v>43</v>
      </c>
      <c r="Q430" s="26" t="n">
        <f aca="false">IFERROR(3600/(P430/O430),"")</f>
        <v>167.441860465116</v>
      </c>
      <c r="R430" s="26" t="n">
        <v>1684</v>
      </c>
      <c r="S430" s="26" t="n">
        <v>55</v>
      </c>
      <c r="T430" s="26" t="n">
        <f aca="false">IFERROR(J430-S430,"")</f>
        <v>665</v>
      </c>
      <c r="U430" s="26"/>
      <c r="V430" s="26"/>
      <c r="W430" s="26"/>
      <c r="X430" s="26"/>
      <c r="Y430" s="26"/>
      <c r="Z430" s="26"/>
      <c r="AA430" s="26"/>
      <c r="AB430" s="26"/>
      <c r="AC430" s="26"/>
      <c r="AD430" s="26" t="n">
        <v>9</v>
      </c>
      <c r="AE430" s="26"/>
      <c r="AF430" s="26" t="n">
        <f aca="false">SUM(U430:AE430)</f>
        <v>9</v>
      </c>
      <c r="AG430" s="26" t="n">
        <f aca="false">T430-AF430</f>
        <v>656</v>
      </c>
      <c r="AH430" s="28" t="n">
        <f aca="false">IFERROR(AG430/T430,"")</f>
        <v>0.986466165413534</v>
      </c>
      <c r="AI430" s="29" t="n">
        <f aca="false">IFERROR(R430/AG430*60,"")</f>
        <v>154.024390243902</v>
      </c>
      <c r="AJ430" s="30" t="n">
        <f aca="false">IFERROR(AI430/Q430,"")</f>
        <v>0.919867886178862</v>
      </c>
      <c r="AK430" s="31" t="n">
        <f aca="false">IFERROR(R430/(T430/60*Q430),"")</f>
        <v>0.907418546365915</v>
      </c>
      <c r="AL430" s="26" t="n">
        <v>2</v>
      </c>
      <c r="AM430" s="26"/>
      <c r="AN430" s="26" t="n">
        <v>1</v>
      </c>
      <c r="AO430" s="26" t="n">
        <v>1</v>
      </c>
      <c r="AP430" s="26" t="n">
        <v>1</v>
      </c>
      <c r="AQ430" s="26" t="n">
        <v>1</v>
      </c>
      <c r="AR430" s="26" t="n">
        <v>1</v>
      </c>
      <c r="AS430" s="26"/>
      <c r="AT430" s="26"/>
      <c r="AU430" s="26"/>
      <c r="AV430" s="26" t="n">
        <f aca="false">SUM(AL430:AU430)</f>
        <v>7</v>
      </c>
      <c r="AW430" s="32" t="n">
        <f aca="false">IFERROR(AV430/R430*1000000,"")</f>
        <v>4156.76959619953</v>
      </c>
      <c r="AX430" s="33" t="n">
        <f aca="false">IFERROR((R430-AV430)/R430,"")</f>
        <v>0.995843230403801</v>
      </c>
      <c r="AY430" s="34" t="n">
        <f aca="false">IFERROR(AH430*AJ430*AX430,"")</f>
        <v>0.903646616541353</v>
      </c>
      <c r="AZ430" s="35" t="s">
        <v>78</v>
      </c>
    </row>
    <row r="431" customFormat="false" ht="12.75" hidden="false" customHeight="true" outlineLevel="0" collapsed="false">
      <c r="A431" s="24" t="n">
        <v>427</v>
      </c>
      <c r="B431" s="25" t="n">
        <v>46165</v>
      </c>
      <c r="C431" s="25" t="n">
        <v>12</v>
      </c>
      <c r="D431" s="26" t="s">
        <v>71</v>
      </c>
      <c r="E431" s="26" t="s">
        <v>72</v>
      </c>
      <c r="F431" s="26" t="s">
        <v>73</v>
      </c>
      <c r="G431" s="26" t="s">
        <v>8</v>
      </c>
      <c r="H431" s="27" t="n">
        <v>0.354166666666667</v>
      </c>
      <c r="I431" s="27" t="n">
        <v>0.854166666666667</v>
      </c>
      <c r="J431" s="26" t="n">
        <f aca="false">IFERROR((I431-H431)*24*60,"")</f>
        <v>720</v>
      </c>
      <c r="K431" s="26" t="s">
        <v>105</v>
      </c>
      <c r="L431" s="26" t="s">
        <v>108</v>
      </c>
      <c r="M431" s="26" t="s">
        <v>76</v>
      </c>
      <c r="N431" s="26" t="s">
        <v>77</v>
      </c>
      <c r="O431" s="26" t="n">
        <v>1</v>
      </c>
      <c r="P431" s="26" t="n">
        <v>38</v>
      </c>
      <c r="Q431" s="26" t="n">
        <f aca="false">IFERROR(3600/(P431/O431),"")</f>
        <v>94.7368421052632</v>
      </c>
      <c r="R431" s="26" t="n">
        <v>1004</v>
      </c>
      <c r="S431" s="26" t="n">
        <v>64</v>
      </c>
      <c r="T431" s="26" t="n">
        <f aca="false">IFERROR(J431-S431,"")</f>
        <v>656</v>
      </c>
      <c r="U431" s="26"/>
      <c r="V431" s="26"/>
      <c r="W431" s="26"/>
      <c r="X431" s="26"/>
      <c r="Y431" s="26"/>
      <c r="Z431" s="26"/>
      <c r="AA431" s="26"/>
      <c r="AB431" s="26"/>
      <c r="AC431" s="26" t="n">
        <v>5</v>
      </c>
      <c r="AD431" s="26" t="n">
        <v>22</v>
      </c>
      <c r="AE431" s="26"/>
      <c r="AF431" s="26" t="n">
        <f aca="false">SUM(U431:AE431)</f>
        <v>27</v>
      </c>
      <c r="AG431" s="26" t="n">
        <f aca="false">T431-AF431</f>
        <v>629</v>
      </c>
      <c r="AH431" s="28" t="n">
        <f aca="false">IFERROR(AG431/T431,"")</f>
        <v>0.958841463414634</v>
      </c>
      <c r="AI431" s="29" t="n">
        <f aca="false">IFERROR(R431/AG431*60,"")</f>
        <v>95.7710651828299</v>
      </c>
      <c r="AJ431" s="30" t="n">
        <f aca="false">IFERROR(AI431/Q431,"")</f>
        <v>1.01091679915209</v>
      </c>
      <c r="AK431" s="31" t="n">
        <f aca="false">IFERROR(R431/(T431/60*Q431),"")</f>
        <v>0.969308943089431</v>
      </c>
      <c r="AL431" s="26" t="n">
        <v>2</v>
      </c>
      <c r="AM431" s="26" t="n">
        <v>1</v>
      </c>
      <c r="AN431" s="26" t="n">
        <v>1</v>
      </c>
      <c r="AO431" s="26" t="n">
        <v>1</v>
      </c>
      <c r="AP431" s="26"/>
      <c r="AQ431" s="26" t="n">
        <v>3</v>
      </c>
      <c r="AR431" s="26" t="n">
        <v>1</v>
      </c>
      <c r="AS431" s="26"/>
      <c r="AT431" s="26"/>
      <c r="AU431" s="26" t="n">
        <v>1</v>
      </c>
      <c r="AV431" s="26" t="n">
        <f aca="false">SUM(AL431:AU431)</f>
        <v>10</v>
      </c>
      <c r="AW431" s="32" t="n">
        <f aca="false">IFERROR(AV431/R431*1000000,"")</f>
        <v>9960.1593625498</v>
      </c>
      <c r="AX431" s="33" t="n">
        <f aca="false">IFERROR((R431-AV431)/R431,"")</f>
        <v>0.99003984063745</v>
      </c>
      <c r="AY431" s="34" t="n">
        <f aca="false">IFERROR(AH431*AJ431*AX431,"")</f>
        <v>0.959654471544715</v>
      </c>
      <c r="AZ431" s="35"/>
    </row>
    <row r="432" customFormat="false" ht="12.75" hidden="false" customHeight="true" outlineLevel="0" collapsed="false">
      <c r="A432" s="24" t="n">
        <v>428</v>
      </c>
      <c r="B432" s="25" t="n">
        <v>46165</v>
      </c>
      <c r="C432" s="25" t="n">
        <v>12</v>
      </c>
      <c r="D432" s="26" t="s">
        <v>79</v>
      </c>
      <c r="E432" s="26" t="s">
        <v>80</v>
      </c>
      <c r="F432" s="26" t="s">
        <v>81</v>
      </c>
      <c r="G432" s="26" t="s">
        <v>9</v>
      </c>
      <c r="H432" s="27" t="n">
        <v>0.354166666666667</v>
      </c>
      <c r="I432" s="27" t="n">
        <v>0.854166666666667</v>
      </c>
      <c r="J432" s="26" t="n">
        <f aca="false">IFERROR((I432-H432)*24*60,"")</f>
        <v>720</v>
      </c>
      <c r="K432" s="26" t="s">
        <v>74</v>
      </c>
      <c r="L432" s="26" t="s">
        <v>75</v>
      </c>
      <c r="M432" s="26" t="s">
        <v>84</v>
      </c>
      <c r="N432" s="26" t="s">
        <v>85</v>
      </c>
      <c r="O432" s="26" t="n">
        <v>1</v>
      </c>
      <c r="P432" s="26" t="n">
        <v>49</v>
      </c>
      <c r="Q432" s="26" t="n">
        <f aca="false">IFERROR(3600/(P432/O432),"")</f>
        <v>73.4693877551021</v>
      </c>
      <c r="R432" s="26" t="n">
        <v>715</v>
      </c>
      <c r="S432" s="26" t="n">
        <v>66</v>
      </c>
      <c r="T432" s="26" t="n">
        <f aca="false">IFERROR(J432-S432,"")</f>
        <v>654</v>
      </c>
      <c r="U432" s="26"/>
      <c r="V432" s="26" t="n">
        <v>3</v>
      </c>
      <c r="W432" s="26"/>
      <c r="X432" s="26"/>
      <c r="Y432" s="26"/>
      <c r="Z432" s="26"/>
      <c r="AA432" s="26"/>
      <c r="AB432" s="26" t="n">
        <v>8</v>
      </c>
      <c r="AC432" s="26"/>
      <c r="AD432" s="26"/>
      <c r="AE432" s="26"/>
      <c r="AF432" s="26" t="n">
        <f aca="false">SUM(U432:AE432)</f>
        <v>11</v>
      </c>
      <c r="AG432" s="26" t="n">
        <f aca="false">T432-AF432</f>
        <v>643</v>
      </c>
      <c r="AH432" s="28" t="n">
        <f aca="false">IFERROR(AG432/T432,"")</f>
        <v>0.983180428134557</v>
      </c>
      <c r="AI432" s="29" t="n">
        <f aca="false">IFERROR(R432/AG432*60,"")</f>
        <v>66.7185069984448</v>
      </c>
      <c r="AJ432" s="30" t="n">
        <f aca="false">IFERROR(AI432/Q432,"")</f>
        <v>0.908113011923276</v>
      </c>
      <c r="AK432" s="31" t="n">
        <f aca="false">IFERROR(R432/(T432/60*Q432),"")</f>
        <v>0.892838939857288</v>
      </c>
      <c r="AL432" s="26"/>
      <c r="AM432" s="26"/>
      <c r="AN432" s="26" t="n">
        <v>1</v>
      </c>
      <c r="AO432" s="26" t="n">
        <v>1</v>
      </c>
      <c r="AP432" s="26" t="n">
        <v>1</v>
      </c>
      <c r="AQ432" s="26"/>
      <c r="AR432" s="26"/>
      <c r="AS432" s="26" t="n">
        <v>1</v>
      </c>
      <c r="AT432" s="26" t="n">
        <v>1</v>
      </c>
      <c r="AU432" s="26"/>
      <c r="AV432" s="26" t="n">
        <f aca="false">SUM(AL432:AU432)</f>
        <v>5</v>
      </c>
      <c r="AW432" s="32" t="n">
        <f aca="false">IFERROR(AV432/R432*1000000,"")</f>
        <v>6993.00699300699</v>
      </c>
      <c r="AX432" s="33" t="n">
        <f aca="false">IFERROR((R432-AV432)/R432,"")</f>
        <v>0.993006993006993</v>
      </c>
      <c r="AY432" s="34" t="n">
        <f aca="false">IFERROR(AH432*AJ432*AX432,"")</f>
        <v>0.886595310907238</v>
      </c>
      <c r="AZ432" s="35" t="s">
        <v>93</v>
      </c>
    </row>
    <row r="433" customFormat="false" ht="12.75" hidden="false" customHeight="true" outlineLevel="0" collapsed="false">
      <c r="A433" s="24" t="n">
        <v>429</v>
      </c>
      <c r="B433" s="25" t="n">
        <v>46165</v>
      </c>
      <c r="C433" s="25" t="n">
        <v>12</v>
      </c>
      <c r="D433" s="26" t="s">
        <v>87</v>
      </c>
      <c r="E433" s="26" t="s">
        <v>88</v>
      </c>
      <c r="F433" s="26" t="s">
        <v>73</v>
      </c>
      <c r="G433" s="26" t="s">
        <v>10</v>
      </c>
      <c r="H433" s="27" t="n">
        <v>0.354166666666667</v>
      </c>
      <c r="I433" s="27" t="n">
        <v>0.854166666666667</v>
      </c>
      <c r="J433" s="26" t="n">
        <f aca="false">IFERROR((I433-H433)*24*60,"")</f>
        <v>720</v>
      </c>
      <c r="K433" s="26" t="s">
        <v>105</v>
      </c>
      <c r="L433" s="26" t="s">
        <v>83</v>
      </c>
      <c r="M433" s="26" t="s">
        <v>91</v>
      </c>
      <c r="N433" s="26" t="s">
        <v>92</v>
      </c>
      <c r="O433" s="26" t="n">
        <v>2</v>
      </c>
      <c r="P433" s="26" t="n">
        <v>25</v>
      </c>
      <c r="Q433" s="26" t="n">
        <f aca="false">IFERROR(3600/(P433/O433),"")</f>
        <v>288</v>
      </c>
      <c r="R433" s="26" t="n">
        <v>2124</v>
      </c>
      <c r="S433" s="26" t="n">
        <v>49</v>
      </c>
      <c r="T433" s="26" t="n">
        <f aca="false">IFERROR(J433-S433,"")</f>
        <v>671</v>
      </c>
      <c r="U433" s="26"/>
      <c r="V433" s="26"/>
      <c r="W433" s="26"/>
      <c r="X433" s="26"/>
      <c r="Y433" s="26"/>
      <c r="Z433" s="26" t="n">
        <v>8</v>
      </c>
      <c r="AA433" s="26" t="n">
        <v>17</v>
      </c>
      <c r="AB433" s="26"/>
      <c r="AC433" s="26"/>
      <c r="AD433" s="26"/>
      <c r="AE433" s="26"/>
      <c r="AF433" s="26" t="n">
        <f aca="false">SUM(U433:AE433)</f>
        <v>25</v>
      </c>
      <c r="AG433" s="26" t="n">
        <f aca="false">T433-AF433</f>
        <v>646</v>
      </c>
      <c r="AH433" s="28" t="n">
        <f aca="false">IFERROR(AG433/T433,"")</f>
        <v>0.96274217585693</v>
      </c>
      <c r="AI433" s="29" t="n">
        <f aca="false">IFERROR(R433/AG433*60,"")</f>
        <v>197.275541795666</v>
      </c>
      <c r="AJ433" s="30" t="n">
        <f aca="false">IFERROR(AI433/Q433,"")</f>
        <v>0.684984520123839</v>
      </c>
      <c r="AK433" s="31" t="n">
        <f aca="false">IFERROR(R433/(T433/60*Q433),"")</f>
        <v>0.65946348733234</v>
      </c>
      <c r="AL433" s="26" t="n">
        <v>1</v>
      </c>
      <c r="AM433" s="26" t="n">
        <v>2</v>
      </c>
      <c r="AN433" s="26" t="n">
        <v>4</v>
      </c>
      <c r="AO433" s="26" t="n">
        <v>2</v>
      </c>
      <c r="AP433" s="26" t="n">
        <v>3</v>
      </c>
      <c r="AQ433" s="26" t="n">
        <v>2</v>
      </c>
      <c r="AR433" s="26" t="n">
        <v>2</v>
      </c>
      <c r="AS433" s="26" t="n">
        <v>2</v>
      </c>
      <c r="AT433" s="26" t="n">
        <v>1</v>
      </c>
      <c r="AU433" s="26" t="n">
        <v>1</v>
      </c>
      <c r="AV433" s="26" t="n">
        <f aca="false">SUM(AL433:AU433)</f>
        <v>20</v>
      </c>
      <c r="AW433" s="32" t="n">
        <f aca="false">IFERROR(AV433/R433*1000000,"")</f>
        <v>9416.19585687382</v>
      </c>
      <c r="AX433" s="33" t="n">
        <f aca="false">IFERROR((R433-AV433)/R433,"")</f>
        <v>0.990583804143126</v>
      </c>
      <c r="AY433" s="34" t="n">
        <f aca="false">IFERROR(AH433*AJ433*AX433,"")</f>
        <v>0.653253849975161</v>
      </c>
      <c r="AZ433" s="35" t="s">
        <v>86</v>
      </c>
    </row>
    <row r="434" customFormat="false" ht="12.75" hidden="false" customHeight="true" outlineLevel="0" collapsed="false">
      <c r="A434" s="24" t="n">
        <v>430</v>
      </c>
      <c r="B434" s="25" t="n">
        <v>46166</v>
      </c>
      <c r="C434" s="25" t="n">
        <v>12</v>
      </c>
      <c r="D434" s="26" t="s">
        <v>71</v>
      </c>
      <c r="E434" s="26" t="s">
        <v>94</v>
      </c>
      <c r="F434" s="26" t="s">
        <v>81</v>
      </c>
      <c r="G434" s="26" t="s">
        <v>11</v>
      </c>
      <c r="H434" s="27" t="n">
        <v>0.354166666666667</v>
      </c>
      <c r="I434" s="27" t="n">
        <v>0.854166666666667</v>
      </c>
      <c r="J434" s="26" t="n">
        <f aca="false">IFERROR((I434-H434)*24*60,"")</f>
        <v>720</v>
      </c>
      <c r="K434" s="26" t="s">
        <v>74</v>
      </c>
      <c r="L434" s="26" t="s">
        <v>107</v>
      </c>
      <c r="M434" s="26" t="s">
        <v>95</v>
      </c>
      <c r="N434" s="26" t="s">
        <v>96</v>
      </c>
      <c r="O434" s="26" t="n">
        <v>4</v>
      </c>
      <c r="P434" s="26" t="n">
        <v>45</v>
      </c>
      <c r="Q434" s="26" t="n">
        <f aca="false">IFERROR(3600/(P434/O434),"")</f>
        <v>320</v>
      </c>
      <c r="R434" s="26" t="n">
        <v>3411</v>
      </c>
      <c r="S434" s="26" t="n">
        <v>44</v>
      </c>
      <c r="T434" s="26" t="n">
        <f aca="false">IFERROR(J434-S434,"")</f>
        <v>676</v>
      </c>
      <c r="U434" s="26" t="n">
        <v>3</v>
      </c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 t="n">
        <f aca="false">SUM(U434:AE434)</f>
        <v>3</v>
      </c>
      <c r="AG434" s="26" t="n">
        <f aca="false">T434-AF434</f>
        <v>673</v>
      </c>
      <c r="AH434" s="28" t="n">
        <f aca="false">IFERROR(AG434/T434,"")</f>
        <v>0.995562130177515</v>
      </c>
      <c r="AI434" s="29" t="n">
        <f aca="false">IFERROR(R434/AG434*60,"")</f>
        <v>304.101040118871</v>
      </c>
      <c r="AJ434" s="30" t="n">
        <f aca="false">IFERROR(AI434/Q434,"")</f>
        <v>0.950315750371471</v>
      </c>
      <c r="AK434" s="31" t="n">
        <f aca="false">IFERROR(R434/(T434/60*Q434),"")</f>
        <v>0.946098372781065</v>
      </c>
      <c r="AL434" s="26" t="n">
        <v>6</v>
      </c>
      <c r="AM434" s="26" t="n">
        <v>3</v>
      </c>
      <c r="AN434" s="26" t="n">
        <v>7</v>
      </c>
      <c r="AO434" s="26" t="n">
        <v>5</v>
      </c>
      <c r="AP434" s="26" t="n">
        <v>3</v>
      </c>
      <c r="AQ434" s="26" t="n">
        <v>6</v>
      </c>
      <c r="AR434" s="26" t="n">
        <v>7</v>
      </c>
      <c r="AS434" s="26" t="n">
        <v>4</v>
      </c>
      <c r="AT434" s="26" t="n">
        <v>5</v>
      </c>
      <c r="AU434" s="26" t="n">
        <v>5</v>
      </c>
      <c r="AV434" s="26" t="n">
        <f aca="false">SUM(AL434:AU434)</f>
        <v>51</v>
      </c>
      <c r="AW434" s="32" t="n">
        <f aca="false">IFERROR(AV434/R434*1000000,"")</f>
        <v>14951.6270888303</v>
      </c>
      <c r="AX434" s="33" t="n">
        <f aca="false">IFERROR((R434-AV434)/R434,"")</f>
        <v>0.98504837291117</v>
      </c>
      <c r="AY434" s="34" t="n">
        <f aca="false">IFERROR(AH434*AJ434*AX434,"")</f>
        <v>0.931952662721894</v>
      </c>
      <c r="AZ434" s="35" t="s">
        <v>93</v>
      </c>
    </row>
    <row r="435" customFormat="false" ht="12.75" hidden="false" customHeight="true" outlineLevel="0" collapsed="false">
      <c r="A435" s="24" t="n">
        <v>431</v>
      </c>
      <c r="B435" s="25" t="n">
        <v>46166</v>
      </c>
      <c r="C435" s="25" t="n">
        <v>12</v>
      </c>
      <c r="D435" s="26" t="s">
        <v>79</v>
      </c>
      <c r="E435" s="26" t="s">
        <v>97</v>
      </c>
      <c r="F435" s="26" t="s">
        <v>73</v>
      </c>
      <c r="G435" s="26" t="s">
        <v>12</v>
      </c>
      <c r="H435" s="27" t="n">
        <v>0.354166666666667</v>
      </c>
      <c r="I435" s="27" t="n">
        <v>0.854166666666667</v>
      </c>
      <c r="J435" s="26" t="n">
        <f aca="false">IFERROR((I435-H435)*24*60,"")</f>
        <v>720</v>
      </c>
      <c r="K435" s="26" t="s">
        <v>74</v>
      </c>
      <c r="L435" s="26" t="s">
        <v>75</v>
      </c>
      <c r="M435" s="26" t="s">
        <v>99</v>
      </c>
      <c r="N435" s="26" t="s">
        <v>100</v>
      </c>
      <c r="O435" s="26" t="n">
        <v>1</v>
      </c>
      <c r="P435" s="26" t="n">
        <v>68</v>
      </c>
      <c r="Q435" s="26" t="n">
        <f aca="false">IFERROR(3600/(P435/O435),"")</f>
        <v>52.9411764705882</v>
      </c>
      <c r="R435" s="26" t="n">
        <v>478</v>
      </c>
      <c r="S435" s="26" t="n">
        <v>59</v>
      </c>
      <c r="T435" s="26" t="n">
        <f aca="false">IFERROR(J435-S435,"")</f>
        <v>661</v>
      </c>
      <c r="U435" s="26"/>
      <c r="V435" s="26" t="n">
        <v>31</v>
      </c>
      <c r="W435" s="26"/>
      <c r="X435" s="26"/>
      <c r="Y435" s="26"/>
      <c r="Z435" s="26"/>
      <c r="AA435" s="26"/>
      <c r="AB435" s="26"/>
      <c r="AC435" s="26"/>
      <c r="AD435" s="26"/>
      <c r="AE435" s="26"/>
      <c r="AF435" s="26" t="n">
        <f aca="false">SUM(U435:AE435)</f>
        <v>31</v>
      </c>
      <c r="AG435" s="26" t="n">
        <f aca="false">T435-AF435</f>
        <v>630</v>
      </c>
      <c r="AH435" s="28" t="n">
        <f aca="false">IFERROR(AG435/T435,"")</f>
        <v>0.953101361573374</v>
      </c>
      <c r="AI435" s="29" t="n">
        <f aca="false">IFERROR(R435/AG435*60,"")</f>
        <v>45.5238095238095</v>
      </c>
      <c r="AJ435" s="30" t="n">
        <f aca="false">IFERROR(AI435/Q435,"")</f>
        <v>0.85989417989418</v>
      </c>
      <c r="AK435" s="31" t="n">
        <f aca="false">IFERROR(R435/(T435/60*Q435),"")</f>
        <v>0.819566313666162</v>
      </c>
      <c r="AL435" s="26"/>
      <c r="AM435" s="26"/>
      <c r="AN435" s="26"/>
      <c r="AO435" s="26"/>
      <c r="AP435" s="26"/>
      <c r="AQ435" s="26" t="n">
        <v>1</v>
      </c>
      <c r="AR435" s="26"/>
      <c r="AS435" s="26"/>
      <c r="AT435" s="26"/>
      <c r="AU435" s="26"/>
      <c r="AV435" s="26" t="n">
        <f aca="false">SUM(AL435:AU435)</f>
        <v>1</v>
      </c>
      <c r="AW435" s="32" t="n">
        <f aca="false">IFERROR(AV435/R435*1000000,"")</f>
        <v>2092.05020920502</v>
      </c>
      <c r="AX435" s="33" t="n">
        <f aca="false">IFERROR((R435-AV435)/R435,"")</f>
        <v>0.997907949790795</v>
      </c>
      <c r="AY435" s="34" t="n">
        <f aca="false">IFERROR(AH435*AJ435*AX435,"")</f>
        <v>0.8178517397882</v>
      </c>
      <c r="AZ435" s="35" t="s">
        <v>78</v>
      </c>
    </row>
    <row r="436" customFormat="false" ht="12.75" hidden="false" customHeight="true" outlineLevel="0" collapsed="false">
      <c r="A436" s="24" t="n">
        <v>432</v>
      </c>
      <c r="B436" s="25" t="n">
        <v>46166</v>
      </c>
      <c r="C436" s="25" t="n">
        <v>12</v>
      </c>
      <c r="D436" s="26" t="s">
        <v>87</v>
      </c>
      <c r="E436" s="26" t="s">
        <v>101</v>
      </c>
      <c r="F436" s="26" t="s">
        <v>81</v>
      </c>
      <c r="G436" s="26" t="s">
        <v>13</v>
      </c>
      <c r="H436" s="27" t="n">
        <v>0.354166666666667</v>
      </c>
      <c r="I436" s="27" t="n">
        <v>0.854166666666667</v>
      </c>
      <c r="J436" s="26" t="n">
        <f aca="false">IFERROR((I436-H436)*24*60,"")</f>
        <v>720</v>
      </c>
      <c r="K436" s="26" t="s">
        <v>74</v>
      </c>
      <c r="L436" s="26" t="s">
        <v>90</v>
      </c>
      <c r="M436" s="26" t="s">
        <v>103</v>
      </c>
      <c r="N436" s="26" t="s">
        <v>104</v>
      </c>
      <c r="O436" s="26" t="n">
        <v>8</v>
      </c>
      <c r="P436" s="26" t="n">
        <v>68</v>
      </c>
      <c r="Q436" s="26" t="n">
        <f aca="false">IFERROR(3600/(P436/O436),"")</f>
        <v>423.529411764706</v>
      </c>
      <c r="R436" s="26" t="n">
        <v>4716</v>
      </c>
      <c r="S436" s="26" t="n">
        <v>41</v>
      </c>
      <c r="T436" s="26" t="n">
        <f aca="false">IFERROR(J436-S436,"")</f>
        <v>679</v>
      </c>
      <c r="U436" s="26"/>
      <c r="V436" s="26"/>
      <c r="W436" s="26"/>
      <c r="X436" s="26"/>
      <c r="Y436" s="26"/>
      <c r="Z436" s="26"/>
      <c r="AA436" s="26"/>
      <c r="AB436" s="26"/>
      <c r="AC436" s="26"/>
      <c r="AD436" s="26" t="n">
        <v>13</v>
      </c>
      <c r="AE436" s="26"/>
      <c r="AF436" s="26" t="n">
        <f aca="false">SUM(U436:AE436)</f>
        <v>13</v>
      </c>
      <c r="AG436" s="26" t="n">
        <f aca="false">T436-AF436</f>
        <v>666</v>
      </c>
      <c r="AH436" s="28" t="n">
        <f aca="false">IFERROR(AG436/T436,"")</f>
        <v>0.980854197349043</v>
      </c>
      <c r="AI436" s="29" t="n">
        <f aca="false">IFERROR(R436/AG436*60,"")</f>
        <v>424.864864864865</v>
      </c>
      <c r="AJ436" s="30" t="n">
        <f aca="false">IFERROR(AI436/Q436,"")</f>
        <v>1.00315315315315</v>
      </c>
      <c r="AK436" s="31" t="n">
        <f aca="false">IFERROR(R436/(T436/60*Q436),"")</f>
        <v>0.983946980854198</v>
      </c>
      <c r="AL436" s="26" t="n">
        <v>7</v>
      </c>
      <c r="AM436" s="26" t="n">
        <v>12</v>
      </c>
      <c r="AN436" s="26" t="n">
        <v>12</v>
      </c>
      <c r="AO436" s="26" t="n">
        <v>6</v>
      </c>
      <c r="AP436" s="26" t="n">
        <v>7</v>
      </c>
      <c r="AQ436" s="26" t="n">
        <v>8</v>
      </c>
      <c r="AR436" s="26" t="n">
        <v>5</v>
      </c>
      <c r="AS436" s="26" t="n">
        <v>7</v>
      </c>
      <c r="AT436" s="26" t="n">
        <v>16</v>
      </c>
      <c r="AU436" s="26" t="n">
        <v>8</v>
      </c>
      <c r="AV436" s="26" t="n">
        <f aca="false">SUM(AL436:AU436)</f>
        <v>88</v>
      </c>
      <c r="AW436" s="32" t="n">
        <f aca="false">IFERROR(AV436/R436*1000000,"")</f>
        <v>18659.8812553011</v>
      </c>
      <c r="AX436" s="33" t="n">
        <f aca="false">IFERROR((R436-AV436)/R436,"")</f>
        <v>0.981340118744699</v>
      </c>
      <c r="AY436" s="34" t="n">
        <f aca="false">IFERROR(AH436*AJ436*AX436,"")</f>
        <v>0.965586647029946</v>
      </c>
      <c r="AZ436" s="35" t="s">
        <v>86</v>
      </c>
    </row>
    <row r="437" customFormat="false" ht="12.75" hidden="false" customHeight="true" outlineLevel="0" collapsed="false">
      <c r="A437" s="24" t="n">
        <v>433</v>
      </c>
      <c r="B437" s="25" t="n">
        <v>46167</v>
      </c>
      <c r="C437" s="25" t="n">
        <v>12</v>
      </c>
      <c r="D437" s="26" t="s">
        <v>71</v>
      </c>
      <c r="E437" s="26" t="s">
        <v>72</v>
      </c>
      <c r="F437" s="26" t="s">
        <v>73</v>
      </c>
      <c r="G437" s="26" t="s">
        <v>8</v>
      </c>
      <c r="H437" s="27" t="n">
        <v>0.354166666666667</v>
      </c>
      <c r="I437" s="27" t="n">
        <v>0.854166666666667</v>
      </c>
      <c r="J437" s="26" t="n">
        <f aca="false">IFERROR((I437-H437)*24*60,"")</f>
        <v>720</v>
      </c>
      <c r="K437" s="26" t="s">
        <v>89</v>
      </c>
      <c r="L437" s="26" t="s">
        <v>75</v>
      </c>
      <c r="M437" s="26" t="s">
        <v>76</v>
      </c>
      <c r="N437" s="26" t="s">
        <v>77</v>
      </c>
      <c r="O437" s="26" t="n">
        <v>2</v>
      </c>
      <c r="P437" s="26" t="n">
        <v>26</v>
      </c>
      <c r="Q437" s="26" t="n">
        <f aca="false">IFERROR(3600/(P437/O437),"")</f>
        <v>276.923076923077</v>
      </c>
      <c r="R437" s="26" t="n">
        <v>2740</v>
      </c>
      <c r="S437" s="26" t="n">
        <v>70</v>
      </c>
      <c r="T437" s="26" t="n">
        <f aca="false">IFERROR(J437-S437,"")</f>
        <v>650</v>
      </c>
      <c r="U437" s="26"/>
      <c r="V437" s="26"/>
      <c r="W437" s="26" t="n">
        <v>4</v>
      </c>
      <c r="X437" s="26"/>
      <c r="Y437" s="26"/>
      <c r="Z437" s="26"/>
      <c r="AA437" s="26"/>
      <c r="AB437" s="26"/>
      <c r="AC437" s="26"/>
      <c r="AD437" s="26"/>
      <c r="AE437" s="26"/>
      <c r="AF437" s="26" t="n">
        <f aca="false">SUM(U437:AE437)</f>
        <v>4</v>
      </c>
      <c r="AG437" s="26" t="n">
        <f aca="false">T437-AF437</f>
        <v>646</v>
      </c>
      <c r="AH437" s="28" t="n">
        <f aca="false">IFERROR(AG437/T437,"")</f>
        <v>0.993846153846154</v>
      </c>
      <c r="AI437" s="29" t="n">
        <f aca="false">IFERROR(R437/AG437*60,"")</f>
        <v>254.489164086687</v>
      </c>
      <c r="AJ437" s="30" t="n">
        <f aca="false">IFERROR(AI437/Q437,"")</f>
        <v>0.918988648090815</v>
      </c>
      <c r="AK437" s="31" t="n">
        <f aca="false">IFERROR(R437/(T437/60*Q437),"")</f>
        <v>0.913333333333333</v>
      </c>
      <c r="AL437" s="26" t="n">
        <v>2</v>
      </c>
      <c r="AM437" s="26" t="n">
        <v>2</v>
      </c>
      <c r="AN437" s="26" t="n">
        <v>4</v>
      </c>
      <c r="AO437" s="26" t="n">
        <v>2</v>
      </c>
      <c r="AP437" s="26" t="n">
        <v>1</v>
      </c>
      <c r="AQ437" s="26" t="n">
        <v>3</v>
      </c>
      <c r="AR437" s="26" t="n">
        <v>2</v>
      </c>
      <c r="AS437" s="26" t="n">
        <v>2</v>
      </c>
      <c r="AT437" s="26" t="n">
        <v>1</v>
      </c>
      <c r="AU437" s="26"/>
      <c r="AV437" s="26" t="n">
        <f aca="false">SUM(AL437:AU437)</f>
        <v>19</v>
      </c>
      <c r="AW437" s="32" t="n">
        <f aca="false">IFERROR(AV437/R437*1000000,"")</f>
        <v>6934.30656934307</v>
      </c>
      <c r="AX437" s="33" t="n">
        <f aca="false">IFERROR((R437-AV437)/R437,"")</f>
        <v>0.993065693430657</v>
      </c>
      <c r="AY437" s="34" t="n">
        <f aca="false">IFERROR(AH437*AJ437*AX437,"")</f>
        <v>0.907</v>
      </c>
      <c r="AZ437" s="35" t="s">
        <v>78</v>
      </c>
    </row>
    <row r="438" customFormat="false" ht="12.75" hidden="false" customHeight="true" outlineLevel="0" collapsed="false">
      <c r="A438" s="24" t="n">
        <v>434</v>
      </c>
      <c r="B438" s="25" t="n">
        <v>46167</v>
      </c>
      <c r="C438" s="25" t="n">
        <v>12</v>
      </c>
      <c r="D438" s="26" t="s">
        <v>79</v>
      </c>
      <c r="E438" s="26" t="s">
        <v>80</v>
      </c>
      <c r="F438" s="26" t="s">
        <v>81</v>
      </c>
      <c r="G438" s="26" t="s">
        <v>9</v>
      </c>
      <c r="H438" s="27" t="n">
        <v>0.354166666666667</v>
      </c>
      <c r="I438" s="27" t="n">
        <v>0.854166666666667</v>
      </c>
      <c r="J438" s="26" t="n">
        <f aca="false">IFERROR((I438-H438)*24*60,"")</f>
        <v>720</v>
      </c>
      <c r="K438" s="26" t="s">
        <v>82</v>
      </c>
      <c r="L438" s="26" t="s">
        <v>107</v>
      </c>
      <c r="M438" s="26" t="s">
        <v>84</v>
      </c>
      <c r="N438" s="26" t="s">
        <v>85</v>
      </c>
      <c r="O438" s="26" t="n">
        <v>4</v>
      </c>
      <c r="P438" s="26" t="n">
        <v>69</v>
      </c>
      <c r="Q438" s="26" t="n">
        <f aca="false">IFERROR(3600/(P438/O438),"")</f>
        <v>208.695652173913</v>
      </c>
      <c r="R438" s="26" t="n">
        <v>2151</v>
      </c>
      <c r="S438" s="26" t="n">
        <v>73</v>
      </c>
      <c r="T438" s="26" t="n">
        <f aca="false">IFERROR(J438-S438,"")</f>
        <v>647</v>
      </c>
      <c r="U438" s="26"/>
      <c r="V438" s="26"/>
      <c r="W438" s="26"/>
      <c r="X438" s="26"/>
      <c r="Y438" s="26"/>
      <c r="Z438" s="26"/>
      <c r="AA438" s="26"/>
      <c r="AB438" s="26" t="n">
        <v>6</v>
      </c>
      <c r="AC438" s="26"/>
      <c r="AD438" s="26"/>
      <c r="AE438" s="26"/>
      <c r="AF438" s="26" t="n">
        <f aca="false">SUM(U438:AE438)</f>
        <v>6</v>
      </c>
      <c r="AG438" s="26" t="n">
        <f aca="false">T438-AF438</f>
        <v>641</v>
      </c>
      <c r="AH438" s="28" t="n">
        <f aca="false">IFERROR(AG438/T438,"")</f>
        <v>0.990726429675425</v>
      </c>
      <c r="AI438" s="29" t="n">
        <f aca="false">IFERROR(R438/AG438*60,"")</f>
        <v>201.341653666147</v>
      </c>
      <c r="AJ438" s="30" t="n">
        <f aca="false">IFERROR(AI438/Q438,"")</f>
        <v>0.964762090483619</v>
      </c>
      <c r="AK438" s="31" t="n">
        <f aca="false">IFERROR(R438/(T438/60*Q438),"")</f>
        <v>0.955815301391036</v>
      </c>
      <c r="AL438" s="26" t="n">
        <v>3</v>
      </c>
      <c r="AM438" s="26" t="n">
        <v>5</v>
      </c>
      <c r="AN438" s="26" t="n">
        <v>3</v>
      </c>
      <c r="AO438" s="26" t="n">
        <v>3</v>
      </c>
      <c r="AP438" s="26" t="n">
        <v>2</v>
      </c>
      <c r="AQ438" s="26"/>
      <c r="AR438" s="26" t="n">
        <v>3</v>
      </c>
      <c r="AS438" s="26" t="n">
        <v>1</v>
      </c>
      <c r="AT438" s="26" t="n">
        <v>2</v>
      </c>
      <c r="AU438" s="26" t="n">
        <v>5</v>
      </c>
      <c r="AV438" s="26" t="n">
        <f aca="false">SUM(AL438:AU438)</f>
        <v>27</v>
      </c>
      <c r="AW438" s="32" t="n">
        <f aca="false">IFERROR(AV438/R438*1000000,"")</f>
        <v>12552.3012552301</v>
      </c>
      <c r="AX438" s="33" t="n">
        <f aca="false">IFERROR((R438-AV438)/R438,"")</f>
        <v>0.98744769874477</v>
      </c>
      <c r="AY438" s="34" t="n">
        <f aca="false">IFERROR(AH438*AJ438*AX438,"")</f>
        <v>0.943817619783617</v>
      </c>
      <c r="AZ438" s="35"/>
    </row>
    <row r="439" customFormat="false" ht="12.75" hidden="false" customHeight="true" outlineLevel="0" collapsed="false">
      <c r="A439" s="24" t="n">
        <v>435</v>
      </c>
      <c r="B439" s="25" t="n">
        <v>46167</v>
      </c>
      <c r="C439" s="25" t="n">
        <v>12</v>
      </c>
      <c r="D439" s="26" t="s">
        <v>87</v>
      </c>
      <c r="E439" s="26" t="s">
        <v>88</v>
      </c>
      <c r="F439" s="26" t="s">
        <v>73</v>
      </c>
      <c r="G439" s="26" t="s">
        <v>10</v>
      </c>
      <c r="H439" s="27" t="n">
        <v>0.354166666666667</v>
      </c>
      <c r="I439" s="27" t="n">
        <v>0.854166666666667</v>
      </c>
      <c r="J439" s="26" t="n">
        <f aca="false">IFERROR((I439-H439)*24*60,"")</f>
        <v>720</v>
      </c>
      <c r="K439" s="26" t="s">
        <v>89</v>
      </c>
      <c r="L439" s="26" t="s">
        <v>83</v>
      </c>
      <c r="M439" s="26" t="s">
        <v>91</v>
      </c>
      <c r="N439" s="26" t="s">
        <v>92</v>
      </c>
      <c r="O439" s="26" t="n">
        <v>2</v>
      </c>
      <c r="P439" s="26" t="n">
        <v>60</v>
      </c>
      <c r="Q439" s="26" t="n">
        <f aca="false">IFERROR(3600/(P439/O439),"")</f>
        <v>120</v>
      </c>
      <c r="R439" s="26" t="n">
        <v>948</v>
      </c>
      <c r="S439" s="26" t="n">
        <v>55</v>
      </c>
      <c r="T439" s="26" t="n">
        <f aca="false">IFERROR(J439-S439,"")</f>
        <v>665</v>
      </c>
      <c r="U439" s="26"/>
      <c r="V439" s="26"/>
      <c r="W439" s="26"/>
      <c r="X439" s="26"/>
      <c r="Y439" s="26"/>
      <c r="Z439" s="26"/>
      <c r="AA439" s="26" t="n">
        <v>4</v>
      </c>
      <c r="AB439" s="26"/>
      <c r="AC439" s="26"/>
      <c r="AD439" s="26"/>
      <c r="AE439" s="26"/>
      <c r="AF439" s="26" t="n">
        <f aca="false">SUM(U439:AE439)</f>
        <v>4</v>
      </c>
      <c r="AG439" s="26" t="n">
        <f aca="false">T439-AF439</f>
        <v>661</v>
      </c>
      <c r="AH439" s="28" t="n">
        <f aca="false">IFERROR(AG439/T439,"")</f>
        <v>0.993984962406015</v>
      </c>
      <c r="AI439" s="29" t="n">
        <f aca="false">IFERROR(R439/AG439*60,"")</f>
        <v>86.0514372163389</v>
      </c>
      <c r="AJ439" s="30" t="n">
        <f aca="false">IFERROR(AI439/Q439,"")</f>
        <v>0.717095310136157</v>
      </c>
      <c r="AK439" s="31" t="n">
        <f aca="false">IFERROR(R439/(T439/60*Q439),"")</f>
        <v>0.712781954887218</v>
      </c>
      <c r="AL439" s="26" t="n">
        <v>2</v>
      </c>
      <c r="AM439" s="26"/>
      <c r="AN439" s="26"/>
      <c r="AO439" s="26" t="n">
        <v>1</v>
      </c>
      <c r="AP439" s="26"/>
      <c r="AQ439" s="26" t="n">
        <v>2</v>
      </c>
      <c r="AR439" s="26" t="n">
        <v>4</v>
      </c>
      <c r="AS439" s="26" t="n">
        <v>1</v>
      </c>
      <c r="AT439" s="26" t="n">
        <v>2</v>
      </c>
      <c r="AU439" s="26"/>
      <c r="AV439" s="26" t="n">
        <f aca="false">SUM(AL439:AU439)</f>
        <v>12</v>
      </c>
      <c r="AW439" s="32" t="n">
        <f aca="false">IFERROR(AV439/R439*1000000,"")</f>
        <v>12658.2278481013</v>
      </c>
      <c r="AX439" s="33" t="n">
        <f aca="false">IFERROR((R439-AV439)/R439,"")</f>
        <v>0.987341772151899</v>
      </c>
      <c r="AY439" s="34" t="n">
        <f aca="false">IFERROR(AH439*AJ439*AX439,"")</f>
        <v>0.703759398496241</v>
      </c>
      <c r="AZ439" s="35" t="s">
        <v>78</v>
      </c>
    </row>
    <row r="440" customFormat="false" ht="12.75" hidden="false" customHeight="true" outlineLevel="0" collapsed="false">
      <c r="A440" s="24" t="n">
        <v>436</v>
      </c>
      <c r="B440" s="25" t="n">
        <v>46168</v>
      </c>
      <c r="C440" s="25" t="n">
        <v>12</v>
      </c>
      <c r="D440" s="26" t="s">
        <v>71</v>
      </c>
      <c r="E440" s="26" t="s">
        <v>94</v>
      </c>
      <c r="F440" s="26" t="s">
        <v>81</v>
      </c>
      <c r="G440" s="26" t="s">
        <v>11</v>
      </c>
      <c r="H440" s="27" t="n">
        <v>0.354166666666667</v>
      </c>
      <c r="I440" s="27" t="n">
        <v>0.854166666666667</v>
      </c>
      <c r="J440" s="26" t="n">
        <f aca="false">IFERROR((I440-H440)*24*60,"")</f>
        <v>720</v>
      </c>
      <c r="K440" s="26" t="s">
        <v>74</v>
      </c>
      <c r="L440" s="26" t="s">
        <v>102</v>
      </c>
      <c r="M440" s="26" t="s">
        <v>95</v>
      </c>
      <c r="N440" s="26" t="s">
        <v>96</v>
      </c>
      <c r="O440" s="26" t="n">
        <v>8</v>
      </c>
      <c r="P440" s="26" t="n">
        <v>47</v>
      </c>
      <c r="Q440" s="26" t="n">
        <f aca="false">IFERROR(3600/(P440/O440),"")</f>
        <v>612.765957446809</v>
      </c>
      <c r="R440" s="26" t="n">
        <v>4963</v>
      </c>
      <c r="S440" s="26" t="n">
        <v>66</v>
      </c>
      <c r="T440" s="26" t="n">
        <f aca="false">IFERROR(J440-S440,"")</f>
        <v>654</v>
      </c>
      <c r="U440" s="26"/>
      <c r="V440" s="26"/>
      <c r="W440" s="26"/>
      <c r="X440" s="26"/>
      <c r="Y440" s="26" t="n">
        <v>21</v>
      </c>
      <c r="Z440" s="26"/>
      <c r="AA440" s="26"/>
      <c r="AB440" s="26"/>
      <c r="AC440" s="26"/>
      <c r="AD440" s="26"/>
      <c r="AE440" s="26" t="n">
        <v>12</v>
      </c>
      <c r="AF440" s="26" t="n">
        <f aca="false">SUM(U440:AE440)</f>
        <v>33</v>
      </c>
      <c r="AG440" s="26" t="n">
        <f aca="false">T440-AF440</f>
        <v>621</v>
      </c>
      <c r="AH440" s="28" t="n">
        <f aca="false">IFERROR(AG440/T440,"")</f>
        <v>0.94954128440367</v>
      </c>
      <c r="AI440" s="29" t="n">
        <f aca="false">IFERROR(R440/AG440*60,"")</f>
        <v>479.51690821256</v>
      </c>
      <c r="AJ440" s="30" t="n">
        <f aca="false">IFERROR(AI440/Q440,"")</f>
        <v>0.782544954374664</v>
      </c>
      <c r="AK440" s="31" t="n">
        <f aca="false">IFERROR(R440/(T440/60*Q440),"")</f>
        <v>0.74305874108053</v>
      </c>
      <c r="AL440" s="26" t="n">
        <v>1</v>
      </c>
      <c r="AM440" s="26"/>
      <c r="AN440" s="26"/>
      <c r="AO440" s="26" t="n">
        <v>3</v>
      </c>
      <c r="AP440" s="26" t="n">
        <v>2</v>
      </c>
      <c r="AQ440" s="26" t="n">
        <v>1</v>
      </c>
      <c r="AR440" s="26" t="n">
        <v>4</v>
      </c>
      <c r="AS440" s="26"/>
      <c r="AT440" s="26"/>
      <c r="AU440" s="26" t="n">
        <v>3</v>
      </c>
      <c r="AV440" s="26" t="n">
        <f aca="false">SUM(AL440:AU440)</f>
        <v>14</v>
      </c>
      <c r="AW440" s="32" t="n">
        <f aca="false">IFERROR(AV440/R440*1000000,"")</f>
        <v>2820.87447108604</v>
      </c>
      <c r="AX440" s="33" t="n">
        <f aca="false">IFERROR((R440-AV440)/R440,"")</f>
        <v>0.997179125528914</v>
      </c>
      <c r="AY440" s="34" t="n">
        <f aca="false">IFERROR(AH440*AJ440*AX440,"")</f>
        <v>0.740962665647299</v>
      </c>
      <c r="AZ440" s="35" t="s">
        <v>86</v>
      </c>
    </row>
    <row r="441" customFormat="false" ht="12.75" hidden="false" customHeight="true" outlineLevel="0" collapsed="false">
      <c r="A441" s="24" t="n">
        <v>437</v>
      </c>
      <c r="B441" s="25" t="n">
        <v>46168</v>
      </c>
      <c r="C441" s="25" t="n">
        <v>12</v>
      </c>
      <c r="D441" s="26" t="s">
        <v>79</v>
      </c>
      <c r="E441" s="26" t="s">
        <v>97</v>
      </c>
      <c r="F441" s="26" t="s">
        <v>73</v>
      </c>
      <c r="G441" s="26" t="s">
        <v>12</v>
      </c>
      <c r="H441" s="27" t="n">
        <v>0.354166666666667</v>
      </c>
      <c r="I441" s="27" t="n">
        <v>0.854166666666667</v>
      </c>
      <c r="J441" s="26" t="n">
        <f aca="false">IFERROR((I441-H441)*24*60,"")</f>
        <v>720</v>
      </c>
      <c r="K441" s="26" t="s">
        <v>82</v>
      </c>
      <c r="L441" s="26" t="s">
        <v>90</v>
      </c>
      <c r="M441" s="26" t="s">
        <v>99</v>
      </c>
      <c r="N441" s="26" t="s">
        <v>100</v>
      </c>
      <c r="O441" s="26" t="n">
        <v>8</v>
      </c>
      <c r="P441" s="26" t="n">
        <v>32</v>
      </c>
      <c r="Q441" s="26" t="n">
        <f aca="false">IFERROR(3600/(P441/O441),"")</f>
        <v>900</v>
      </c>
      <c r="R441" s="26" t="n">
        <v>8428</v>
      </c>
      <c r="S441" s="26" t="n">
        <v>38</v>
      </c>
      <c r="T441" s="26" t="n">
        <f aca="false">IFERROR(J441-S441,"")</f>
        <v>682</v>
      </c>
      <c r="U441" s="26"/>
      <c r="V441" s="26"/>
      <c r="W441" s="26"/>
      <c r="X441" s="26"/>
      <c r="Y441" s="26" t="n">
        <v>4</v>
      </c>
      <c r="Z441" s="26"/>
      <c r="AA441" s="26"/>
      <c r="AB441" s="26"/>
      <c r="AC441" s="26"/>
      <c r="AD441" s="26"/>
      <c r="AE441" s="26"/>
      <c r="AF441" s="26" t="n">
        <f aca="false">SUM(U441:AE441)</f>
        <v>4</v>
      </c>
      <c r="AG441" s="26" t="n">
        <f aca="false">T441-AF441</f>
        <v>678</v>
      </c>
      <c r="AH441" s="28" t="n">
        <f aca="false">IFERROR(AG441/T441,"")</f>
        <v>0.994134897360704</v>
      </c>
      <c r="AI441" s="29" t="n">
        <f aca="false">IFERROR(R441/AG441*60,"")</f>
        <v>745.840707964602</v>
      </c>
      <c r="AJ441" s="30" t="n">
        <f aca="false">IFERROR(AI441/Q441,"")</f>
        <v>0.828711897738446</v>
      </c>
      <c r="AK441" s="31" t="n">
        <f aca="false">IFERROR(R441/(T441/60*Q441),"")</f>
        <v>0.823851417399805</v>
      </c>
      <c r="AL441" s="26" t="n">
        <v>14</v>
      </c>
      <c r="AM441" s="26" t="n">
        <v>19</v>
      </c>
      <c r="AN441" s="26" t="n">
        <v>20</v>
      </c>
      <c r="AO441" s="26" t="n">
        <v>25</v>
      </c>
      <c r="AP441" s="26" t="n">
        <v>24</v>
      </c>
      <c r="AQ441" s="26" t="n">
        <v>26</v>
      </c>
      <c r="AR441" s="26" t="n">
        <v>22</v>
      </c>
      <c r="AS441" s="26" t="n">
        <v>20</v>
      </c>
      <c r="AT441" s="26" t="n">
        <v>17</v>
      </c>
      <c r="AU441" s="26" t="n">
        <v>17</v>
      </c>
      <c r="AV441" s="26" t="n">
        <f aca="false">SUM(AL441:AU441)</f>
        <v>204</v>
      </c>
      <c r="AW441" s="32" t="n">
        <f aca="false">IFERROR(AV441/R441*1000000,"")</f>
        <v>24205.0308495491</v>
      </c>
      <c r="AX441" s="33" t="n">
        <f aca="false">IFERROR((R441-AV441)/R441,"")</f>
        <v>0.975794969150451</v>
      </c>
      <c r="AY441" s="34" t="n">
        <f aca="false">IFERROR(AH441*AJ441*AX441,"")</f>
        <v>0.803910068426197</v>
      </c>
      <c r="AZ441" s="35" t="s">
        <v>78</v>
      </c>
    </row>
    <row r="442" customFormat="false" ht="12.75" hidden="false" customHeight="true" outlineLevel="0" collapsed="false">
      <c r="A442" s="24" t="n">
        <v>438</v>
      </c>
      <c r="B442" s="25" t="n">
        <v>46168</v>
      </c>
      <c r="C442" s="25" t="n">
        <v>12</v>
      </c>
      <c r="D442" s="26" t="s">
        <v>87</v>
      </c>
      <c r="E442" s="26" t="s">
        <v>101</v>
      </c>
      <c r="F442" s="26" t="s">
        <v>81</v>
      </c>
      <c r="G442" s="26" t="s">
        <v>13</v>
      </c>
      <c r="H442" s="27" t="n">
        <v>0.354166666666667</v>
      </c>
      <c r="I442" s="27" t="n">
        <v>0.854166666666667</v>
      </c>
      <c r="J442" s="26" t="n">
        <f aca="false">IFERROR((I442-H442)*24*60,"")</f>
        <v>720</v>
      </c>
      <c r="K442" s="26" t="s">
        <v>74</v>
      </c>
      <c r="L442" s="26" t="s">
        <v>107</v>
      </c>
      <c r="M442" s="26" t="s">
        <v>103</v>
      </c>
      <c r="N442" s="26" t="s">
        <v>104</v>
      </c>
      <c r="O442" s="26" t="n">
        <v>2</v>
      </c>
      <c r="P442" s="26" t="n">
        <v>52</v>
      </c>
      <c r="Q442" s="26" t="n">
        <f aca="false">IFERROR(3600/(P442/O442),"")</f>
        <v>138.461538461538</v>
      </c>
      <c r="R442" s="26" t="n">
        <v>1411</v>
      </c>
      <c r="S442" s="26" t="n">
        <v>70</v>
      </c>
      <c r="T442" s="26" t="n">
        <f aca="false">IFERROR(J442-S442,"")</f>
        <v>650</v>
      </c>
      <c r="U442" s="26"/>
      <c r="V442" s="26"/>
      <c r="W442" s="26"/>
      <c r="X442" s="26"/>
      <c r="Y442" s="26"/>
      <c r="Z442" s="26" t="n">
        <v>3</v>
      </c>
      <c r="AA442" s="26"/>
      <c r="AB442" s="26"/>
      <c r="AC442" s="26"/>
      <c r="AD442" s="26"/>
      <c r="AE442" s="26"/>
      <c r="AF442" s="26" t="n">
        <f aca="false">SUM(U442:AE442)</f>
        <v>3</v>
      </c>
      <c r="AG442" s="26" t="n">
        <f aca="false">T442-AF442</f>
        <v>647</v>
      </c>
      <c r="AH442" s="28" t="n">
        <f aca="false">IFERROR(AG442/T442,"")</f>
        <v>0.995384615384615</v>
      </c>
      <c r="AI442" s="29" t="n">
        <f aca="false">IFERROR(R442/AG442*60,"")</f>
        <v>130.850077279753</v>
      </c>
      <c r="AJ442" s="30" t="n">
        <f aca="false">IFERROR(AI442/Q442,"")</f>
        <v>0.945028335909325</v>
      </c>
      <c r="AK442" s="31" t="n">
        <f aca="false">IFERROR(R442/(T442/60*Q442),"")</f>
        <v>0.940666666666667</v>
      </c>
      <c r="AL442" s="26" t="n">
        <v>3</v>
      </c>
      <c r="AM442" s="26" t="n">
        <v>1</v>
      </c>
      <c r="AN442" s="26" t="n">
        <v>4</v>
      </c>
      <c r="AO442" s="26"/>
      <c r="AP442" s="26" t="n">
        <v>1</v>
      </c>
      <c r="AQ442" s="26" t="n">
        <v>1</v>
      </c>
      <c r="AR442" s="26"/>
      <c r="AS442" s="26" t="n">
        <v>2</v>
      </c>
      <c r="AT442" s="26" t="n">
        <v>1</v>
      </c>
      <c r="AU442" s="26"/>
      <c r="AV442" s="26" t="n">
        <f aca="false">SUM(AL442:AU442)</f>
        <v>13</v>
      </c>
      <c r="AW442" s="32" t="n">
        <f aca="false">IFERROR(AV442/R442*1000000,"")</f>
        <v>9213.32388377038</v>
      </c>
      <c r="AX442" s="33" t="n">
        <f aca="false">IFERROR((R442-AV442)/R442,"")</f>
        <v>0.99078667611623</v>
      </c>
      <c r="AY442" s="34" t="n">
        <f aca="false">IFERROR(AH442*AJ442*AX442,"")</f>
        <v>0.932</v>
      </c>
      <c r="AZ442" s="35"/>
    </row>
    <row r="443" customFormat="false" ht="12.75" hidden="false" customHeight="true" outlineLevel="0" collapsed="false">
      <c r="A443" s="24" t="n">
        <v>439</v>
      </c>
      <c r="B443" s="25" t="n">
        <v>46169</v>
      </c>
      <c r="C443" s="25" t="n">
        <v>12</v>
      </c>
      <c r="D443" s="26" t="s">
        <v>71</v>
      </c>
      <c r="E443" s="26" t="s">
        <v>72</v>
      </c>
      <c r="F443" s="26" t="s">
        <v>73</v>
      </c>
      <c r="G443" s="26" t="s">
        <v>8</v>
      </c>
      <c r="H443" s="27" t="n">
        <v>0.354166666666667</v>
      </c>
      <c r="I443" s="27" t="n">
        <v>0.854166666666667</v>
      </c>
      <c r="J443" s="26" t="n">
        <f aca="false">IFERROR((I443-H443)*24*60,"")</f>
        <v>720</v>
      </c>
      <c r="K443" s="26" t="s">
        <v>74</v>
      </c>
      <c r="L443" s="26" t="s">
        <v>102</v>
      </c>
      <c r="M443" s="26" t="s">
        <v>76</v>
      </c>
      <c r="N443" s="26" t="s">
        <v>77</v>
      </c>
      <c r="O443" s="26" t="n">
        <v>2</v>
      </c>
      <c r="P443" s="26" t="n">
        <v>60</v>
      </c>
      <c r="Q443" s="26" t="n">
        <f aca="false">IFERROR(3600/(P443/O443),"")</f>
        <v>120</v>
      </c>
      <c r="R443" s="26" t="n">
        <v>1215</v>
      </c>
      <c r="S443" s="26" t="n">
        <v>31</v>
      </c>
      <c r="T443" s="26" t="n">
        <f aca="false">IFERROR(J443-S443,"")</f>
        <v>689</v>
      </c>
      <c r="U443" s="26"/>
      <c r="V443" s="26"/>
      <c r="W443" s="26"/>
      <c r="X443" s="26"/>
      <c r="Y443" s="26"/>
      <c r="Z443" s="26"/>
      <c r="AA443" s="26" t="n">
        <v>9</v>
      </c>
      <c r="AB443" s="26"/>
      <c r="AC443" s="26"/>
      <c r="AD443" s="26"/>
      <c r="AE443" s="26"/>
      <c r="AF443" s="26" t="n">
        <f aca="false">SUM(U443:AE443)</f>
        <v>9</v>
      </c>
      <c r="AG443" s="26" t="n">
        <f aca="false">T443-AF443</f>
        <v>680</v>
      </c>
      <c r="AH443" s="28" t="n">
        <f aca="false">IFERROR(AG443/T443,"")</f>
        <v>0.986937590711176</v>
      </c>
      <c r="AI443" s="29" t="n">
        <f aca="false">IFERROR(R443/AG443*60,"")</f>
        <v>107.205882352941</v>
      </c>
      <c r="AJ443" s="30" t="n">
        <f aca="false">IFERROR(AI443/Q443,"")</f>
        <v>0.893382352941177</v>
      </c>
      <c r="AK443" s="31" t="n">
        <f aca="false">IFERROR(R443/(T443/60*Q443),"")</f>
        <v>0.881712626995646</v>
      </c>
      <c r="AL443" s="26" t="n">
        <v>2</v>
      </c>
      <c r="AM443" s="26" t="n">
        <v>2</v>
      </c>
      <c r="AN443" s="26" t="n">
        <v>3</v>
      </c>
      <c r="AO443" s="26" t="n">
        <v>2</v>
      </c>
      <c r="AP443" s="26"/>
      <c r="AQ443" s="26" t="n">
        <v>2</v>
      </c>
      <c r="AR443" s="26" t="n">
        <v>2</v>
      </c>
      <c r="AS443" s="26" t="n">
        <v>1</v>
      </c>
      <c r="AT443" s="26" t="n">
        <v>1</v>
      </c>
      <c r="AU443" s="26" t="n">
        <v>2</v>
      </c>
      <c r="AV443" s="26" t="n">
        <f aca="false">SUM(AL443:AU443)</f>
        <v>17</v>
      </c>
      <c r="AW443" s="32" t="n">
        <f aca="false">IFERROR(AV443/R443*1000000,"")</f>
        <v>13991.7695473251</v>
      </c>
      <c r="AX443" s="33" t="n">
        <f aca="false">IFERROR((R443-AV443)/R443,"")</f>
        <v>0.986008230452675</v>
      </c>
      <c r="AY443" s="34" t="n">
        <f aca="false">IFERROR(AH443*AJ443*AX443,"")</f>
        <v>0.869375907111756</v>
      </c>
      <c r="AZ443" s="35" t="s">
        <v>86</v>
      </c>
    </row>
    <row r="444" customFormat="false" ht="12.75" hidden="false" customHeight="true" outlineLevel="0" collapsed="false">
      <c r="A444" s="24" t="n">
        <v>440</v>
      </c>
      <c r="B444" s="25" t="n">
        <v>46169</v>
      </c>
      <c r="C444" s="25" t="n">
        <v>12</v>
      </c>
      <c r="D444" s="26" t="s">
        <v>79</v>
      </c>
      <c r="E444" s="26" t="s">
        <v>80</v>
      </c>
      <c r="F444" s="26" t="s">
        <v>81</v>
      </c>
      <c r="G444" s="26" t="s">
        <v>9</v>
      </c>
      <c r="H444" s="27" t="n">
        <v>0.354166666666667</v>
      </c>
      <c r="I444" s="27" t="n">
        <v>0.854166666666667</v>
      </c>
      <c r="J444" s="26" t="n">
        <f aca="false">IFERROR((I444-H444)*24*60,"")</f>
        <v>720</v>
      </c>
      <c r="K444" s="26" t="s">
        <v>89</v>
      </c>
      <c r="L444" s="26" t="s">
        <v>75</v>
      </c>
      <c r="M444" s="26" t="s">
        <v>84</v>
      </c>
      <c r="N444" s="26" t="s">
        <v>85</v>
      </c>
      <c r="O444" s="26" t="n">
        <v>4</v>
      </c>
      <c r="P444" s="26" t="n">
        <v>63</v>
      </c>
      <c r="Q444" s="26" t="n">
        <f aca="false">IFERROR(3600/(P444/O444),"")</f>
        <v>228.571428571429</v>
      </c>
      <c r="R444" s="26" t="n">
        <v>2045</v>
      </c>
      <c r="S444" s="26" t="n">
        <v>52</v>
      </c>
      <c r="T444" s="26" t="n">
        <f aca="false">IFERROR(J444-S444,"")</f>
        <v>668</v>
      </c>
      <c r="U444" s="26"/>
      <c r="V444" s="26"/>
      <c r="W444" s="26" t="n">
        <v>13</v>
      </c>
      <c r="X444" s="26" t="n">
        <v>13</v>
      </c>
      <c r="Y444" s="26"/>
      <c r="Z444" s="26"/>
      <c r="AA444" s="26"/>
      <c r="AB444" s="26"/>
      <c r="AC444" s="26"/>
      <c r="AD444" s="26"/>
      <c r="AE444" s="26"/>
      <c r="AF444" s="26" t="n">
        <f aca="false">SUM(U444:AE444)</f>
        <v>26</v>
      </c>
      <c r="AG444" s="26" t="n">
        <f aca="false">T444-AF444</f>
        <v>642</v>
      </c>
      <c r="AH444" s="28" t="n">
        <f aca="false">IFERROR(AG444/T444,"")</f>
        <v>0.961077844311377</v>
      </c>
      <c r="AI444" s="29" t="n">
        <f aca="false">IFERROR(R444/AG444*60,"")</f>
        <v>191.121495327103</v>
      </c>
      <c r="AJ444" s="30" t="n">
        <f aca="false">IFERROR(AI444/Q444,"")</f>
        <v>0.836156542056075</v>
      </c>
      <c r="AK444" s="31" t="n">
        <f aca="false">IFERROR(R444/(T444/60*Q444),"")</f>
        <v>0.803611526946108</v>
      </c>
      <c r="AL444" s="26" t="n">
        <v>1</v>
      </c>
      <c r="AM444" s="26"/>
      <c r="AN444" s="26" t="n">
        <v>1</v>
      </c>
      <c r="AO444" s="26" t="n">
        <v>2</v>
      </c>
      <c r="AP444" s="26" t="n">
        <v>1</v>
      </c>
      <c r="AQ444" s="26" t="n">
        <v>1</v>
      </c>
      <c r="AR444" s="26"/>
      <c r="AS444" s="26" t="n">
        <v>1</v>
      </c>
      <c r="AT444" s="26" t="n">
        <v>1</v>
      </c>
      <c r="AU444" s="26" t="n">
        <v>3</v>
      </c>
      <c r="AV444" s="26" t="n">
        <f aca="false">SUM(AL444:AU444)</f>
        <v>11</v>
      </c>
      <c r="AW444" s="32" t="n">
        <f aca="false">IFERROR(AV444/R444*1000000,"")</f>
        <v>5378.97310513447</v>
      </c>
      <c r="AX444" s="33" t="n">
        <f aca="false">IFERROR((R444-AV444)/R444,"")</f>
        <v>0.994621026894866</v>
      </c>
      <c r="AY444" s="34" t="n">
        <f aca="false">IFERROR(AH444*AJ444*AX444,"")</f>
        <v>0.799288922155689</v>
      </c>
      <c r="AZ444" s="35" t="s">
        <v>93</v>
      </c>
    </row>
    <row r="445" customFormat="false" ht="12.75" hidden="false" customHeight="true" outlineLevel="0" collapsed="false">
      <c r="A445" s="24" t="n">
        <v>441</v>
      </c>
      <c r="B445" s="25" t="n">
        <v>46169</v>
      </c>
      <c r="C445" s="25" t="n">
        <v>12</v>
      </c>
      <c r="D445" s="26" t="s">
        <v>87</v>
      </c>
      <c r="E445" s="26" t="s">
        <v>88</v>
      </c>
      <c r="F445" s="26" t="s">
        <v>73</v>
      </c>
      <c r="G445" s="26" t="s">
        <v>10</v>
      </c>
      <c r="H445" s="27" t="n">
        <v>0.354166666666667</v>
      </c>
      <c r="I445" s="27" t="n">
        <v>0.854166666666667</v>
      </c>
      <c r="J445" s="26" t="n">
        <f aca="false">IFERROR((I445-H445)*24*60,"")</f>
        <v>720</v>
      </c>
      <c r="K445" s="26" t="s">
        <v>82</v>
      </c>
      <c r="L445" s="26" t="s">
        <v>98</v>
      </c>
      <c r="M445" s="26" t="s">
        <v>91</v>
      </c>
      <c r="N445" s="26" t="s">
        <v>92</v>
      </c>
      <c r="O445" s="26" t="n">
        <v>2</v>
      </c>
      <c r="P445" s="26" t="n">
        <v>51</v>
      </c>
      <c r="Q445" s="26" t="n">
        <f aca="false">IFERROR(3600/(P445/O445),"")</f>
        <v>141.176470588235</v>
      </c>
      <c r="R445" s="26" t="n">
        <v>1316</v>
      </c>
      <c r="S445" s="26" t="n">
        <v>44</v>
      </c>
      <c r="T445" s="26" t="n">
        <f aca="false">IFERROR(J445-S445,"")</f>
        <v>676</v>
      </c>
      <c r="U445" s="26" t="n">
        <v>8</v>
      </c>
      <c r="V445" s="26" t="n">
        <v>12</v>
      </c>
      <c r="W445" s="26"/>
      <c r="X445" s="26"/>
      <c r="Y445" s="26"/>
      <c r="Z445" s="26"/>
      <c r="AA445" s="26" t="n">
        <v>6</v>
      </c>
      <c r="AB445" s="26"/>
      <c r="AC445" s="26"/>
      <c r="AD445" s="26"/>
      <c r="AE445" s="26"/>
      <c r="AF445" s="26" t="n">
        <f aca="false">SUM(U445:AE445)</f>
        <v>26</v>
      </c>
      <c r="AG445" s="26" t="n">
        <f aca="false">T445-AF445</f>
        <v>650</v>
      </c>
      <c r="AH445" s="28" t="n">
        <f aca="false">IFERROR(AG445/T445,"")</f>
        <v>0.961538461538462</v>
      </c>
      <c r="AI445" s="29" t="n">
        <f aca="false">IFERROR(R445/AG445*60,"")</f>
        <v>121.476923076923</v>
      </c>
      <c r="AJ445" s="30" t="n">
        <f aca="false">IFERROR(AI445/Q445,"")</f>
        <v>0.860461538461539</v>
      </c>
      <c r="AK445" s="31" t="n">
        <f aca="false">IFERROR(R445/(T445/60*Q445),"")</f>
        <v>0.827366863905325</v>
      </c>
      <c r="AL445" s="26" t="n">
        <v>3</v>
      </c>
      <c r="AM445" s="26" t="n">
        <v>5</v>
      </c>
      <c r="AN445" s="26" t="n">
        <v>4</v>
      </c>
      <c r="AO445" s="26" t="n">
        <v>2</v>
      </c>
      <c r="AP445" s="26"/>
      <c r="AQ445" s="26" t="n">
        <v>1</v>
      </c>
      <c r="AR445" s="26" t="n">
        <v>4</v>
      </c>
      <c r="AS445" s="26" t="n">
        <v>4</v>
      </c>
      <c r="AT445" s="26" t="n">
        <v>6</v>
      </c>
      <c r="AU445" s="26" t="n">
        <v>1</v>
      </c>
      <c r="AV445" s="26" t="n">
        <f aca="false">SUM(AL445:AU445)</f>
        <v>30</v>
      </c>
      <c r="AW445" s="32" t="n">
        <f aca="false">IFERROR(AV445/R445*1000000,"")</f>
        <v>22796.3525835866</v>
      </c>
      <c r="AX445" s="33" t="n">
        <f aca="false">IFERROR((R445-AV445)/R445,"")</f>
        <v>0.977203647416413</v>
      </c>
      <c r="AY445" s="34" t="n">
        <f aca="false">IFERROR(AH445*AJ445*AX445,"")</f>
        <v>0.808505917159764</v>
      </c>
      <c r="AZ445" s="35"/>
    </row>
    <row r="446" customFormat="false" ht="12.75" hidden="false" customHeight="true" outlineLevel="0" collapsed="false">
      <c r="A446" s="24" t="n">
        <v>442</v>
      </c>
      <c r="B446" s="25" t="n">
        <v>46170</v>
      </c>
      <c r="C446" s="25" t="n">
        <v>12</v>
      </c>
      <c r="D446" s="26" t="s">
        <v>71</v>
      </c>
      <c r="E446" s="26" t="s">
        <v>94</v>
      </c>
      <c r="F446" s="26" t="s">
        <v>81</v>
      </c>
      <c r="G446" s="26" t="s">
        <v>11</v>
      </c>
      <c r="H446" s="27" t="n">
        <v>0.354166666666667</v>
      </c>
      <c r="I446" s="27" t="n">
        <v>0.854166666666667</v>
      </c>
      <c r="J446" s="26" t="n">
        <f aca="false">IFERROR((I446-H446)*24*60,"")</f>
        <v>720</v>
      </c>
      <c r="K446" s="26" t="s">
        <v>82</v>
      </c>
      <c r="L446" s="26" t="s">
        <v>102</v>
      </c>
      <c r="M446" s="26" t="s">
        <v>95</v>
      </c>
      <c r="N446" s="26" t="s">
        <v>96</v>
      </c>
      <c r="O446" s="26" t="n">
        <v>4</v>
      </c>
      <c r="P446" s="26" t="n">
        <v>52</v>
      </c>
      <c r="Q446" s="26" t="n">
        <f aca="false">IFERROR(3600/(P446/O446),"")</f>
        <v>276.923076923077</v>
      </c>
      <c r="R446" s="26" t="n">
        <v>2794</v>
      </c>
      <c r="S446" s="26" t="n">
        <v>60</v>
      </c>
      <c r="T446" s="26" t="n">
        <f aca="false">IFERROR(J446-S446,"")</f>
        <v>660</v>
      </c>
      <c r="U446" s="26"/>
      <c r="V446" s="26"/>
      <c r="W446" s="26"/>
      <c r="X446" s="26" t="n">
        <v>5</v>
      </c>
      <c r="Y446" s="26"/>
      <c r="Z446" s="26"/>
      <c r="AA446" s="26"/>
      <c r="AB446" s="26"/>
      <c r="AC446" s="26"/>
      <c r="AD446" s="26"/>
      <c r="AE446" s="26"/>
      <c r="AF446" s="26" t="n">
        <f aca="false">SUM(U446:AE446)</f>
        <v>5</v>
      </c>
      <c r="AG446" s="26" t="n">
        <f aca="false">T446-AF446</f>
        <v>655</v>
      </c>
      <c r="AH446" s="28" t="n">
        <f aca="false">IFERROR(AG446/T446,"")</f>
        <v>0.992424242424242</v>
      </c>
      <c r="AI446" s="29" t="n">
        <f aca="false">IFERROR(R446/AG446*60,"")</f>
        <v>255.93893129771</v>
      </c>
      <c r="AJ446" s="30" t="n">
        <f aca="false">IFERROR(AI446/Q446,"")</f>
        <v>0.924223918575064</v>
      </c>
      <c r="AK446" s="31" t="n">
        <f aca="false">IFERROR(R446/(T446/60*Q446),"")</f>
        <v>0.917222222222222</v>
      </c>
      <c r="AL446" s="26" t="n">
        <v>7</v>
      </c>
      <c r="AM446" s="26" t="n">
        <v>7</v>
      </c>
      <c r="AN446" s="26" t="n">
        <v>10</v>
      </c>
      <c r="AO446" s="26" t="n">
        <v>8</v>
      </c>
      <c r="AP446" s="26" t="n">
        <v>6</v>
      </c>
      <c r="AQ446" s="26" t="n">
        <v>8</v>
      </c>
      <c r="AR446" s="26" t="n">
        <v>8</v>
      </c>
      <c r="AS446" s="26" t="n">
        <v>4</v>
      </c>
      <c r="AT446" s="26" t="n">
        <v>6</v>
      </c>
      <c r="AU446" s="26" t="n">
        <v>4</v>
      </c>
      <c r="AV446" s="26" t="n">
        <f aca="false">SUM(AL446:AU446)</f>
        <v>68</v>
      </c>
      <c r="AW446" s="32" t="n">
        <f aca="false">IFERROR(AV446/R446*1000000,"")</f>
        <v>24337.8668575519</v>
      </c>
      <c r="AX446" s="33" t="n">
        <f aca="false">IFERROR((R446-AV446)/R446,"")</f>
        <v>0.975662133142448</v>
      </c>
      <c r="AY446" s="34" t="n">
        <f aca="false">IFERROR(AH446*AJ446*AX446,"")</f>
        <v>0.89489898989899</v>
      </c>
      <c r="AZ446" s="35" t="s">
        <v>78</v>
      </c>
    </row>
    <row r="447" customFormat="false" ht="12.75" hidden="false" customHeight="true" outlineLevel="0" collapsed="false">
      <c r="A447" s="24" t="n">
        <v>443</v>
      </c>
      <c r="B447" s="25" t="n">
        <v>46170</v>
      </c>
      <c r="C447" s="25" t="n">
        <v>12</v>
      </c>
      <c r="D447" s="26" t="s">
        <v>79</v>
      </c>
      <c r="E447" s="26" t="s">
        <v>97</v>
      </c>
      <c r="F447" s="26" t="s">
        <v>73</v>
      </c>
      <c r="G447" s="26" t="s">
        <v>12</v>
      </c>
      <c r="H447" s="27" t="n">
        <v>0.354166666666667</v>
      </c>
      <c r="I447" s="27" t="n">
        <v>0.854166666666667</v>
      </c>
      <c r="J447" s="26" t="n">
        <f aca="false">IFERROR((I447-H447)*24*60,"")</f>
        <v>720</v>
      </c>
      <c r="K447" s="26" t="s">
        <v>82</v>
      </c>
      <c r="L447" s="26" t="s">
        <v>106</v>
      </c>
      <c r="M447" s="26" t="s">
        <v>99</v>
      </c>
      <c r="N447" s="26" t="s">
        <v>100</v>
      </c>
      <c r="O447" s="26" t="n">
        <v>4</v>
      </c>
      <c r="P447" s="26" t="n">
        <v>60</v>
      </c>
      <c r="Q447" s="26" t="n">
        <f aca="false">IFERROR(3600/(P447/O447),"")</f>
        <v>240</v>
      </c>
      <c r="R447" s="26" t="n">
        <v>1836</v>
      </c>
      <c r="S447" s="26" t="n">
        <v>53</v>
      </c>
      <c r="T447" s="26" t="n">
        <f aca="false">IFERROR(J447-S447,"")</f>
        <v>667</v>
      </c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 t="n">
        <v>23</v>
      </c>
      <c r="AF447" s="26" t="n">
        <f aca="false">SUM(U447:AE447)</f>
        <v>23</v>
      </c>
      <c r="AG447" s="26" t="n">
        <f aca="false">T447-AF447</f>
        <v>644</v>
      </c>
      <c r="AH447" s="28" t="n">
        <f aca="false">IFERROR(AG447/T447,"")</f>
        <v>0.96551724137931</v>
      </c>
      <c r="AI447" s="29" t="n">
        <f aca="false">IFERROR(R447/AG447*60,"")</f>
        <v>171.055900621118</v>
      </c>
      <c r="AJ447" s="30" t="n">
        <f aca="false">IFERROR(AI447/Q447,"")</f>
        <v>0.712732919254658</v>
      </c>
      <c r="AK447" s="31" t="n">
        <f aca="false">IFERROR(R447/(T447/60*Q447),"")</f>
        <v>0.688155922038981</v>
      </c>
      <c r="AL447" s="26"/>
      <c r="AM447" s="26" t="n">
        <v>3</v>
      </c>
      <c r="AN447" s="26"/>
      <c r="AO447" s="26"/>
      <c r="AP447" s="26" t="n">
        <v>1</v>
      </c>
      <c r="AQ447" s="26"/>
      <c r="AR447" s="26" t="n">
        <v>1</v>
      </c>
      <c r="AS447" s="26"/>
      <c r="AT447" s="26"/>
      <c r="AU447" s="26" t="n">
        <v>1</v>
      </c>
      <c r="AV447" s="26" t="n">
        <f aca="false">SUM(AL447:AU447)</f>
        <v>6</v>
      </c>
      <c r="AW447" s="32" t="n">
        <f aca="false">IFERROR(AV447/R447*1000000,"")</f>
        <v>3267.97385620915</v>
      </c>
      <c r="AX447" s="33" t="n">
        <f aca="false">IFERROR((R447-AV447)/R447,"")</f>
        <v>0.996732026143791</v>
      </c>
      <c r="AY447" s="34" t="n">
        <f aca="false">IFERROR(AH447*AJ447*AX447,"")</f>
        <v>0.685907046476762</v>
      </c>
      <c r="AZ447" s="35"/>
    </row>
    <row r="448" customFormat="false" ht="12.75" hidden="false" customHeight="true" outlineLevel="0" collapsed="false">
      <c r="A448" s="24" t="n">
        <v>444</v>
      </c>
      <c r="B448" s="25" t="n">
        <v>46170</v>
      </c>
      <c r="C448" s="25" t="n">
        <v>12</v>
      </c>
      <c r="D448" s="26" t="s">
        <v>87</v>
      </c>
      <c r="E448" s="26" t="s">
        <v>101</v>
      </c>
      <c r="F448" s="26" t="s">
        <v>81</v>
      </c>
      <c r="G448" s="26" t="s">
        <v>13</v>
      </c>
      <c r="H448" s="27" t="n">
        <v>0.354166666666667</v>
      </c>
      <c r="I448" s="27" t="n">
        <v>0.854166666666667</v>
      </c>
      <c r="J448" s="26" t="n">
        <f aca="false">IFERROR((I448-H448)*24*60,"")</f>
        <v>720</v>
      </c>
      <c r="K448" s="26" t="s">
        <v>89</v>
      </c>
      <c r="L448" s="26" t="s">
        <v>83</v>
      </c>
      <c r="M448" s="26" t="s">
        <v>103</v>
      </c>
      <c r="N448" s="26" t="s">
        <v>104</v>
      </c>
      <c r="O448" s="26" t="n">
        <v>1</v>
      </c>
      <c r="P448" s="26" t="n">
        <v>60</v>
      </c>
      <c r="Q448" s="26" t="n">
        <f aca="false">IFERROR(3600/(P448/O448),"")</f>
        <v>60</v>
      </c>
      <c r="R448" s="26" t="n">
        <v>633</v>
      </c>
      <c r="S448" s="26" t="n">
        <v>47</v>
      </c>
      <c r="T448" s="26" t="n">
        <f aca="false">IFERROR(J448-S448,"")</f>
        <v>673</v>
      </c>
      <c r="U448" s="26"/>
      <c r="V448" s="26"/>
      <c r="W448" s="26"/>
      <c r="X448" s="26"/>
      <c r="Y448" s="26"/>
      <c r="Z448" s="26"/>
      <c r="AA448" s="26"/>
      <c r="AB448" s="26" t="n">
        <v>4</v>
      </c>
      <c r="AC448" s="26" t="n">
        <v>4</v>
      </c>
      <c r="AD448" s="26" t="n">
        <v>4</v>
      </c>
      <c r="AE448" s="26"/>
      <c r="AF448" s="26" t="n">
        <f aca="false">SUM(U448:AE448)</f>
        <v>12</v>
      </c>
      <c r="AG448" s="26" t="n">
        <f aca="false">T448-AF448</f>
        <v>661</v>
      </c>
      <c r="AH448" s="28" t="n">
        <f aca="false">IFERROR(AG448/T448,"")</f>
        <v>0.982169390787519</v>
      </c>
      <c r="AI448" s="29" t="n">
        <f aca="false">IFERROR(R448/AG448*60,"")</f>
        <v>57.4583963691377</v>
      </c>
      <c r="AJ448" s="30" t="n">
        <f aca="false">IFERROR(AI448/Q448,"")</f>
        <v>0.957639939485628</v>
      </c>
      <c r="AK448" s="31" t="n">
        <f aca="false">IFERROR(R448/(T448/60*Q448),"")</f>
        <v>0.940564635958395</v>
      </c>
      <c r="AL448" s="26" t="n">
        <v>3</v>
      </c>
      <c r="AM448" s="26"/>
      <c r="AN448" s="26" t="n">
        <v>3</v>
      </c>
      <c r="AO448" s="26"/>
      <c r="AP448" s="26" t="n">
        <v>1</v>
      </c>
      <c r="AQ448" s="26"/>
      <c r="AR448" s="26"/>
      <c r="AS448" s="26" t="n">
        <v>1</v>
      </c>
      <c r="AT448" s="26"/>
      <c r="AU448" s="26"/>
      <c r="AV448" s="26" t="n">
        <f aca="false">SUM(AL448:AU448)</f>
        <v>8</v>
      </c>
      <c r="AW448" s="32" t="n">
        <f aca="false">IFERROR(AV448/R448*1000000,"")</f>
        <v>12638.2306477093</v>
      </c>
      <c r="AX448" s="33" t="n">
        <f aca="false">IFERROR((R448-AV448)/R448,"")</f>
        <v>0.987361769352291</v>
      </c>
      <c r="AY448" s="34" t="n">
        <f aca="false">IFERROR(AH448*AJ448*AX448,"")</f>
        <v>0.928677563150074</v>
      </c>
      <c r="AZ448" s="35" t="s">
        <v>78</v>
      </c>
    </row>
    <row r="449" customFormat="false" ht="12.75" hidden="false" customHeight="true" outlineLevel="0" collapsed="false">
      <c r="A449" s="24" t="n">
        <v>445</v>
      </c>
      <c r="B449" s="25" t="n">
        <v>46171</v>
      </c>
      <c r="C449" s="25" t="n">
        <v>12</v>
      </c>
      <c r="D449" s="26" t="s">
        <v>71</v>
      </c>
      <c r="E449" s="26" t="s">
        <v>72</v>
      </c>
      <c r="F449" s="26" t="s">
        <v>73</v>
      </c>
      <c r="G449" s="26" t="s">
        <v>8</v>
      </c>
      <c r="H449" s="27" t="n">
        <v>0.354166666666667</v>
      </c>
      <c r="I449" s="27" t="n">
        <v>0.854166666666667</v>
      </c>
      <c r="J449" s="26" t="n">
        <f aca="false">IFERROR((I449-H449)*24*60,"")</f>
        <v>720</v>
      </c>
      <c r="K449" s="26" t="s">
        <v>89</v>
      </c>
      <c r="L449" s="26" t="s">
        <v>102</v>
      </c>
      <c r="M449" s="26" t="s">
        <v>76</v>
      </c>
      <c r="N449" s="26" t="s">
        <v>77</v>
      </c>
      <c r="O449" s="26" t="n">
        <v>1</v>
      </c>
      <c r="P449" s="26" t="n">
        <v>32</v>
      </c>
      <c r="Q449" s="26" t="n">
        <f aca="false">IFERROR(3600/(P449/O449),"")</f>
        <v>112.5</v>
      </c>
      <c r="R449" s="26" t="n">
        <v>1104</v>
      </c>
      <c r="S449" s="26" t="n">
        <v>34</v>
      </c>
      <c r="T449" s="26" t="n">
        <f aca="false">IFERROR(J449-S449,"")</f>
        <v>686</v>
      </c>
      <c r="U449" s="26"/>
      <c r="V449" s="26"/>
      <c r="W449" s="26"/>
      <c r="X449" s="26"/>
      <c r="Y449" s="26" t="n">
        <v>12</v>
      </c>
      <c r="Z449" s="26"/>
      <c r="AA449" s="26"/>
      <c r="AB449" s="26"/>
      <c r="AC449" s="26"/>
      <c r="AD449" s="26"/>
      <c r="AE449" s="26"/>
      <c r="AF449" s="26" t="n">
        <f aca="false">SUM(U449:AE449)</f>
        <v>12</v>
      </c>
      <c r="AG449" s="26" t="n">
        <f aca="false">T449-AF449</f>
        <v>674</v>
      </c>
      <c r="AH449" s="28" t="n">
        <f aca="false">IFERROR(AG449/T449,"")</f>
        <v>0.982507288629738</v>
      </c>
      <c r="AI449" s="29" t="n">
        <f aca="false">IFERROR(R449/AG449*60,"")</f>
        <v>98.2789317507418</v>
      </c>
      <c r="AJ449" s="30" t="n">
        <f aca="false">IFERROR(AI449/Q449,"")</f>
        <v>0.873590504451039</v>
      </c>
      <c r="AK449" s="31" t="n">
        <f aca="false">IFERROR(R449/(T449/60*Q449),"")</f>
        <v>0.858309037900875</v>
      </c>
      <c r="AL449" s="26"/>
      <c r="AM449" s="26"/>
      <c r="AN449" s="26"/>
      <c r="AO449" s="26" t="n">
        <v>2</v>
      </c>
      <c r="AP449" s="26"/>
      <c r="AQ449" s="26"/>
      <c r="AR449" s="26" t="n">
        <v>1</v>
      </c>
      <c r="AS449" s="26"/>
      <c r="AT449" s="26"/>
      <c r="AU449" s="26" t="n">
        <v>1</v>
      </c>
      <c r="AV449" s="26" t="n">
        <f aca="false">SUM(AL449:AU449)</f>
        <v>4</v>
      </c>
      <c r="AW449" s="32" t="n">
        <f aca="false">IFERROR(AV449/R449*1000000,"")</f>
        <v>3623.1884057971</v>
      </c>
      <c r="AX449" s="33" t="n">
        <f aca="false">IFERROR((R449-AV449)/R449,"")</f>
        <v>0.996376811594203</v>
      </c>
      <c r="AY449" s="34" t="n">
        <f aca="false">IFERROR(AH449*AJ449*AX449,"")</f>
        <v>0.855199222546161</v>
      </c>
      <c r="AZ449" s="35"/>
    </row>
    <row r="450" customFormat="false" ht="12.75" hidden="false" customHeight="true" outlineLevel="0" collapsed="false">
      <c r="A450" s="24" t="n">
        <v>446</v>
      </c>
      <c r="B450" s="25" t="n">
        <v>46171</v>
      </c>
      <c r="C450" s="25" t="n">
        <v>12</v>
      </c>
      <c r="D450" s="26" t="s">
        <v>79</v>
      </c>
      <c r="E450" s="26" t="s">
        <v>80</v>
      </c>
      <c r="F450" s="26" t="s">
        <v>81</v>
      </c>
      <c r="G450" s="26" t="s">
        <v>9</v>
      </c>
      <c r="H450" s="27" t="n">
        <v>0.354166666666667</v>
      </c>
      <c r="I450" s="27" t="n">
        <v>0.854166666666667</v>
      </c>
      <c r="J450" s="26" t="n">
        <f aca="false">IFERROR((I450-H450)*24*60,"")</f>
        <v>720</v>
      </c>
      <c r="K450" s="26" t="s">
        <v>105</v>
      </c>
      <c r="L450" s="26" t="s">
        <v>106</v>
      </c>
      <c r="M450" s="26" t="s">
        <v>84</v>
      </c>
      <c r="N450" s="26" t="s">
        <v>85</v>
      </c>
      <c r="O450" s="26" t="n">
        <v>8</v>
      </c>
      <c r="P450" s="26" t="n">
        <v>37</v>
      </c>
      <c r="Q450" s="26" t="n">
        <f aca="false">IFERROR(3600/(P450/O450),"")</f>
        <v>778.378378378378</v>
      </c>
      <c r="R450" s="26" t="n">
        <v>6287</v>
      </c>
      <c r="S450" s="26" t="n">
        <v>55</v>
      </c>
      <c r="T450" s="26" t="n">
        <f aca="false">IFERROR(J450-S450,"")</f>
        <v>665</v>
      </c>
      <c r="U450" s="26"/>
      <c r="V450" s="26" t="n">
        <v>3</v>
      </c>
      <c r="W450" s="26"/>
      <c r="X450" s="26"/>
      <c r="Y450" s="26"/>
      <c r="Z450" s="26"/>
      <c r="AA450" s="26"/>
      <c r="AB450" s="26" t="n">
        <v>6</v>
      </c>
      <c r="AC450" s="26"/>
      <c r="AD450" s="26"/>
      <c r="AE450" s="26"/>
      <c r="AF450" s="26" t="n">
        <f aca="false">SUM(U450:AE450)</f>
        <v>9</v>
      </c>
      <c r="AG450" s="26" t="n">
        <f aca="false">T450-AF450</f>
        <v>656</v>
      </c>
      <c r="AH450" s="28" t="n">
        <f aca="false">IFERROR(AG450/T450,"")</f>
        <v>0.986466165413534</v>
      </c>
      <c r="AI450" s="29" t="n">
        <f aca="false">IFERROR(R450/AG450*60,"")</f>
        <v>575.030487804878</v>
      </c>
      <c r="AJ450" s="30" t="n">
        <f aca="false">IFERROR(AI450/Q450,"")</f>
        <v>0.738754446138211</v>
      </c>
      <c r="AK450" s="31" t="n">
        <f aca="false">IFERROR(R450/(T450/60*Q450),"")</f>
        <v>0.72875626566416</v>
      </c>
      <c r="AL450" s="26" t="n">
        <v>13</v>
      </c>
      <c r="AM450" s="26" t="n">
        <v>9</v>
      </c>
      <c r="AN450" s="26" t="n">
        <v>11</v>
      </c>
      <c r="AO450" s="26" t="n">
        <v>13</v>
      </c>
      <c r="AP450" s="26" t="n">
        <v>12</v>
      </c>
      <c r="AQ450" s="26" t="n">
        <v>15</v>
      </c>
      <c r="AR450" s="26" t="n">
        <v>17</v>
      </c>
      <c r="AS450" s="26" t="n">
        <v>15</v>
      </c>
      <c r="AT450" s="26" t="n">
        <v>7</v>
      </c>
      <c r="AU450" s="26" t="n">
        <v>15</v>
      </c>
      <c r="AV450" s="26" t="n">
        <f aca="false">SUM(AL450:AU450)</f>
        <v>127</v>
      </c>
      <c r="AW450" s="32" t="n">
        <f aca="false">IFERROR(AV450/R450*1000000,"")</f>
        <v>20200.4135517735</v>
      </c>
      <c r="AX450" s="33" t="n">
        <f aca="false">IFERROR((R450-AV450)/R450,"")</f>
        <v>0.979799586448227</v>
      </c>
      <c r="AY450" s="34" t="n">
        <f aca="false">IFERROR(AH450*AJ450*AX450,"")</f>
        <v>0.714035087719298</v>
      </c>
      <c r="AZ450" s="35" t="s">
        <v>93</v>
      </c>
    </row>
    <row r="451" customFormat="false" ht="12.75" hidden="false" customHeight="true" outlineLevel="0" collapsed="false">
      <c r="A451" s="24" t="n">
        <v>447</v>
      </c>
      <c r="B451" s="25" t="n">
        <v>46171</v>
      </c>
      <c r="C451" s="25" t="n">
        <v>12</v>
      </c>
      <c r="D451" s="26" t="s">
        <v>87</v>
      </c>
      <c r="E451" s="26" t="s">
        <v>88</v>
      </c>
      <c r="F451" s="26" t="s">
        <v>73</v>
      </c>
      <c r="G451" s="26" t="s">
        <v>10</v>
      </c>
      <c r="H451" s="27" t="n">
        <v>0.354166666666667</v>
      </c>
      <c r="I451" s="27" t="n">
        <v>0.854166666666667</v>
      </c>
      <c r="J451" s="26" t="n">
        <f aca="false">IFERROR((I451-H451)*24*60,"")</f>
        <v>720</v>
      </c>
      <c r="K451" s="26" t="s">
        <v>89</v>
      </c>
      <c r="L451" s="26" t="s">
        <v>90</v>
      </c>
      <c r="M451" s="26" t="s">
        <v>91</v>
      </c>
      <c r="N451" s="26" t="s">
        <v>92</v>
      </c>
      <c r="O451" s="26" t="n">
        <v>8</v>
      </c>
      <c r="P451" s="26" t="n">
        <v>46</v>
      </c>
      <c r="Q451" s="26" t="n">
        <f aca="false">IFERROR(3600/(P451/O451),"")</f>
        <v>626.086956521739</v>
      </c>
      <c r="R451" s="26" t="n">
        <v>6467</v>
      </c>
      <c r="S451" s="26" t="n">
        <v>63</v>
      </c>
      <c r="T451" s="26" t="n">
        <f aca="false">IFERROR(J451-S451,"")</f>
        <v>657</v>
      </c>
      <c r="U451" s="26"/>
      <c r="V451" s="26"/>
      <c r="W451" s="26"/>
      <c r="X451" s="26"/>
      <c r="Y451" s="26" t="n">
        <v>6</v>
      </c>
      <c r="Z451" s="26"/>
      <c r="AA451" s="26" t="n">
        <v>24</v>
      </c>
      <c r="AB451" s="26"/>
      <c r="AC451" s="26"/>
      <c r="AD451" s="26"/>
      <c r="AE451" s="26"/>
      <c r="AF451" s="26" t="n">
        <f aca="false">SUM(U451:AE451)</f>
        <v>30</v>
      </c>
      <c r="AG451" s="26" t="n">
        <f aca="false">T451-AF451</f>
        <v>627</v>
      </c>
      <c r="AH451" s="28" t="n">
        <f aca="false">IFERROR(AG451/T451,"")</f>
        <v>0.954337899543379</v>
      </c>
      <c r="AI451" s="29" t="n">
        <f aca="false">IFERROR(R451/AG451*60,"")</f>
        <v>618.851674641148</v>
      </c>
      <c r="AJ451" s="30" t="n">
        <f aca="false">IFERROR(AI451/Q451,"")</f>
        <v>0.988443646996279</v>
      </c>
      <c r="AK451" s="31" t="n">
        <f aca="false">IFERROR(R451/(T451/60*Q451),"")</f>
        <v>0.943309233891426</v>
      </c>
      <c r="AL451" s="26" t="n">
        <v>14</v>
      </c>
      <c r="AM451" s="26" t="n">
        <v>13</v>
      </c>
      <c r="AN451" s="26" t="n">
        <v>15</v>
      </c>
      <c r="AO451" s="26" t="n">
        <v>22</v>
      </c>
      <c r="AP451" s="26" t="n">
        <v>24</v>
      </c>
      <c r="AQ451" s="26" t="n">
        <v>13</v>
      </c>
      <c r="AR451" s="26" t="n">
        <v>14</v>
      </c>
      <c r="AS451" s="26" t="n">
        <v>10</v>
      </c>
      <c r="AT451" s="26" t="n">
        <v>11</v>
      </c>
      <c r="AU451" s="26" t="n">
        <v>21</v>
      </c>
      <c r="AV451" s="26" t="n">
        <f aca="false">SUM(AL451:AU451)</f>
        <v>157</v>
      </c>
      <c r="AW451" s="32" t="n">
        <f aca="false">IFERROR(AV451/R451*1000000,"")</f>
        <v>24277.0991186021</v>
      </c>
      <c r="AX451" s="33" t="n">
        <f aca="false">IFERROR((R451-AV451)/R451,"")</f>
        <v>0.975722900881398</v>
      </c>
      <c r="AY451" s="34" t="n">
        <f aca="false">IFERROR(AH451*AJ451*AX451,"")</f>
        <v>0.920408422120751</v>
      </c>
      <c r="AZ451" s="35" t="s">
        <v>78</v>
      </c>
    </row>
    <row r="452" customFormat="false" ht="12.75" hidden="false" customHeight="true" outlineLevel="0" collapsed="false">
      <c r="A452" s="24" t="n">
        <v>448</v>
      </c>
      <c r="B452" s="25" t="n">
        <v>46172</v>
      </c>
      <c r="C452" s="25" t="n">
        <v>12</v>
      </c>
      <c r="D452" s="26" t="s">
        <v>71</v>
      </c>
      <c r="E452" s="26" t="s">
        <v>94</v>
      </c>
      <c r="F452" s="26" t="s">
        <v>81</v>
      </c>
      <c r="G452" s="26" t="s">
        <v>11</v>
      </c>
      <c r="H452" s="27" t="n">
        <v>0.354166666666667</v>
      </c>
      <c r="I452" s="27" t="n">
        <v>0.854166666666667</v>
      </c>
      <c r="J452" s="26" t="n">
        <f aca="false">IFERROR((I452-H452)*24*60,"")</f>
        <v>720</v>
      </c>
      <c r="K452" s="26" t="s">
        <v>89</v>
      </c>
      <c r="L452" s="26" t="s">
        <v>98</v>
      </c>
      <c r="M452" s="26" t="s">
        <v>95</v>
      </c>
      <c r="N452" s="26" t="s">
        <v>96</v>
      </c>
      <c r="O452" s="26" t="n">
        <v>2</v>
      </c>
      <c r="P452" s="26" t="n">
        <v>60</v>
      </c>
      <c r="Q452" s="26" t="n">
        <f aca="false">IFERROR(3600/(P452/O452),"")</f>
        <v>120</v>
      </c>
      <c r="R452" s="26" t="n">
        <v>1214</v>
      </c>
      <c r="S452" s="26" t="n">
        <v>65</v>
      </c>
      <c r="T452" s="26" t="n">
        <f aca="false">IFERROR(J452-S452,"")</f>
        <v>655</v>
      </c>
      <c r="U452" s="26" t="n">
        <v>21</v>
      </c>
      <c r="V452" s="26"/>
      <c r="W452" s="26"/>
      <c r="X452" s="26"/>
      <c r="Y452" s="26"/>
      <c r="Z452" s="26"/>
      <c r="AA452" s="26"/>
      <c r="AB452" s="26"/>
      <c r="AC452" s="26"/>
      <c r="AD452" s="26"/>
      <c r="AE452" s="26" t="n">
        <v>5</v>
      </c>
      <c r="AF452" s="26" t="n">
        <f aca="false">SUM(U452:AE452)</f>
        <v>26</v>
      </c>
      <c r="AG452" s="26" t="n">
        <f aca="false">T452-AF452</f>
        <v>629</v>
      </c>
      <c r="AH452" s="28" t="n">
        <f aca="false">IFERROR(AG452/T452,"")</f>
        <v>0.96030534351145</v>
      </c>
      <c r="AI452" s="29" t="n">
        <f aca="false">IFERROR(R452/AG452*60,"")</f>
        <v>115.802861685215</v>
      </c>
      <c r="AJ452" s="30" t="n">
        <f aca="false">IFERROR(AI452/Q452,"")</f>
        <v>0.965023847376789</v>
      </c>
      <c r="AK452" s="31" t="n">
        <f aca="false">IFERROR(R452/(T452/60*Q452),"")</f>
        <v>0.926717557251908</v>
      </c>
      <c r="AL452" s="26"/>
      <c r="AM452" s="26" t="n">
        <v>1</v>
      </c>
      <c r="AN452" s="26"/>
      <c r="AO452" s="26"/>
      <c r="AP452" s="26" t="n">
        <v>1</v>
      </c>
      <c r="AQ452" s="26"/>
      <c r="AR452" s="26"/>
      <c r="AS452" s="26" t="n">
        <v>2</v>
      </c>
      <c r="AT452" s="26"/>
      <c r="AU452" s="26"/>
      <c r="AV452" s="26" t="n">
        <f aca="false">SUM(AL452:AU452)</f>
        <v>4</v>
      </c>
      <c r="AW452" s="32" t="n">
        <f aca="false">IFERROR(AV452/R452*1000000,"")</f>
        <v>3294.89291598023</v>
      </c>
      <c r="AX452" s="33" t="n">
        <f aca="false">IFERROR((R452-AV452)/R452,"")</f>
        <v>0.99670510708402</v>
      </c>
      <c r="AY452" s="34" t="n">
        <f aca="false">IFERROR(AH452*AJ452*AX452,"")</f>
        <v>0.923664122137405</v>
      </c>
      <c r="AZ452" s="35" t="s">
        <v>86</v>
      </c>
    </row>
    <row r="453" customFormat="false" ht="12.75" hidden="false" customHeight="true" outlineLevel="0" collapsed="false">
      <c r="A453" s="24" t="n">
        <v>449</v>
      </c>
      <c r="B453" s="25" t="n">
        <v>46172</v>
      </c>
      <c r="C453" s="25" t="n">
        <v>12</v>
      </c>
      <c r="D453" s="26" t="s">
        <v>79</v>
      </c>
      <c r="E453" s="26" t="s">
        <v>97</v>
      </c>
      <c r="F453" s="26" t="s">
        <v>73</v>
      </c>
      <c r="G453" s="26" t="s">
        <v>12</v>
      </c>
      <c r="H453" s="27" t="n">
        <v>0.354166666666667</v>
      </c>
      <c r="I453" s="27" t="n">
        <v>0.854166666666667</v>
      </c>
      <c r="J453" s="26" t="n">
        <f aca="false">IFERROR((I453-H453)*24*60,"")</f>
        <v>720</v>
      </c>
      <c r="K453" s="26" t="s">
        <v>74</v>
      </c>
      <c r="L453" s="26" t="s">
        <v>90</v>
      </c>
      <c r="M453" s="26" t="s">
        <v>99</v>
      </c>
      <c r="N453" s="26" t="s">
        <v>100</v>
      </c>
      <c r="O453" s="26" t="n">
        <v>2</v>
      </c>
      <c r="P453" s="26" t="n">
        <v>44</v>
      </c>
      <c r="Q453" s="26" t="n">
        <f aca="false">IFERROR(3600/(P453/O453),"")</f>
        <v>163.636363636364</v>
      </c>
      <c r="R453" s="26" t="n">
        <v>1290</v>
      </c>
      <c r="S453" s="26" t="n">
        <v>32</v>
      </c>
      <c r="T453" s="26" t="n">
        <f aca="false">IFERROR(J453-S453,"")</f>
        <v>688</v>
      </c>
      <c r="U453" s="26"/>
      <c r="V453" s="26"/>
      <c r="W453" s="26"/>
      <c r="X453" s="26"/>
      <c r="Y453" s="26"/>
      <c r="Z453" s="26" t="n">
        <v>20</v>
      </c>
      <c r="AA453" s="26"/>
      <c r="AB453" s="26"/>
      <c r="AC453" s="26"/>
      <c r="AD453" s="26"/>
      <c r="AE453" s="26"/>
      <c r="AF453" s="26" t="n">
        <f aca="false">SUM(U453:AE453)</f>
        <v>20</v>
      </c>
      <c r="AG453" s="26" t="n">
        <f aca="false">T453-AF453</f>
        <v>668</v>
      </c>
      <c r="AH453" s="28" t="n">
        <f aca="false">IFERROR(AG453/T453,"")</f>
        <v>0.97093023255814</v>
      </c>
      <c r="AI453" s="29" t="n">
        <f aca="false">IFERROR(R453/AG453*60,"")</f>
        <v>115.868263473054</v>
      </c>
      <c r="AJ453" s="30" t="n">
        <f aca="false">IFERROR(AI453/Q453,"")</f>
        <v>0.70808383233533</v>
      </c>
      <c r="AK453" s="31" t="n">
        <f aca="false">IFERROR(R453/(T453/60*Q453),"")</f>
        <v>0.6875</v>
      </c>
      <c r="AL453" s="26" t="n">
        <v>3</v>
      </c>
      <c r="AM453" s="26" t="n">
        <v>1</v>
      </c>
      <c r="AN453" s="26" t="n">
        <v>8</v>
      </c>
      <c r="AO453" s="26" t="n">
        <v>5</v>
      </c>
      <c r="AP453" s="26" t="n">
        <v>1</v>
      </c>
      <c r="AQ453" s="26" t="n">
        <v>3</v>
      </c>
      <c r="AR453" s="26" t="n">
        <v>3</v>
      </c>
      <c r="AS453" s="26" t="n">
        <v>1</v>
      </c>
      <c r="AT453" s="26" t="n">
        <v>2</v>
      </c>
      <c r="AU453" s="26" t="n">
        <v>3</v>
      </c>
      <c r="AV453" s="26" t="n">
        <f aca="false">SUM(AL453:AU453)</f>
        <v>30</v>
      </c>
      <c r="AW453" s="32" t="n">
        <f aca="false">IFERROR(AV453/R453*1000000,"")</f>
        <v>23255.8139534884</v>
      </c>
      <c r="AX453" s="33" t="n">
        <f aca="false">IFERROR((R453-AV453)/R453,"")</f>
        <v>0.976744186046512</v>
      </c>
      <c r="AY453" s="34" t="n">
        <f aca="false">IFERROR(AH453*AJ453*AX453,"")</f>
        <v>0.671511627906977</v>
      </c>
      <c r="AZ453" s="35" t="s">
        <v>86</v>
      </c>
    </row>
    <row r="454" customFormat="false" ht="12.75" hidden="false" customHeight="true" outlineLevel="0" collapsed="false">
      <c r="A454" s="24" t="n">
        <v>450</v>
      </c>
      <c r="B454" s="25" t="n">
        <v>46172</v>
      </c>
      <c r="C454" s="25" t="n">
        <v>12</v>
      </c>
      <c r="D454" s="26" t="s">
        <v>87</v>
      </c>
      <c r="E454" s="26" t="s">
        <v>101</v>
      </c>
      <c r="F454" s="26" t="s">
        <v>81</v>
      </c>
      <c r="G454" s="26" t="s">
        <v>13</v>
      </c>
      <c r="H454" s="27" t="n">
        <v>0.354166666666667</v>
      </c>
      <c r="I454" s="27" t="n">
        <v>0.854166666666667</v>
      </c>
      <c r="J454" s="26" t="n">
        <f aca="false">IFERROR((I454-H454)*24*60,"")</f>
        <v>720</v>
      </c>
      <c r="K454" s="26" t="s">
        <v>89</v>
      </c>
      <c r="L454" s="26" t="s">
        <v>98</v>
      </c>
      <c r="M454" s="26" t="s">
        <v>103</v>
      </c>
      <c r="N454" s="26" t="s">
        <v>104</v>
      </c>
      <c r="O454" s="26" t="n">
        <v>8</v>
      </c>
      <c r="P454" s="26" t="n">
        <v>53</v>
      </c>
      <c r="Q454" s="26" t="n">
        <f aca="false">IFERROR(3600/(P454/O454),"")</f>
        <v>543.396226415094</v>
      </c>
      <c r="R454" s="26" t="n">
        <v>4985</v>
      </c>
      <c r="S454" s="26" t="n">
        <v>42</v>
      </c>
      <c r="T454" s="26" t="n">
        <f aca="false">IFERROR(J454-S454,"")</f>
        <v>678</v>
      </c>
      <c r="U454" s="26"/>
      <c r="V454" s="26"/>
      <c r="W454" s="26"/>
      <c r="X454" s="26"/>
      <c r="Y454" s="26"/>
      <c r="Z454" s="26" t="n">
        <v>20</v>
      </c>
      <c r="AA454" s="26"/>
      <c r="AB454" s="26" t="n">
        <v>16</v>
      </c>
      <c r="AC454" s="26"/>
      <c r="AD454" s="26"/>
      <c r="AE454" s="26" t="n">
        <v>6</v>
      </c>
      <c r="AF454" s="26" t="n">
        <f aca="false">SUM(U454:AE454)</f>
        <v>42</v>
      </c>
      <c r="AG454" s="26" t="n">
        <f aca="false">T454-AF454</f>
        <v>636</v>
      </c>
      <c r="AH454" s="28" t="n">
        <f aca="false">IFERROR(AG454/T454,"")</f>
        <v>0.938053097345133</v>
      </c>
      <c r="AI454" s="29" t="n">
        <f aca="false">IFERROR(R454/AG454*60,"")</f>
        <v>470.283018867925</v>
      </c>
      <c r="AJ454" s="30" t="n">
        <f aca="false">IFERROR(AI454/Q454,"")</f>
        <v>0.865451388888889</v>
      </c>
      <c r="AK454" s="31" t="n">
        <f aca="false">IFERROR(R454/(T454/60*Q454),"")</f>
        <v>0.811839355948869</v>
      </c>
      <c r="AL454" s="26" t="n">
        <v>14</v>
      </c>
      <c r="AM454" s="26" t="n">
        <v>12</v>
      </c>
      <c r="AN454" s="26" t="n">
        <v>17</v>
      </c>
      <c r="AO454" s="26" t="n">
        <v>10</v>
      </c>
      <c r="AP454" s="26" t="n">
        <v>10</v>
      </c>
      <c r="AQ454" s="26" t="n">
        <v>10</v>
      </c>
      <c r="AR454" s="26" t="n">
        <v>7</v>
      </c>
      <c r="AS454" s="26" t="n">
        <v>15</v>
      </c>
      <c r="AT454" s="26" t="n">
        <v>11</v>
      </c>
      <c r="AU454" s="26" t="n">
        <v>10</v>
      </c>
      <c r="AV454" s="26" t="n">
        <f aca="false">SUM(AL454:AU454)</f>
        <v>116</v>
      </c>
      <c r="AW454" s="32" t="n">
        <f aca="false">IFERROR(AV454/R454*1000000,"")</f>
        <v>23269.8094282849</v>
      </c>
      <c r="AX454" s="33" t="n">
        <f aca="false">IFERROR((R454-AV454)/R454,"")</f>
        <v>0.976730190571715</v>
      </c>
      <c r="AY454" s="34" t="n">
        <f aca="false">IFERROR(AH454*AJ454*AX454,"")</f>
        <v>0.792948008849558</v>
      </c>
      <c r="AZ454" s="35" t="s">
        <v>78</v>
      </c>
    </row>
    <row r="455" customFormat="false" ht="12.75" hidden="false" customHeight="true" outlineLevel="0" collapsed="false">
      <c r="A455" s="24" t="n">
        <v>451</v>
      </c>
      <c r="B455" s="25" t="n">
        <v>46173</v>
      </c>
      <c r="C455" s="25" t="n">
        <v>12</v>
      </c>
      <c r="D455" s="26" t="s">
        <v>71</v>
      </c>
      <c r="E455" s="26" t="s">
        <v>72</v>
      </c>
      <c r="F455" s="26" t="s">
        <v>73</v>
      </c>
      <c r="G455" s="26" t="s">
        <v>8</v>
      </c>
      <c r="H455" s="27" t="n">
        <v>0.354166666666667</v>
      </c>
      <c r="I455" s="27" t="n">
        <v>0.854166666666667</v>
      </c>
      <c r="J455" s="26" t="n">
        <f aca="false">IFERROR((I455-H455)*24*60,"")</f>
        <v>720</v>
      </c>
      <c r="K455" s="26" t="s">
        <v>74</v>
      </c>
      <c r="L455" s="26" t="s">
        <v>108</v>
      </c>
      <c r="M455" s="26" t="s">
        <v>76</v>
      </c>
      <c r="N455" s="26" t="s">
        <v>77</v>
      </c>
      <c r="O455" s="26" t="n">
        <v>2</v>
      </c>
      <c r="P455" s="26" t="n">
        <v>46</v>
      </c>
      <c r="Q455" s="26" t="n">
        <f aca="false">IFERROR(3600/(P455/O455),"")</f>
        <v>156.521739130435</v>
      </c>
      <c r="R455" s="26" t="n">
        <v>1204</v>
      </c>
      <c r="S455" s="26" t="n">
        <v>70</v>
      </c>
      <c r="T455" s="26" t="n">
        <f aca="false">IFERROR(J455-S455,"")</f>
        <v>650</v>
      </c>
      <c r="U455" s="26"/>
      <c r="V455" s="26"/>
      <c r="W455" s="26"/>
      <c r="X455" s="26"/>
      <c r="Y455" s="26"/>
      <c r="Z455" s="26" t="n">
        <v>33</v>
      </c>
      <c r="AA455" s="26"/>
      <c r="AB455" s="26"/>
      <c r="AC455" s="26"/>
      <c r="AD455" s="26" t="n">
        <v>5</v>
      </c>
      <c r="AE455" s="26"/>
      <c r="AF455" s="26" t="n">
        <f aca="false">SUM(U455:AE455)</f>
        <v>38</v>
      </c>
      <c r="AG455" s="26" t="n">
        <f aca="false">T455-AF455</f>
        <v>612</v>
      </c>
      <c r="AH455" s="28" t="n">
        <f aca="false">IFERROR(AG455/T455,"")</f>
        <v>0.941538461538462</v>
      </c>
      <c r="AI455" s="29" t="n">
        <f aca="false">IFERROR(R455/AG455*60,"")</f>
        <v>118.039215686275</v>
      </c>
      <c r="AJ455" s="30" t="n">
        <f aca="false">IFERROR(AI455/Q455,"")</f>
        <v>0.754139433551198</v>
      </c>
      <c r="AK455" s="31" t="n">
        <f aca="false">IFERROR(R455/(T455/60*Q455),"")</f>
        <v>0.710051282051282</v>
      </c>
      <c r="AL455" s="26" t="n">
        <v>1</v>
      </c>
      <c r="AM455" s="26" t="n">
        <v>3</v>
      </c>
      <c r="AN455" s="26" t="n">
        <v>7</v>
      </c>
      <c r="AO455" s="26" t="n">
        <v>2</v>
      </c>
      <c r="AP455" s="26" t="n">
        <v>2</v>
      </c>
      <c r="AQ455" s="26" t="n">
        <v>1</v>
      </c>
      <c r="AR455" s="26" t="n">
        <v>2</v>
      </c>
      <c r="AS455" s="26" t="n">
        <v>3</v>
      </c>
      <c r="AT455" s="26" t="n">
        <v>1</v>
      </c>
      <c r="AU455" s="26"/>
      <c r="AV455" s="26" t="n">
        <f aca="false">SUM(AL455:AU455)</f>
        <v>22</v>
      </c>
      <c r="AW455" s="32" t="n">
        <f aca="false">IFERROR(AV455/R455*1000000,"")</f>
        <v>18272.4252491694</v>
      </c>
      <c r="AX455" s="33" t="n">
        <f aca="false">IFERROR((R455-AV455)/R455,"")</f>
        <v>0.981727574750831</v>
      </c>
      <c r="AY455" s="34" t="n">
        <f aca="false">IFERROR(AH455*AJ455*AX455,"")</f>
        <v>0.697076923076923</v>
      </c>
      <c r="AZ455" s="35" t="s">
        <v>93</v>
      </c>
    </row>
    <row r="456" customFormat="false" ht="12.75" hidden="false" customHeight="true" outlineLevel="0" collapsed="false">
      <c r="A456" s="24" t="n">
        <v>452</v>
      </c>
      <c r="B456" s="25" t="n">
        <v>46173</v>
      </c>
      <c r="C456" s="25" t="n">
        <v>12</v>
      </c>
      <c r="D456" s="26" t="s">
        <v>79</v>
      </c>
      <c r="E456" s="26" t="s">
        <v>80</v>
      </c>
      <c r="F456" s="26" t="s">
        <v>81</v>
      </c>
      <c r="G456" s="26" t="s">
        <v>9</v>
      </c>
      <c r="H456" s="27" t="n">
        <v>0.354166666666667</v>
      </c>
      <c r="I456" s="27" t="n">
        <v>0.854166666666667</v>
      </c>
      <c r="J456" s="26" t="n">
        <f aca="false">IFERROR((I456-H456)*24*60,"")</f>
        <v>720</v>
      </c>
      <c r="K456" s="26" t="s">
        <v>74</v>
      </c>
      <c r="L456" s="26" t="s">
        <v>106</v>
      </c>
      <c r="M456" s="26" t="s">
        <v>84</v>
      </c>
      <c r="N456" s="26" t="s">
        <v>85</v>
      </c>
      <c r="O456" s="26" t="n">
        <v>8</v>
      </c>
      <c r="P456" s="26" t="n">
        <v>36</v>
      </c>
      <c r="Q456" s="26" t="n">
        <f aca="false">IFERROR(3600/(P456/O456),"")</f>
        <v>800</v>
      </c>
      <c r="R456" s="26" t="n">
        <v>8213</v>
      </c>
      <c r="S456" s="26" t="n">
        <v>73</v>
      </c>
      <c r="T456" s="26" t="n">
        <f aca="false">IFERROR(J456-S456,"")</f>
        <v>647</v>
      </c>
      <c r="U456" s="26"/>
      <c r="V456" s="26"/>
      <c r="W456" s="26"/>
      <c r="X456" s="26" t="n">
        <v>9</v>
      </c>
      <c r="Y456" s="26" t="n">
        <v>31</v>
      </c>
      <c r="Z456" s="26"/>
      <c r="AA456" s="26"/>
      <c r="AB456" s="26"/>
      <c r="AC456" s="26" t="n">
        <v>3</v>
      </c>
      <c r="AD456" s="26"/>
      <c r="AE456" s="26"/>
      <c r="AF456" s="26" t="n">
        <f aca="false">SUM(U456:AE456)</f>
        <v>43</v>
      </c>
      <c r="AG456" s="26" t="n">
        <f aca="false">T456-AF456</f>
        <v>604</v>
      </c>
      <c r="AH456" s="28" t="n">
        <f aca="false">IFERROR(AG456/T456,"")</f>
        <v>0.933539412673879</v>
      </c>
      <c r="AI456" s="29" t="n">
        <f aca="false">IFERROR(R456/AG456*60,"")</f>
        <v>815.860927152318</v>
      </c>
      <c r="AJ456" s="30" t="n">
        <f aca="false">IFERROR(AI456/Q456,"")</f>
        <v>1.0198261589404</v>
      </c>
      <c r="AK456" s="31" t="n">
        <f aca="false">IFERROR(R456/(T456/60*Q456),"")</f>
        <v>0.952047913446677</v>
      </c>
      <c r="AL456" s="26" t="n">
        <v>7</v>
      </c>
      <c r="AM456" s="26" t="n">
        <v>5</v>
      </c>
      <c r="AN456" s="26" t="n">
        <v>11</v>
      </c>
      <c r="AO456" s="26" t="n">
        <v>4</v>
      </c>
      <c r="AP456" s="26" t="n">
        <v>5</v>
      </c>
      <c r="AQ456" s="26" t="n">
        <v>10</v>
      </c>
      <c r="AR456" s="26" t="n">
        <v>7</v>
      </c>
      <c r="AS456" s="26" t="n">
        <v>8</v>
      </c>
      <c r="AT456" s="26" t="n">
        <v>5</v>
      </c>
      <c r="AU456" s="26" t="n">
        <v>10</v>
      </c>
      <c r="AV456" s="26" t="n">
        <f aca="false">SUM(AL456:AU456)</f>
        <v>72</v>
      </c>
      <c r="AW456" s="32" t="n">
        <f aca="false">IFERROR(AV456/R456*1000000,"")</f>
        <v>8766.58955314745</v>
      </c>
      <c r="AX456" s="33" t="n">
        <f aca="false">IFERROR((R456-AV456)/R456,"")</f>
        <v>0.991233410446853</v>
      </c>
      <c r="AY456" s="34" t="n">
        <f aca="false">IFERROR(AH456*AJ456*AX456,"")</f>
        <v>0.94370170015456</v>
      </c>
      <c r="AZ456" s="35" t="s">
        <v>93</v>
      </c>
    </row>
    <row r="457" customFormat="false" ht="12.75" hidden="false" customHeight="true" outlineLevel="0" collapsed="false">
      <c r="A457" s="24" t="n">
        <v>453</v>
      </c>
      <c r="B457" s="25" t="n">
        <v>46173</v>
      </c>
      <c r="C457" s="25" t="n">
        <v>12</v>
      </c>
      <c r="D457" s="26" t="s">
        <v>87</v>
      </c>
      <c r="E457" s="26" t="s">
        <v>88</v>
      </c>
      <c r="F457" s="26" t="s">
        <v>73</v>
      </c>
      <c r="G457" s="26" t="s">
        <v>10</v>
      </c>
      <c r="H457" s="27" t="n">
        <v>0.354166666666667</v>
      </c>
      <c r="I457" s="27" t="n">
        <v>0.854166666666667</v>
      </c>
      <c r="J457" s="26" t="n">
        <f aca="false">IFERROR((I457-H457)*24*60,"")</f>
        <v>720</v>
      </c>
      <c r="K457" s="26" t="s">
        <v>74</v>
      </c>
      <c r="L457" s="26" t="s">
        <v>83</v>
      </c>
      <c r="M457" s="26" t="s">
        <v>91</v>
      </c>
      <c r="N457" s="26" t="s">
        <v>92</v>
      </c>
      <c r="O457" s="26" t="n">
        <v>2</v>
      </c>
      <c r="P457" s="26" t="n">
        <v>51</v>
      </c>
      <c r="Q457" s="26" t="n">
        <f aca="false">IFERROR(3600/(P457/O457),"")</f>
        <v>141.176470588235</v>
      </c>
      <c r="R457" s="26" t="n">
        <v>1105</v>
      </c>
      <c r="S457" s="26" t="n">
        <v>72</v>
      </c>
      <c r="T457" s="26" t="n">
        <f aca="false">IFERROR(J457-S457,"")</f>
        <v>648</v>
      </c>
      <c r="U457" s="26"/>
      <c r="V457" s="26"/>
      <c r="W457" s="26" t="n">
        <v>48</v>
      </c>
      <c r="X457" s="26"/>
      <c r="Y457" s="26"/>
      <c r="Z457" s="26"/>
      <c r="AA457" s="26" t="n">
        <v>13</v>
      </c>
      <c r="AB457" s="26"/>
      <c r="AC457" s="26"/>
      <c r="AD457" s="26"/>
      <c r="AE457" s="26"/>
      <c r="AF457" s="26" t="n">
        <f aca="false">SUM(U457:AE457)</f>
        <v>61</v>
      </c>
      <c r="AG457" s="26" t="n">
        <f aca="false">T457-AF457</f>
        <v>587</v>
      </c>
      <c r="AH457" s="28" t="n">
        <f aca="false">IFERROR(AG457/T457,"")</f>
        <v>0.905864197530864</v>
      </c>
      <c r="AI457" s="29" t="n">
        <f aca="false">IFERROR(R457/AG457*60,"")</f>
        <v>112.947189097104</v>
      </c>
      <c r="AJ457" s="30" t="n">
        <f aca="false">IFERROR(AI457/Q457,"")</f>
        <v>0.800042589437819</v>
      </c>
      <c r="AK457" s="31" t="n">
        <f aca="false">IFERROR(R457/(T457/60*Q457),"")</f>
        <v>0.724729938271605</v>
      </c>
      <c r="AL457" s="26" t="n">
        <v>4</v>
      </c>
      <c r="AM457" s="26" t="n">
        <v>3</v>
      </c>
      <c r="AN457" s="26" t="n">
        <v>1</v>
      </c>
      <c r="AO457" s="26" t="n">
        <v>3</v>
      </c>
      <c r="AP457" s="26" t="n">
        <v>3</v>
      </c>
      <c r="AQ457" s="26" t="n">
        <v>2</v>
      </c>
      <c r="AR457" s="26" t="n">
        <v>2</v>
      </c>
      <c r="AS457" s="26"/>
      <c r="AT457" s="26" t="n">
        <v>3</v>
      </c>
      <c r="AU457" s="26" t="n">
        <v>2</v>
      </c>
      <c r="AV457" s="26" t="n">
        <f aca="false">SUM(AL457:AU457)</f>
        <v>23</v>
      </c>
      <c r="AW457" s="32" t="n">
        <f aca="false">IFERROR(AV457/R457*1000000,"")</f>
        <v>20814.4796380091</v>
      </c>
      <c r="AX457" s="33" t="n">
        <f aca="false">IFERROR((R457-AV457)/R457,"")</f>
        <v>0.979185520361991</v>
      </c>
      <c r="AY457" s="34" t="n">
        <f aca="false">IFERROR(AH457*AJ457*AX457,"")</f>
        <v>0.709645061728395</v>
      </c>
      <c r="AZ457" s="35" t="s">
        <v>78</v>
      </c>
    </row>
    <row r="458" customFormat="false" ht="12.75" hidden="false" customHeight="true" outlineLevel="0" collapsed="false">
      <c r="A458" s="24" t="n">
        <v>454</v>
      </c>
      <c r="B458" s="25" t="n">
        <v>46174</v>
      </c>
      <c r="C458" s="25" t="n">
        <v>12</v>
      </c>
      <c r="D458" s="26" t="s">
        <v>71</v>
      </c>
      <c r="E458" s="26" t="s">
        <v>94</v>
      </c>
      <c r="F458" s="26" t="s">
        <v>81</v>
      </c>
      <c r="G458" s="26" t="s">
        <v>11</v>
      </c>
      <c r="H458" s="27" t="n">
        <v>0.354166666666667</v>
      </c>
      <c r="I458" s="27" t="n">
        <v>0.854166666666667</v>
      </c>
      <c r="J458" s="26" t="n">
        <f aca="false">IFERROR((I458-H458)*24*60,"")</f>
        <v>720</v>
      </c>
      <c r="K458" s="26" t="s">
        <v>89</v>
      </c>
      <c r="L458" s="26" t="s">
        <v>102</v>
      </c>
      <c r="M458" s="26" t="s">
        <v>95</v>
      </c>
      <c r="N458" s="26" t="s">
        <v>96</v>
      </c>
      <c r="O458" s="26" t="n">
        <v>2</v>
      </c>
      <c r="P458" s="26" t="n">
        <v>33</v>
      </c>
      <c r="Q458" s="26" t="n">
        <f aca="false">IFERROR(3600/(P458/O458),"")</f>
        <v>218.181818181818</v>
      </c>
      <c r="R458" s="26" t="n">
        <v>1718</v>
      </c>
      <c r="S458" s="26" t="n">
        <v>71</v>
      </c>
      <c r="T458" s="26" t="n">
        <f aca="false">IFERROR(J458-S458,"")</f>
        <v>649</v>
      </c>
      <c r="U458" s="26"/>
      <c r="V458" s="26"/>
      <c r="W458" s="26"/>
      <c r="X458" s="26"/>
      <c r="Y458" s="26"/>
      <c r="Z458" s="26" t="n">
        <v>4</v>
      </c>
      <c r="AA458" s="26"/>
      <c r="AB458" s="26"/>
      <c r="AC458" s="26"/>
      <c r="AD458" s="26"/>
      <c r="AE458" s="26"/>
      <c r="AF458" s="26" t="n">
        <f aca="false">SUM(U458:AE458)</f>
        <v>4</v>
      </c>
      <c r="AG458" s="26" t="n">
        <f aca="false">T458-AF458</f>
        <v>645</v>
      </c>
      <c r="AH458" s="28" t="n">
        <f aca="false">IFERROR(AG458/T458,"")</f>
        <v>0.993836671802774</v>
      </c>
      <c r="AI458" s="29" t="n">
        <f aca="false">IFERROR(R458/AG458*60,"")</f>
        <v>159.813953488372</v>
      </c>
      <c r="AJ458" s="30" t="n">
        <f aca="false">IFERROR(AI458/Q458,"")</f>
        <v>0.732480620155039</v>
      </c>
      <c r="AK458" s="31" t="n">
        <f aca="false">IFERROR(R458/(T458/60*Q458),"")</f>
        <v>0.727966101694915</v>
      </c>
      <c r="AL458" s="26" t="n">
        <v>4</v>
      </c>
      <c r="AM458" s="26" t="n">
        <v>3</v>
      </c>
      <c r="AN458" s="26" t="n">
        <v>3</v>
      </c>
      <c r="AO458" s="26"/>
      <c r="AP458" s="26" t="n">
        <v>4</v>
      </c>
      <c r="AQ458" s="26" t="n">
        <v>2</v>
      </c>
      <c r="AR458" s="26" t="n">
        <v>5</v>
      </c>
      <c r="AS458" s="26" t="n">
        <v>2</v>
      </c>
      <c r="AT458" s="26" t="n">
        <v>8</v>
      </c>
      <c r="AU458" s="26" t="n">
        <v>2</v>
      </c>
      <c r="AV458" s="26" t="n">
        <f aca="false">SUM(AL458:AU458)</f>
        <v>33</v>
      </c>
      <c r="AW458" s="32" t="n">
        <f aca="false">IFERROR(AV458/R458*1000000,"")</f>
        <v>19208.3818393481</v>
      </c>
      <c r="AX458" s="33" t="n">
        <f aca="false">IFERROR((R458-AV458)/R458,"")</f>
        <v>0.980791618160652</v>
      </c>
      <c r="AY458" s="34" t="n">
        <f aca="false">IFERROR(AH458*AJ458*AX458,"")</f>
        <v>0.713983050847458</v>
      </c>
      <c r="AZ458" s="35" t="s">
        <v>86</v>
      </c>
    </row>
    <row r="459" customFormat="false" ht="12.75" hidden="false" customHeight="true" outlineLevel="0" collapsed="false">
      <c r="A459" s="24" t="n">
        <v>455</v>
      </c>
      <c r="B459" s="25" t="n">
        <v>46174</v>
      </c>
      <c r="C459" s="25" t="n">
        <v>12</v>
      </c>
      <c r="D459" s="26" t="s">
        <v>79</v>
      </c>
      <c r="E459" s="26" t="s">
        <v>97</v>
      </c>
      <c r="F459" s="26" t="s">
        <v>73</v>
      </c>
      <c r="G459" s="26" t="s">
        <v>12</v>
      </c>
      <c r="H459" s="27" t="n">
        <v>0.354166666666667</v>
      </c>
      <c r="I459" s="27" t="n">
        <v>0.854166666666667</v>
      </c>
      <c r="J459" s="26" t="n">
        <f aca="false">IFERROR((I459-H459)*24*60,"")</f>
        <v>720</v>
      </c>
      <c r="K459" s="26" t="s">
        <v>89</v>
      </c>
      <c r="L459" s="26" t="s">
        <v>98</v>
      </c>
      <c r="M459" s="26" t="s">
        <v>99</v>
      </c>
      <c r="N459" s="26" t="s">
        <v>100</v>
      </c>
      <c r="O459" s="26" t="n">
        <v>4</v>
      </c>
      <c r="P459" s="26" t="n">
        <v>73</v>
      </c>
      <c r="Q459" s="26" t="n">
        <f aca="false">IFERROR(3600/(P459/O459),"")</f>
        <v>197.260273972603</v>
      </c>
      <c r="R459" s="26" t="n">
        <v>1880</v>
      </c>
      <c r="S459" s="26" t="n">
        <v>50</v>
      </c>
      <c r="T459" s="26" t="n">
        <f aca="false">IFERROR(J459-S459,"")</f>
        <v>670</v>
      </c>
      <c r="U459" s="26"/>
      <c r="V459" s="26"/>
      <c r="W459" s="26"/>
      <c r="X459" s="26"/>
      <c r="Y459" s="26" t="n">
        <v>43</v>
      </c>
      <c r="Z459" s="26"/>
      <c r="AA459" s="26"/>
      <c r="AB459" s="26"/>
      <c r="AC459" s="26"/>
      <c r="AD459" s="26"/>
      <c r="AE459" s="26"/>
      <c r="AF459" s="26" t="n">
        <f aca="false">SUM(U459:AE459)</f>
        <v>43</v>
      </c>
      <c r="AG459" s="26" t="n">
        <f aca="false">T459-AF459</f>
        <v>627</v>
      </c>
      <c r="AH459" s="28" t="n">
        <f aca="false">IFERROR(AG459/T459,"")</f>
        <v>0.935820895522388</v>
      </c>
      <c r="AI459" s="29" t="n">
        <f aca="false">IFERROR(R459/AG459*60,"")</f>
        <v>179.904306220096</v>
      </c>
      <c r="AJ459" s="30" t="n">
        <f aca="false">IFERROR(AI459/Q459,"")</f>
        <v>0.912014885699096</v>
      </c>
      <c r="AK459" s="31" t="n">
        <f aca="false">IFERROR(R459/(T459/60*Q459),"")</f>
        <v>0.853482587064677</v>
      </c>
      <c r="AL459" s="26" t="n">
        <v>2</v>
      </c>
      <c r="AM459" s="26" t="n">
        <v>7</v>
      </c>
      <c r="AN459" s="26" t="n">
        <v>8</v>
      </c>
      <c r="AO459" s="26" t="n">
        <v>3</v>
      </c>
      <c r="AP459" s="26" t="n">
        <v>5</v>
      </c>
      <c r="AQ459" s="26"/>
      <c r="AR459" s="26" t="n">
        <v>2</v>
      </c>
      <c r="AS459" s="26" t="n">
        <v>3</v>
      </c>
      <c r="AT459" s="26" t="n">
        <v>2</v>
      </c>
      <c r="AU459" s="26" t="n">
        <v>5</v>
      </c>
      <c r="AV459" s="26" t="n">
        <f aca="false">SUM(AL459:AU459)</f>
        <v>37</v>
      </c>
      <c r="AW459" s="32" t="n">
        <f aca="false">IFERROR(AV459/R459*1000000,"")</f>
        <v>19680.8510638298</v>
      </c>
      <c r="AX459" s="33" t="n">
        <f aca="false">IFERROR((R459-AV459)/R459,"")</f>
        <v>0.98031914893617</v>
      </c>
      <c r="AY459" s="34" t="n">
        <f aca="false">IFERROR(AH459*AJ459*AX459,"")</f>
        <v>0.836685323383085</v>
      </c>
      <c r="AZ459" s="35" t="s">
        <v>78</v>
      </c>
    </row>
    <row r="460" customFormat="false" ht="12.75" hidden="false" customHeight="true" outlineLevel="0" collapsed="false">
      <c r="A460" s="24" t="n">
        <v>456</v>
      </c>
      <c r="B460" s="25" t="n">
        <v>46174</v>
      </c>
      <c r="C460" s="25" t="n">
        <v>12</v>
      </c>
      <c r="D460" s="26" t="s">
        <v>87</v>
      </c>
      <c r="E460" s="26" t="s">
        <v>101</v>
      </c>
      <c r="F460" s="26" t="s">
        <v>81</v>
      </c>
      <c r="G460" s="26" t="s">
        <v>13</v>
      </c>
      <c r="H460" s="27" t="n">
        <v>0.354166666666667</v>
      </c>
      <c r="I460" s="27" t="n">
        <v>0.854166666666667</v>
      </c>
      <c r="J460" s="26" t="n">
        <f aca="false">IFERROR((I460-H460)*24*60,"")</f>
        <v>720</v>
      </c>
      <c r="K460" s="26" t="s">
        <v>89</v>
      </c>
      <c r="L460" s="26" t="s">
        <v>75</v>
      </c>
      <c r="M460" s="26" t="s">
        <v>103</v>
      </c>
      <c r="N460" s="26" t="s">
        <v>104</v>
      </c>
      <c r="O460" s="26" t="n">
        <v>2</v>
      </c>
      <c r="P460" s="26" t="n">
        <v>31</v>
      </c>
      <c r="Q460" s="26" t="n">
        <f aca="false">IFERROR(3600/(P460/O460),"")</f>
        <v>232.258064516129</v>
      </c>
      <c r="R460" s="26" t="n">
        <v>2306</v>
      </c>
      <c r="S460" s="26" t="n">
        <v>71</v>
      </c>
      <c r="T460" s="26" t="n">
        <f aca="false">IFERROR(J460-S460,"")</f>
        <v>649</v>
      </c>
      <c r="U460" s="26"/>
      <c r="V460" s="26"/>
      <c r="W460" s="26"/>
      <c r="X460" s="26" t="n">
        <v>3</v>
      </c>
      <c r="Y460" s="26"/>
      <c r="Z460" s="26"/>
      <c r="AA460" s="26"/>
      <c r="AB460" s="26"/>
      <c r="AC460" s="26"/>
      <c r="AD460" s="26"/>
      <c r="AE460" s="26"/>
      <c r="AF460" s="26" t="n">
        <f aca="false">SUM(U460:AE460)</f>
        <v>3</v>
      </c>
      <c r="AG460" s="26" t="n">
        <f aca="false">T460-AF460</f>
        <v>646</v>
      </c>
      <c r="AH460" s="28" t="n">
        <f aca="false">IFERROR(AG460/T460,"")</f>
        <v>0.99537750385208</v>
      </c>
      <c r="AI460" s="29" t="n">
        <f aca="false">IFERROR(R460/AG460*60,"")</f>
        <v>214.179566563468</v>
      </c>
      <c r="AJ460" s="30" t="n">
        <f aca="false">IFERROR(AI460/Q460,"")</f>
        <v>0.922162022703818</v>
      </c>
      <c r="AK460" s="31" t="n">
        <f aca="false">IFERROR(R460/(T460/60*Q460),"")</f>
        <v>0.917899332306112</v>
      </c>
      <c r="AL460" s="26" t="n">
        <v>9</v>
      </c>
      <c r="AM460" s="26" t="n">
        <v>1</v>
      </c>
      <c r="AN460" s="26" t="n">
        <v>7</v>
      </c>
      <c r="AO460" s="26" t="n">
        <v>8</v>
      </c>
      <c r="AP460" s="26" t="n">
        <v>1</v>
      </c>
      <c r="AQ460" s="26" t="n">
        <v>5</v>
      </c>
      <c r="AR460" s="26" t="n">
        <v>7</v>
      </c>
      <c r="AS460" s="26" t="n">
        <v>2</v>
      </c>
      <c r="AT460" s="26" t="n">
        <v>8</v>
      </c>
      <c r="AU460" s="26" t="n">
        <v>3</v>
      </c>
      <c r="AV460" s="26" t="n">
        <f aca="false">SUM(AL460:AU460)</f>
        <v>51</v>
      </c>
      <c r="AW460" s="32" t="n">
        <f aca="false">IFERROR(AV460/R460*1000000,"")</f>
        <v>22116.2185602775</v>
      </c>
      <c r="AX460" s="33" t="n">
        <f aca="false">IFERROR((R460-AV460)/R460,"")</f>
        <v>0.977883781439722</v>
      </c>
      <c r="AY460" s="34" t="n">
        <f aca="false">IFERROR(AH460*AJ460*AX460,"")</f>
        <v>0.897598870056497</v>
      </c>
      <c r="AZ460" s="35" t="s">
        <v>86</v>
      </c>
    </row>
    <row r="461" customFormat="false" ht="12.75" hidden="false" customHeight="true" outlineLevel="0" collapsed="false">
      <c r="A461" s="24" t="n">
        <v>457</v>
      </c>
      <c r="B461" s="25" t="n">
        <v>46175</v>
      </c>
      <c r="C461" s="25" t="n">
        <v>12</v>
      </c>
      <c r="D461" s="26" t="s">
        <v>71</v>
      </c>
      <c r="E461" s="26" t="s">
        <v>72</v>
      </c>
      <c r="F461" s="26" t="s">
        <v>73</v>
      </c>
      <c r="G461" s="26" t="s">
        <v>8</v>
      </c>
      <c r="H461" s="27" t="n">
        <v>0.354166666666667</v>
      </c>
      <c r="I461" s="27" t="n">
        <v>0.854166666666667</v>
      </c>
      <c r="J461" s="26" t="n">
        <f aca="false">IFERROR((I461-H461)*24*60,"")</f>
        <v>720</v>
      </c>
      <c r="K461" s="26" t="s">
        <v>74</v>
      </c>
      <c r="L461" s="26" t="s">
        <v>83</v>
      </c>
      <c r="M461" s="26" t="s">
        <v>76</v>
      </c>
      <c r="N461" s="26" t="s">
        <v>77</v>
      </c>
      <c r="O461" s="26" t="n">
        <v>1</v>
      </c>
      <c r="P461" s="26" t="n">
        <v>56</v>
      </c>
      <c r="Q461" s="26" t="n">
        <f aca="false">IFERROR(3600/(P461/O461),"")</f>
        <v>64.2857142857143</v>
      </c>
      <c r="R461" s="26" t="n">
        <v>532</v>
      </c>
      <c r="S461" s="26" t="n">
        <v>60</v>
      </c>
      <c r="T461" s="26" t="n">
        <f aca="false">IFERROR(J461-S461,"")</f>
        <v>660</v>
      </c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 t="n">
        <v>31</v>
      </c>
      <c r="AF461" s="26" t="n">
        <f aca="false">SUM(U461:AE461)</f>
        <v>31</v>
      </c>
      <c r="AG461" s="26" t="n">
        <f aca="false">T461-AF461</f>
        <v>629</v>
      </c>
      <c r="AH461" s="28" t="n">
        <f aca="false">IFERROR(AG461/T461,"")</f>
        <v>0.953030303030303</v>
      </c>
      <c r="AI461" s="29" t="n">
        <f aca="false">IFERROR(R461/AG461*60,"")</f>
        <v>50.7472178060413</v>
      </c>
      <c r="AJ461" s="30" t="n">
        <f aca="false">IFERROR(AI461/Q461,"")</f>
        <v>0.789401165871754</v>
      </c>
      <c r="AK461" s="31" t="n">
        <f aca="false">IFERROR(R461/(T461/60*Q461),"")</f>
        <v>0.752323232323232</v>
      </c>
      <c r="AL461" s="26" t="n">
        <v>1</v>
      </c>
      <c r="AM461" s="26" t="n">
        <v>3</v>
      </c>
      <c r="AN461" s="26" t="n">
        <v>1</v>
      </c>
      <c r="AO461" s="26" t="n">
        <v>1</v>
      </c>
      <c r="AP461" s="26" t="n">
        <v>1</v>
      </c>
      <c r="AQ461" s="26"/>
      <c r="AR461" s="26" t="n">
        <v>3</v>
      </c>
      <c r="AS461" s="26" t="n">
        <v>1</v>
      </c>
      <c r="AT461" s="26" t="n">
        <v>1</v>
      </c>
      <c r="AU461" s="26"/>
      <c r="AV461" s="26" t="n">
        <f aca="false">SUM(AL461:AU461)</f>
        <v>12</v>
      </c>
      <c r="AW461" s="32" t="n">
        <f aca="false">IFERROR(AV461/R461*1000000,"")</f>
        <v>22556.3909774436</v>
      </c>
      <c r="AX461" s="33" t="n">
        <f aca="false">IFERROR((R461-AV461)/R461,"")</f>
        <v>0.977443609022556</v>
      </c>
      <c r="AY461" s="34" t="n">
        <f aca="false">IFERROR(AH461*AJ461*AX461,"")</f>
        <v>0.735353535353535</v>
      </c>
      <c r="AZ461" s="35" t="s">
        <v>86</v>
      </c>
    </row>
    <row r="462" customFormat="false" ht="12.75" hidden="false" customHeight="true" outlineLevel="0" collapsed="false">
      <c r="A462" s="24" t="n">
        <v>458</v>
      </c>
      <c r="B462" s="25" t="n">
        <v>46175</v>
      </c>
      <c r="C462" s="25" t="n">
        <v>12</v>
      </c>
      <c r="D462" s="26" t="s">
        <v>79</v>
      </c>
      <c r="E462" s="26" t="s">
        <v>80</v>
      </c>
      <c r="F462" s="26" t="s">
        <v>81</v>
      </c>
      <c r="G462" s="26" t="s">
        <v>9</v>
      </c>
      <c r="H462" s="27" t="n">
        <v>0.354166666666667</v>
      </c>
      <c r="I462" s="27" t="n">
        <v>0.854166666666667</v>
      </c>
      <c r="J462" s="26" t="n">
        <f aca="false">IFERROR((I462-H462)*24*60,"")</f>
        <v>720</v>
      </c>
      <c r="K462" s="26" t="s">
        <v>89</v>
      </c>
      <c r="L462" s="26" t="s">
        <v>108</v>
      </c>
      <c r="M462" s="26" t="s">
        <v>84</v>
      </c>
      <c r="N462" s="26" t="s">
        <v>85</v>
      </c>
      <c r="O462" s="26" t="n">
        <v>2</v>
      </c>
      <c r="P462" s="26" t="n">
        <v>30</v>
      </c>
      <c r="Q462" s="26" t="n">
        <f aca="false">IFERROR(3600/(P462/O462),"")</f>
        <v>240</v>
      </c>
      <c r="R462" s="26" t="n">
        <v>2411</v>
      </c>
      <c r="S462" s="26" t="n">
        <v>42</v>
      </c>
      <c r="T462" s="26" t="n">
        <f aca="false">IFERROR(J462-S462,"")</f>
        <v>678</v>
      </c>
      <c r="U462" s="26"/>
      <c r="V462" s="26"/>
      <c r="W462" s="26"/>
      <c r="X462" s="26"/>
      <c r="Y462" s="26"/>
      <c r="Z462" s="26" t="n">
        <v>10</v>
      </c>
      <c r="AA462" s="26"/>
      <c r="AB462" s="26" t="n">
        <v>5</v>
      </c>
      <c r="AC462" s="26"/>
      <c r="AD462" s="26" t="n">
        <v>23</v>
      </c>
      <c r="AE462" s="26"/>
      <c r="AF462" s="26" t="n">
        <f aca="false">SUM(U462:AE462)</f>
        <v>38</v>
      </c>
      <c r="AG462" s="26" t="n">
        <f aca="false">T462-AF462</f>
        <v>640</v>
      </c>
      <c r="AH462" s="28" t="n">
        <f aca="false">IFERROR(AG462/T462,"")</f>
        <v>0.943952802359882</v>
      </c>
      <c r="AI462" s="29" t="n">
        <f aca="false">IFERROR(R462/AG462*60,"")</f>
        <v>226.03125</v>
      </c>
      <c r="AJ462" s="30" t="n">
        <f aca="false">IFERROR(AI462/Q462,"")</f>
        <v>0.941796875</v>
      </c>
      <c r="AK462" s="31" t="n">
        <f aca="false">IFERROR(R462/(T462/60*Q462),"")</f>
        <v>0.88901179941003</v>
      </c>
      <c r="AL462" s="26" t="n">
        <v>4</v>
      </c>
      <c r="AM462" s="26" t="n">
        <v>6</v>
      </c>
      <c r="AN462" s="26" t="n">
        <v>4</v>
      </c>
      <c r="AO462" s="26" t="n">
        <v>2</v>
      </c>
      <c r="AP462" s="26" t="n">
        <v>2</v>
      </c>
      <c r="AQ462" s="26" t="n">
        <v>4</v>
      </c>
      <c r="AR462" s="26" t="n">
        <v>5</v>
      </c>
      <c r="AS462" s="26" t="n">
        <v>7</v>
      </c>
      <c r="AT462" s="26" t="n">
        <v>6</v>
      </c>
      <c r="AU462" s="26" t="n">
        <v>5</v>
      </c>
      <c r="AV462" s="26" t="n">
        <f aca="false">SUM(AL462:AU462)</f>
        <v>45</v>
      </c>
      <c r="AW462" s="32" t="n">
        <f aca="false">IFERROR(AV462/R462*1000000,"")</f>
        <v>18664.4545831605</v>
      </c>
      <c r="AX462" s="33" t="n">
        <f aca="false">IFERROR((R462-AV462)/R462,"")</f>
        <v>0.98133554541684</v>
      </c>
      <c r="AY462" s="34" t="n">
        <f aca="false">IFERROR(AH462*AJ462*AX462,"")</f>
        <v>0.872418879056047</v>
      </c>
      <c r="AZ462" s="35" t="s">
        <v>93</v>
      </c>
    </row>
    <row r="463" customFormat="false" ht="12.75" hidden="false" customHeight="true" outlineLevel="0" collapsed="false">
      <c r="A463" s="24" t="n">
        <v>459</v>
      </c>
      <c r="B463" s="25" t="n">
        <v>46175</v>
      </c>
      <c r="C463" s="25" t="n">
        <v>12</v>
      </c>
      <c r="D463" s="26" t="s">
        <v>87</v>
      </c>
      <c r="E463" s="26" t="s">
        <v>88</v>
      </c>
      <c r="F463" s="26" t="s">
        <v>73</v>
      </c>
      <c r="G463" s="26" t="s">
        <v>10</v>
      </c>
      <c r="H463" s="27" t="n">
        <v>0.354166666666667</v>
      </c>
      <c r="I463" s="27" t="n">
        <v>0.854166666666667</v>
      </c>
      <c r="J463" s="26" t="n">
        <f aca="false">IFERROR((I463-H463)*24*60,"")</f>
        <v>720</v>
      </c>
      <c r="K463" s="26" t="s">
        <v>89</v>
      </c>
      <c r="L463" s="26" t="s">
        <v>98</v>
      </c>
      <c r="M463" s="26" t="s">
        <v>91</v>
      </c>
      <c r="N463" s="26" t="s">
        <v>92</v>
      </c>
      <c r="O463" s="26" t="n">
        <v>8</v>
      </c>
      <c r="P463" s="26" t="n">
        <v>72</v>
      </c>
      <c r="Q463" s="26" t="n">
        <f aca="false">IFERROR(3600/(P463/O463),"")</f>
        <v>400</v>
      </c>
      <c r="R463" s="26" t="n">
        <v>3027</v>
      </c>
      <c r="S463" s="26" t="n">
        <v>74</v>
      </c>
      <c r="T463" s="26" t="n">
        <f aca="false">IFERROR(J463-S463,"")</f>
        <v>646</v>
      </c>
      <c r="U463" s="26"/>
      <c r="V463" s="26" t="n">
        <v>21</v>
      </c>
      <c r="W463" s="26"/>
      <c r="X463" s="26"/>
      <c r="Y463" s="26"/>
      <c r="Z463" s="26" t="n">
        <v>7</v>
      </c>
      <c r="AA463" s="26"/>
      <c r="AB463" s="26"/>
      <c r="AC463" s="26"/>
      <c r="AD463" s="26"/>
      <c r="AE463" s="26"/>
      <c r="AF463" s="26" t="n">
        <f aca="false">SUM(U463:AE463)</f>
        <v>28</v>
      </c>
      <c r="AG463" s="26" t="n">
        <f aca="false">T463-AF463</f>
        <v>618</v>
      </c>
      <c r="AH463" s="28" t="n">
        <f aca="false">IFERROR(AG463/T463,"")</f>
        <v>0.956656346749226</v>
      </c>
      <c r="AI463" s="29" t="n">
        <f aca="false">IFERROR(R463/AG463*60,"")</f>
        <v>293.883495145631</v>
      </c>
      <c r="AJ463" s="30" t="n">
        <f aca="false">IFERROR(AI463/Q463,"")</f>
        <v>0.734708737864078</v>
      </c>
      <c r="AK463" s="31" t="n">
        <f aca="false">IFERROR(R463/(T463/60*Q463),"")</f>
        <v>0.702863777089783</v>
      </c>
      <c r="AL463" s="26" t="n">
        <v>4</v>
      </c>
      <c r="AM463" s="26" t="n">
        <v>1</v>
      </c>
      <c r="AN463" s="26" t="n">
        <v>3</v>
      </c>
      <c r="AO463" s="26" t="n">
        <v>1</v>
      </c>
      <c r="AP463" s="26" t="n">
        <v>5</v>
      </c>
      <c r="AQ463" s="26" t="n">
        <v>2</v>
      </c>
      <c r="AR463" s="26" t="n">
        <v>4</v>
      </c>
      <c r="AS463" s="26" t="n">
        <v>5</v>
      </c>
      <c r="AT463" s="26" t="n">
        <v>2</v>
      </c>
      <c r="AU463" s="26" t="n">
        <v>10</v>
      </c>
      <c r="AV463" s="26" t="n">
        <f aca="false">SUM(AL463:AU463)</f>
        <v>37</v>
      </c>
      <c r="AW463" s="32" t="n">
        <f aca="false">IFERROR(AV463/R463*1000000,"")</f>
        <v>12223.3234225306</v>
      </c>
      <c r="AX463" s="33" t="n">
        <f aca="false">IFERROR((R463-AV463)/R463,"")</f>
        <v>0.98777667657747</v>
      </c>
      <c r="AY463" s="34" t="n">
        <f aca="false">IFERROR(AH463*AJ463*AX463,"")</f>
        <v>0.694272445820434</v>
      </c>
      <c r="AZ463" s="35"/>
    </row>
    <row r="464" customFormat="false" ht="12.75" hidden="false" customHeight="true" outlineLevel="0" collapsed="false">
      <c r="A464" s="24" t="n">
        <v>460</v>
      </c>
      <c r="B464" s="25" t="n">
        <v>46176</v>
      </c>
      <c r="C464" s="25" t="n">
        <v>12</v>
      </c>
      <c r="D464" s="26" t="s">
        <v>71</v>
      </c>
      <c r="E464" s="26" t="s">
        <v>94</v>
      </c>
      <c r="F464" s="26" t="s">
        <v>81</v>
      </c>
      <c r="G464" s="26" t="s">
        <v>11</v>
      </c>
      <c r="H464" s="27" t="n">
        <v>0.354166666666667</v>
      </c>
      <c r="I464" s="27" t="n">
        <v>0.854166666666667</v>
      </c>
      <c r="J464" s="26" t="n">
        <f aca="false">IFERROR((I464-H464)*24*60,"")</f>
        <v>720</v>
      </c>
      <c r="K464" s="26" t="s">
        <v>105</v>
      </c>
      <c r="L464" s="26" t="s">
        <v>83</v>
      </c>
      <c r="M464" s="26" t="s">
        <v>95</v>
      </c>
      <c r="N464" s="26" t="s">
        <v>96</v>
      </c>
      <c r="O464" s="26" t="n">
        <v>4</v>
      </c>
      <c r="P464" s="26" t="n">
        <v>49</v>
      </c>
      <c r="Q464" s="26" t="n">
        <f aca="false">IFERROR(3600/(P464/O464),"")</f>
        <v>293.877551020408</v>
      </c>
      <c r="R464" s="26" t="n">
        <v>2458</v>
      </c>
      <c r="S464" s="26" t="n">
        <v>46</v>
      </c>
      <c r="T464" s="26" t="n">
        <f aca="false">IFERROR(J464-S464,"")</f>
        <v>674</v>
      </c>
      <c r="U464" s="26"/>
      <c r="V464" s="26" t="n">
        <v>27</v>
      </c>
      <c r="W464" s="26"/>
      <c r="X464" s="26"/>
      <c r="Y464" s="26" t="n">
        <v>19</v>
      </c>
      <c r="Z464" s="26"/>
      <c r="AA464" s="26"/>
      <c r="AB464" s="26"/>
      <c r="AC464" s="26"/>
      <c r="AD464" s="26" t="n">
        <v>9</v>
      </c>
      <c r="AE464" s="26"/>
      <c r="AF464" s="26" t="n">
        <f aca="false">SUM(U464:AE464)</f>
        <v>55</v>
      </c>
      <c r="AG464" s="26" t="n">
        <f aca="false">T464-AF464</f>
        <v>619</v>
      </c>
      <c r="AH464" s="28" t="n">
        <f aca="false">IFERROR(AG464/T464,"")</f>
        <v>0.91839762611276</v>
      </c>
      <c r="AI464" s="29" t="n">
        <f aca="false">IFERROR(R464/AG464*60,"")</f>
        <v>238.255250403877</v>
      </c>
      <c r="AJ464" s="30" t="n">
        <f aca="false">IFERROR(AI464/Q464,"")</f>
        <v>0.810729671513193</v>
      </c>
      <c r="AK464" s="31" t="n">
        <f aca="false">IFERROR(R464/(T464/60*Q464),"")</f>
        <v>0.744572205736894</v>
      </c>
      <c r="AL464" s="26" t="n">
        <v>3</v>
      </c>
      <c r="AM464" s="26" t="n">
        <v>2</v>
      </c>
      <c r="AN464" s="26" t="n">
        <v>2</v>
      </c>
      <c r="AO464" s="26" t="n">
        <v>2</v>
      </c>
      <c r="AP464" s="26" t="n">
        <v>4</v>
      </c>
      <c r="AQ464" s="26" t="n">
        <v>3</v>
      </c>
      <c r="AR464" s="26" t="n">
        <v>3</v>
      </c>
      <c r="AS464" s="26" t="n">
        <v>1</v>
      </c>
      <c r="AT464" s="26" t="n">
        <v>5</v>
      </c>
      <c r="AU464" s="26" t="n">
        <v>3</v>
      </c>
      <c r="AV464" s="26" t="n">
        <f aca="false">SUM(AL464:AU464)</f>
        <v>28</v>
      </c>
      <c r="AW464" s="32" t="n">
        <f aca="false">IFERROR(AV464/R464*1000000,"")</f>
        <v>11391.3751017087</v>
      </c>
      <c r="AX464" s="33" t="n">
        <f aca="false">IFERROR((R464-AV464)/R464,"")</f>
        <v>0.988608624898291</v>
      </c>
      <c r="AY464" s="34" t="n">
        <f aca="false">IFERROR(AH464*AJ464*AX464,"")</f>
        <v>0.736090504451039</v>
      </c>
      <c r="AZ464" s="35"/>
    </row>
    <row r="465" customFormat="false" ht="12.75" hidden="false" customHeight="true" outlineLevel="0" collapsed="false">
      <c r="A465" s="24" t="n">
        <v>461</v>
      </c>
      <c r="B465" s="25" t="n">
        <v>46176</v>
      </c>
      <c r="C465" s="25" t="n">
        <v>12</v>
      </c>
      <c r="D465" s="26" t="s">
        <v>79</v>
      </c>
      <c r="E465" s="26" t="s">
        <v>97</v>
      </c>
      <c r="F465" s="26" t="s">
        <v>73</v>
      </c>
      <c r="G465" s="26" t="s">
        <v>12</v>
      </c>
      <c r="H465" s="27" t="n">
        <v>0.354166666666667</v>
      </c>
      <c r="I465" s="27" t="n">
        <v>0.854166666666667</v>
      </c>
      <c r="J465" s="26" t="n">
        <f aca="false">IFERROR((I465-H465)*24*60,"")</f>
        <v>720</v>
      </c>
      <c r="K465" s="26" t="s">
        <v>105</v>
      </c>
      <c r="L465" s="26" t="s">
        <v>75</v>
      </c>
      <c r="M465" s="26" t="s">
        <v>99</v>
      </c>
      <c r="N465" s="26" t="s">
        <v>100</v>
      </c>
      <c r="O465" s="26" t="n">
        <v>1</v>
      </c>
      <c r="P465" s="26" t="n">
        <v>49</v>
      </c>
      <c r="Q465" s="26" t="n">
        <f aca="false">IFERROR(3600/(P465/O465),"")</f>
        <v>73.4693877551021</v>
      </c>
      <c r="R465" s="26" t="n">
        <v>640</v>
      </c>
      <c r="S465" s="26" t="n">
        <v>38</v>
      </c>
      <c r="T465" s="26" t="n">
        <f aca="false">IFERROR(J465-S465,"")</f>
        <v>682</v>
      </c>
      <c r="U465" s="26" t="n">
        <v>6</v>
      </c>
      <c r="V465" s="26"/>
      <c r="W465" s="26" t="n">
        <v>33</v>
      </c>
      <c r="X465" s="26"/>
      <c r="Y465" s="26"/>
      <c r="Z465" s="26"/>
      <c r="AA465" s="26"/>
      <c r="AB465" s="26"/>
      <c r="AC465" s="26" t="n">
        <v>29</v>
      </c>
      <c r="AD465" s="26"/>
      <c r="AE465" s="26"/>
      <c r="AF465" s="26" t="n">
        <f aca="false">SUM(U465:AE465)</f>
        <v>68</v>
      </c>
      <c r="AG465" s="26" t="n">
        <f aca="false">T465-AF465</f>
        <v>614</v>
      </c>
      <c r="AH465" s="28" t="n">
        <f aca="false">IFERROR(AG465/T465,"")</f>
        <v>0.900293255131965</v>
      </c>
      <c r="AI465" s="29" t="n">
        <f aca="false">IFERROR(R465/AG465*60,"")</f>
        <v>62.5407166123779</v>
      </c>
      <c r="AJ465" s="30" t="n">
        <f aca="false">IFERROR(AI465/Q465,"")</f>
        <v>0.851248642779587</v>
      </c>
      <c r="AK465" s="31" t="n">
        <f aca="false">IFERROR(R465/(T465/60*Q465),"")</f>
        <v>0.766373411534702</v>
      </c>
      <c r="AL465" s="26"/>
      <c r="AM465" s="26" t="n">
        <v>1</v>
      </c>
      <c r="AN465" s="26"/>
      <c r="AO465" s="26" t="n">
        <v>1</v>
      </c>
      <c r="AP465" s="26" t="n">
        <v>1</v>
      </c>
      <c r="AQ465" s="26" t="n">
        <v>1</v>
      </c>
      <c r="AR465" s="26"/>
      <c r="AS465" s="26"/>
      <c r="AT465" s="26" t="n">
        <v>1</v>
      </c>
      <c r="AU465" s="26"/>
      <c r="AV465" s="26" t="n">
        <f aca="false">SUM(AL465:AU465)</f>
        <v>5</v>
      </c>
      <c r="AW465" s="32" t="n">
        <f aca="false">IFERROR(AV465/R465*1000000,"")</f>
        <v>7812.5</v>
      </c>
      <c r="AX465" s="33" t="n">
        <f aca="false">IFERROR((R465-AV465)/R465,"")</f>
        <v>0.9921875</v>
      </c>
      <c r="AY465" s="34" t="n">
        <f aca="false">IFERROR(AH465*AJ465*AX465,"")</f>
        <v>0.760386119257087</v>
      </c>
      <c r="AZ465" s="35" t="s">
        <v>78</v>
      </c>
    </row>
    <row r="466" customFormat="false" ht="12.75" hidden="false" customHeight="true" outlineLevel="0" collapsed="false">
      <c r="A466" s="24" t="n">
        <v>462</v>
      </c>
      <c r="B466" s="25" t="n">
        <v>46176</v>
      </c>
      <c r="C466" s="25" t="n">
        <v>12</v>
      </c>
      <c r="D466" s="26" t="s">
        <v>87</v>
      </c>
      <c r="E466" s="26" t="s">
        <v>101</v>
      </c>
      <c r="F466" s="26" t="s">
        <v>81</v>
      </c>
      <c r="G466" s="26" t="s">
        <v>13</v>
      </c>
      <c r="H466" s="27" t="n">
        <v>0.354166666666667</v>
      </c>
      <c r="I466" s="27" t="n">
        <v>0.854166666666667</v>
      </c>
      <c r="J466" s="26" t="n">
        <f aca="false">IFERROR((I466-H466)*24*60,"")</f>
        <v>720</v>
      </c>
      <c r="K466" s="26" t="s">
        <v>89</v>
      </c>
      <c r="L466" s="26" t="s">
        <v>90</v>
      </c>
      <c r="M466" s="26" t="s">
        <v>103</v>
      </c>
      <c r="N466" s="26" t="s">
        <v>104</v>
      </c>
      <c r="O466" s="26" t="n">
        <v>4</v>
      </c>
      <c r="P466" s="26" t="n">
        <v>66</v>
      </c>
      <c r="Q466" s="26" t="n">
        <f aca="false">IFERROR(3600/(P466/O466),"")</f>
        <v>218.181818181818</v>
      </c>
      <c r="R466" s="26" t="n">
        <v>2150</v>
      </c>
      <c r="S466" s="26" t="n">
        <v>51</v>
      </c>
      <c r="T466" s="26" t="n">
        <f aca="false">IFERROR(J466-S466,"")</f>
        <v>669</v>
      </c>
      <c r="U466" s="26"/>
      <c r="V466" s="26"/>
      <c r="W466" s="26"/>
      <c r="X466" s="26"/>
      <c r="Y466" s="26" t="n">
        <v>31</v>
      </c>
      <c r="Z466" s="26"/>
      <c r="AA466" s="26"/>
      <c r="AB466" s="26" t="n">
        <v>22</v>
      </c>
      <c r="AC466" s="26"/>
      <c r="AD466" s="26" t="n">
        <v>18</v>
      </c>
      <c r="AE466" s="26"/>
      <c r="AF466" s="26" t="n">
        <f aca="false">SUM(U466:AE466)</f>
        <v>71</v>
      </c>
      <c r="AG466" s="26" t="n">
        <f aca="false">T466-AF466</f>
        <v>598</v>
      </c>
      <c r="AH466" s="28" t="n">
        <f aca="false">IFERROR(AG466/T466,"")</f>
        <v>0.893871449925262</v>
      </c>
      <c r="AI466" s="29" t="n">
        <f aca="false">IFERROR(R466/AG466*60,"")</f>
        <v>215.719063545151</v>
      </c>
      <c r="AJ466" s="30" t="n">
        <f aca="false">IFERROR(AI466/Q466,"")</f>
        <v>0.98871237458194</v>
      </c>
      <c r="AK466" s="31" t="n">
        <f aca="false">IFERROR(R466/(T466/60*Q466),"")</f>
        <v>0.883781763826607</v>
      </c>
      <c r="AL466" s="26" t="n">
        <v>8</v>
      </c>
      <c r="AM466" s="26" t="n">
        <v>4</v>
      </c>
      <c r="AN466" s="26" t="n">
        <v>2</v>
      </c>
      <c r="AO466" s="26" t="n">
        <v>4</v>
      </c>
      <c r="AP466" s="26" t="n">
        <v>3</v>
      </c>
      <c r="AQ466" s="26" t="n">
        <v>5</v>
      </c>
      <c r="AR466" s="26" t="n">
        <v>5</v>
      </c>
      <c r="AS466" s="26" t="n">
        <v>5</v>
      </c>
      <c r="AT466" s="26" t="n">
        <v>5</v>
      </c>
      <c r="AU466" s="26" t="n">
        <v>4</v>
      </c>
      <c r="AV466" s="26" t="n">
        <f aca="false">SUM(AL466:AU466)</f>
        <v>45</v>
      </c>
      <c r="AW466" s="32" t="n">
        <f aca="false">IFERROR(AV466/R466*1000000,"")</f>
        <v>20930.2325581395</v>
      </c>
      <c r="AX466" s="33" t="n">
        <f aca="false">IFERROR((R466-AV466)/R466,"")</f>
        <v>0.979069767441861</v>
      </c>
      <c r="AY466" s="34" t="n">
        <f aca="false">IFERROR(AH466*AJ466*AX466,"")</f>
        <v>0.865284005979073</v>
      </c>
      <c r="AZ466" s="35" t="s">
        <v>78</v>
      </c>
    </row>
    <row r="467" customFormat="false" ht="12.75" hidden="false" customHeight="true" outlineLevel="0" collapsed="false">
      <c r="A467" s="24" t="n">
        <v>463</v>
      </c>
      <c r="B467" s="25" t="n">
        <v>46177</v>
      </c>
      <c r="C467" s="25" t="n">
        <v>12</v>
      </c>
      <c r="D467" s="26" t="s">
        <v>71</v>
      </c>
      <c r="E467" s="26" t="s">
        <v>72</v>
      </c>
      <c r="F467" s="26" t="s">
        <v>73</v>
      </c>
      <c r="G467" s="26" t="s">
        <v>8</v>
      </c>
      <c r="H467" s="27" t="n">
        <v>0.354166666666667</v>
      </c>
      <c r="I467" s="27" t="n">
        <v>0.854166666666667</v>
      </c>
      <c r="J467" s="26" t="n">
        <f aca="false">IFERROR((I467-H467)*24*60,"")</f>
        <v>720</v>
      </c>
      <c r="K467" s="26" t="s">
        <v>89</v>
      </c>
      <c r="L467" s="26" t="s">
        <v>106</v>
      </c>
      <c r="M467" s="26" t="s">
        <v>76</v>
      </c>
      <c r="N467" s="26" t="s">
        <v>77</v>
      </c>
      <c r="O467" s="26" t="n">
        <v>8</v>
      </c>
      <c r="P467" s="26" t="n">
        <v>47</v>
      </c>
      <c r="Q467" s="26" t="n">
        <f aca="false">IFERROR(3600/(P467/O467),"")</f>
        <v>612.765957446809</v>
      </c>
      <c r="R467" s="26" t="n">
        <v>6695</v>
      </c>
      <c r="S467" s="26" t="n">
        <v>37</v>
      </c>
      <c r="T467" s="26" t="n">
        <f aca="false">IFERROR(J467-S467,"")</f>
        <v>683</v>
      </c>
      <c r="U467" s="26"/>
      <c r="V467" s="26"/>
      <c r="W467" s="26"/>
      <c r="X467" s="26" t="n">
        <v>4</v>
      </c>
      <c r="Y467" s="26"/>
      <c r="Z467" s="26"/>
      <c r="AA467" s="26"/>
      <c r="AB467" s="26"/>
      <c r="AC467" s="26"/>
      <c r="AD467" s="26"/>
      <c r="AE467" s="26"/>
      <c r="AF467" s="26" t="n">
        <f aca="false">SUM(U467:AE467)</f>
        <v>4</v>
      </c>
      <c r="AG467" s="26" t="n">
        <f aca="false">T467-AF467</f>
        <v>679</v>
      </c>
      <c r="AH467" s="28" t="n">
        <f aca="false">IFERROR(AG467/T467,"")</f>
        <v>0.994143484626647</v>
      </c>
      <c r="AI467" s="29" t="n">
        <f aca="false">IFERROR(R467/AG467*60,"")</f>
        <v>591.60530191458</v>
      </c>
      <c r="AJ467" s="30" t="n">
        <f aca="false">IFERROR(AI467/Q467,"")</f>
        <v>0.965466985763378</v>
      </c>
      <c r="AK467" s="31" t="n">
        <f aca="false">IFERROR(R467/(T467/60*Q467),"")</f>
        <v>0.95981271351879</v>
      </c>
      <c r="AL467" s="26" t="n">
        <v>4</v>
      </c>
      <c r="AM467" s="26" t="n">
        <v>2</v>
      </c>
      <c r="AN467" s="26" t="n">
        <v>8</v>
      </c>
      <c r="AO467" s="26" t="n">
        <v>3</v>
      </c>
      <c r="AP467" s="26" t="n">
        <v>10</v>
      </c>
      <c r="AQ467" s="26" t="n">
        <v>8</v>
      </c>
      <c r="AR467" s="26" t="n">
        <v>7</v>
      </c>
      <c r="AS467" s="26" t="n">
        <v>5</v>
      </c>
      <c r="AT467" s="26" t="n">
        <v>2</v>
      </c>
      <c r="AU467" s="26" t="n">
        <v>6</v>
      </c>
      <c r="AV467" s="26" t="n">
        <f aca="false">SUM(AL467:AU467)</f>
        <v>55</v>
      </c>
      <c r="AW467" s="32" t="n">
        <f aca="false">IFERROR(AV467/R467*1000000,"")</f>
        <v>8215.0858849888</v>
      </c>
      <c r="AX467" s="33" t="n">
        <f aca="false">IFERROR((R467-AV467)/R467,"")</f>
        <v>0.991784914115011</v>
      </c>
      <c r="AY467" s="34" t="n">
        <f aca="false">IFERROR(AH467*AJ467*AX467,"")</f>
        <v>0.951927769643729</v>
      </c>
      <c r="AZ467" s="35" t="s">
        <v>86</v>
      </c>
    </row>
    <row r="468" customFormat="false" ht="12.75" hidden="false" customHeight="true" outlineLevel="0" collapsed="false">
      <c r="A468" s="24" t="n">
        <v>464</v>
      </c>
      <c r="B468" s="25" t="n">
        <v>46177</v>
      </c>
      <c r="C468" s="25" t="n">
        <v>12</v>
      </c>
      <c r="D468" s="26" t="s">
        <v>79</v>
      </c>
      <c r="E468" s="26" t="s">
        <v>80</v>
      </c>
      <c r="F468" s="26" t="s">
        <v>81</v>
      </c>
      <c r="G468" s="26" t="s">
        <v>9</v>
      </c>
      <c r="H468" s="27" t="n">
        <v>0.354166666666667</v>
      </c>
      <c r="I468" s="27" t="n">
        <v>0.854166666666667</v>
      </c>
      <c r="J468" s="26" t="n">
        <f aca="false">IFERROR((I468-H468)*24*60,"")</f>
        <v>720</v>
      </c>
      <c r="K468" s="26" t="s">
        <v>105</v>
      </c>
      <c r="L468" s="26" t="s">
        <v>102</v>
      </c>
      <c r="M468" s="26" t="s">
        <v>84</v>
      </c>
      <c r="N468" s="26" t="s">
        <v>85</v>
      </c>
      <c r="O468" s="26" t="n">
        <v>2</v>
      </c>
      <c r="P468" s="26" t="n">
        <v>44</v>
      </c>
      <c r="Q468" s="26" t="n">
        <f aca="false">IFERROR(3600/(P468/O468),"")</f>
        <v>163.636363636364</v>
      </c>
      <c r="R468" s="26" t="n">
        <v>1270</v>
      </c>
      <c r="S468" s="26" t="n">
        <v>36</v>
      </c>
      <c r="T468" s="26" t="n">
        <f aca="false">IFERROR(J468-S468,"")</f>
        <v>684</v>
      </c>
      <c r="U468" s="26"/>
      <c r="V468" s="26"/>
      <c r="W468" s="26"/>
      <c r="X468" s="26"/>
      <c r="Y468" s="26" t="n">
        <v>7</v>
      </c>
      <c r="Z468" s="26"/>
      <c r="AA468" s="26"/>
      <c r="AB468" s="26"/>
      <c r="AC468" s="26"/>
      <c r="AD468" s="26"/>
      <c r="AE468" s="26"/>
      <c r="AF468" s="26" t="n">
        <f aca="false">SUM(U468:AE468)</f>
        <v>7</v>
      </c>
      <c r="AG468" s="26" t="n">
        <f aca="false">T468-AF468</f>
        <v>677</v>
      </c>
      <c r="AH468" s="28" t="n">
        <f aca="false">IFERROR(AG468/T468,"")</f>
        <v>0.989766081871345</v>
      </c>
      <c r="AI468" s="29" t="n">
        <f aca="false">IFERROR(R468/AG468*60,"")</f>
        <v>112.555391432792</v>
      </c>
      <c r="AJ468" s="30" t="n">
        <f aca="false">IFERROR(AI468/Q468,"")</f>
        <v>0.687838503200394</v>
      </c>
      <c r="AK468" s="31" t="n">
        <f aca="false">IFERROR(R468/(T468/60*Q468),"")</f>
        <v>0.680799220272905</v>
      </c>
      <c r="AL468" s="26" t="n">
        <v>2</v>
      </c>
      <c r="AM468" s="26" t="n">
        <v>2</v>
      </c>
      <c r="AN468" s="26" t="n">
        <v>3</v>
      </c>
      <c r="AO468" s="26" t="n">
        <v>2</v>
      </c>
      <c r="AP468" s="26"/>
      <c r="AQ468" s="26" t="n">
        <v>1</v>
      </c>
      <c r="AR468" s="26" t="n">
        <v>1</v>
      </c>
      <c r="AS468" s="26"/>
      <c r="AT468" s="26"/>
      <c r="AU468" s="26" t="n">
        <v>1</v>
      </c>
      <c r="AV468" s="26" t="n">
        <f aca="false">SUM(AL468:AU468)</f>
        <v>12</v>
      </c>
      <c r="AW468" s="32" t="n">
        <f aca="false">IFERROR(AV468/R468*1000000,"")</f>
        <v>9448.8188976378</v>
      </c>
      <c r="AX468" s="33" t="n">
        <f aca="false">IFERROR((R468-AV468)/R468,"")</f>
        <v>0.990551181102362</v>
      </c>
      <c r="AY468" s="34" t="n">
        <f aca="false">IFERROR(AH468*AJ468*AX468,"")</f>
        <v>0.674366471734893</v>
      </c>
      <c r="AZ468" s="35" t="s">
        <v>86</v>
      </c>
    </row>
    <row r="469" customFormat="false" ht="12.75" hidden="false" customHeight="true" outlineLevel="0" collapsed="false">
      <c r="A469" s="24" t="n">
        <v>465</v>
      </c>
      <c r="B469" s="25" t="n">
        <v>46177</v>
      </c>
      <c r="C469" s="25" t="n">
        <v>12</v>
      </c>
      <c r="D469" s="26" t="s">
        <v>87</v>
      </c>
      <c r="E469" s="26" t="s">
        <v>88</v>
      </c>
      <c r="F469" s="26" t="s">
        <v>73</v>
      </c>
      <c r="G469" s="26" t="s">
        <v>10</v>
      </c>
      <c r="H469" s="27" t="n">
        <v>0.354166666666667</v>
      </c>
      <c r="I469" s="27" t="n">
        <v>0.854166666666667</v>
      </c>
      <c r="J469" s="26" t="n">
        <f aca="false">IFERROR((I469-H469)*24*60,"")</f>
        <v>720</v>
      </c>
      <c r="K469" s="26" t="s">
        <v>105</v>
      </c>
      <c r="L469" s="26" t="s">
        <v>75</v>
      </c>
      <c r="M469" s="26" t="s">
        <v>91</v>
      </c>
      <c r="N469" s="26" t="s">
        <v>92</v>
      </c>
      <c r="O469" s="26" t="n">
        <v>8</v>
      </c>
      <c r="P469" s="26" t="n">
        <v>55</v>
      </c>
      <c r="Q469" s="26" t="n">
        <f aca="false">IFERROR(3600/(P469/O469),"")</f>
        <v>523.636363636364</v>
      </c>
      <c r="R469" s="26" t="n">
        <v>4189</v>
      </c>
      <c r="S469" s="26" t="n">
        <v>70</v>
      </c>
      <c r="T469" s="26" t="n">
        <f aca="false">IFERROR(J469-S469,"")</f>
        <v>650</v>
      </c>
      <c r="U469" s="26"/>
      <c r="V469" s="26"/>
      <c r="W469" s="26"/>
      <c r="X469" s="26" t="n">
        <v>7</v>
      </c>
      <c r="Y469" s="26"/>
      <c r="Z469" s="26"/>
      <c r="AA469" s="26"/>
      <c r="AB469" s="26"/>
      <c r="AC469" s="26"/>
      <c r="AD469" s="26"/>
      <c r="AE469" s="26" t="n">
        <v>11</v>
      </c>
      <c r="AF469" s="26" t="n">
        <f aca="false">SUM(U469:AE469)</f>
        <v>18</v>
      </c>
      <c r="AG469" s="26" t="n">
        <f aca="false">T469-AF469</f>
        <v>632</v>
      </c>
      <c r="AH469" s="28" t="n">
        <f aca="false">IFERROR(AG469/T469,"")</f>
        <v>0.972307692307692</v>
      </c>
      <c r="AI469" s="29" t="n">
        <f aca="false">IFERROR(R469/AG469*60,"")</f>
        <v>397.689873417722</v>
      </c>
      <c r="AJ469" s="30" t="n">
        <f aca="false">IFERROR(AI469/Q469,"")</f>
        <v>0.759477188818565</v>
      </c>
      <c r="AK469" s="31" t="n">
        <f aca="false">IFERROR(R469/(T469/60*Q469),"")</f>
        <v>0.738445512820513</v>
      </c>
      <c r="AL469" s="26" t="n">
        <v>4</v>
      </c>
      <c r="AM469" s="26" t="n">
        <v>7</v>
      </c>
      <c r="AN469" s="26" t="n">
        <v>5</v>
      </c>
      <c r="AO469" s="26" t="n">
        <v>5</v>
      </c>
      <c r="AP469" s="26" t="n">
        <v>10</v>
      </c>
      <c r="AQ469" s="26" t="n">
        <v>13</v>
      </c>
      <c r="AR469" s="26" t="n">
        <v>1</v>
      </c>
      <c r="AS469" s="26" t="n">
        <v>9</v>
      </c>
      <c r="AT469" s="26" t="n">
        <v>7</v>
      </c>
      <c r="AU469" s="26" t="n">
        <v>6</v>
      </c>
      <c r="AV469" s="26" t="n">
        <f aca="false">SUM(AL469:AU469)</f>
        <v>67</v>
      </c>
      <c r="AW469" s="32" t="n">
        <f aca="false">IFERROR(AV469/R469*1000000,"")</f>
        <v>15994.2707089998</v>
      </c>
      <c r="AX469" s="33" t="n">
        <f aca="false">IFERROR((R469-AV469)/R469,"")</f>
        <v>0.984005729291</v>
      </c>
      <c r="AY469" s="34" t="n">
        <f aca="false">IFERROR(AH469*AJ469*AX469,"")</f>
        <v>0.726634615384616</v>
      </c>
      <c r="AZ469" s="35" t="s">
        <v>86</v>
      </c>
    </row>
    <row r="470" customFormat="false" ht="12.75" hidden="false" customHeight="true" outlineLevel="0" collapsed="false">
      <c r="A470" s="24" t="n">
        <v>466</v>
      </c>
      <c r="B470" s="25" t="n">
        <v>46178</v>
      </c>
      <c r="C470" s="25" t="n">
        <v>12</v>
      </c>
      <c r="D470" s="26" t="s">
        <v>71</v>
      </c>
      <c r="E470" s="26" t="s">
        <v>94</v>
      </c>
      <c r="F470" s="26" t="s">
        <v>81</v>
      </c>
      <c r="G470" s="26" t="s">
        <v>11</v>
      </c>
      <c r="H470" s="27" t="n">
        <v>0.354166666666667</v>
      </c>
      <c r="I470" s="27" t="n">
        <v>0.854166666666667</v>
      </c>
      <c r="J470" s="26" t="n">
        <f aca="false">IFERROR((I470-H470)*24*60,"")</f>
        <v>720</v>
      </c>
      <c r="K470" s="26" t="s">
        <v>74</v>
      </c>
      <c r="L470" s="26" t="s">
        <v>106</v>
      </c>
      <c r="M470" s="26" t="s">
        <v>95</v>
      </c>
      <c r="N470" s="26" t="s">
        <v>96</v>
      </c>
      <c r="O470" s="26" t="n">
        <v>2</v>
      </c>
      <c r="P470" s="26" t="n">
        <v>50</v>
      </c>
      <c r="Q470" s="26" t="n">
        <f aca="false">IFERROR(3600/(P470/O470),"")</f>
        <v>144</v>
      </c>
      <c r="R470" s="26" t="n">
        <v>1087</v>
      </c>
      <c r="S470" s="26" t="n">
        <v>37</v>
      </c>
      <c r="T470" s="26" t="n">
        <f aca="false">IFERROR(J470-S470,"")</f>
        <v>683</v>
      </c>
      <c r="U470" s="26"/>
      <c r="V470" s="26"/>
      <c r="W470" s="26"/>
      <c r="X470" s="26" t="n">
        <v>15</v>
      </c>
      <c r="Y470" s="26"/>
      <c r="Z470" s="26"/>
      <c r="AA470" s="26"/>
      <c r="AB470" s="26"/>
      <c r="AC470" s="26"/>
      <c r="AD470" s="26"/>
      <c r="AE470" s="26"/>
      <c r="AF470" s="26" t="n">
        <f aca="false">SUM(U470:AE470)</f>
        <v>15</v>
      </c>
      <c r="AG470" s="26" t="n">
        <f aca="false">T470-AF470</f>
        <v>668</v>
      </c>
      <c r="AH470" s="28" t="n">
        <f aca="false">IFERROR(AG470/T470,"")</f>
        <v>0.978038067349927</v>
      </c>
      <c r="AI470" s="29" t="n">
        <f aca="false">IFERROR(R470/AG470*60,"")</f>
        <v>97.6347305389222</v>
      </c>
      <c r="AJ470" s="30" t="n">
        <f aca="false">IFERROR(AI470/Q470,"")</f>
        <v>0.678018962075848</v>
      </c>
      <c r="AK470" s="31" t="n">
        <f aca="false">IFERROR(R470/(T470/60*Q470),"")</f>
        <v>0.663128355295266</v>
      </c>
      <c r="AL470" s="26" t="n">
        <v>2</v>
      </c>
      <c r="AM470" s="26" t="n">
        <v>1</v>
      </c>
      <c r="AN470" s="26" t="n">
        <v>3</v>
      </c>
      <c r="AO470" s="26" t="n">
        <v>1</v>
      </c>
      <c r="AP470" s="26" t="n">
        <v>1</v>
      </c>
      <c r="AQ470" s="26" t="n">
        <v>1</v>
      </c>
      <c r="AR470" s="26" t="n">
        <v>2</v>
      </c>
      <c r="AS470" s="26" t="n">
        <v>3</v>
      </c>
      <c r="AT470" s="26" t="n">
        <v>7</v>
      </c>
      <c r="AU470" s="26" t="n">
        <v>1</v>
      </c>
      <c r="AV470" s="26" t="n">
        <f aca="false">SUM(AL470:AU470)</f>
        <v>22</v>
      </c>
      <c r="AW470" s="32" t="n">
        <f aca="false">IFERROR(AV470/R470*1000000,"")</f>
        <v>20239.1904323827</v>
      </c>
      <c r="AX470" s="33" t="n">
        <f aca="false">IFERROR((R470-AV470)/R470,"")</f>
        <v>0.979760809567617</v>
      </c>
      <c r="AY470" s="34" t="n">
        <f aca="false">IFERROR(AH470*AJ470*AX470,"")</f>
        <v>0.649707174231332</v>
      </c>
      <c r="AZ470" s="35" t="s">
        <v>78</v>
      </c>
    </row>
    <row r="471" customFormat="false" ht="12.75" hidden="false" customHeight="true" outlineLevel="0" collapsed="false">
      <c r="A471" s="24" t="n">
        <v>467</v>
      </c>
      <c r="B471" s="25" t="n">
        <v>46178</v>
      </c>
      <c r="C471" s="25" t="n">
        <v>12</v>
      </c>
      <c r="D471" s="26" t="s">
        <v>79</v>
      </c>
      <c r="E471" s="26" t="s">
        <v>97</v>
      </c>
      <c r="F471" s="26" t="s">
        <v>73</v>
      </c>
      <c r="G471" s="26" t="s">
        <v>12</v>
      </c>
      <c r="H471" s="27" t="n">
        <v>0.354166666666667</v>
      </c>
      <c r="I471" s="27" t="n">
        <v>0.854166666666667</v>
      </c>
      <c r="J471" s="26" t="n">
        <f aca="false">IFERROR((I471-H471)*24*60,"")</f>
        <v>720</v>
      </c>
      <c r="K471" s="26" t="s">
        <v>89</v>
      </c>
      <c r="L471" s="26" t="s">
        <v>102</v>
      </c>
      <c r="M471" s="26" t="s">
        <v>99</v>
      </c>
      <c r="N471" s="26" t="s">
        <v>100</v>
      </c>
      <c r="O471" s="26" t="n">
        <v>1</v>
      </c>
      <c r="P471" s="26" t="n">
        <v>52</v>
      </c>
      <c r="Q471" s="26" t="n">
        <f aca="false">IFERROR(3600/(P471/O471),"")</f>
        <v>69.2307692307692</v>
      </c>
      <c r="R471" s="26" t="n">
        <v>696</v>
      </c>
      <c r="S471" s="26" t="n">
        <v>50</v>
      </c>
      <c r="T471" s="26" t="n">
        <f aca="false">IFERROR(J471-S471,"")</f>
        <v>670</v>
      </c>
      <c r="U471" s="26"/>
      <c r="V471" s="26"/>
      <c r="W471" s="26"/>
      <c r="X471" s="26"/>
      <c r="Y471" s="26"/>
      <c r="Z471" s="26" t="n">
        <v>6</v>
      </c>
      <c r="AA471" s="26"/>
      <c r="AB471" s="26"/>
      <c r="AC471" s="26"/>
      <c r="AD471" s="26"/>
      <c r="AE471" s="26" t="n">
        <v>8</v>
      </c>
      <c r="AF471" s="26" t="n">
        <f aca="false">SUM(U471:AE471)</f>
        <v>14</v>
      </c>
      <c r="AG471" s="26" t="n">
        <f aca="false">T471-AF471</f>
        <v>656</v>
      </c>
      <c r="AH471" s="28" t="n">
        <f aca="false">IFERROR(AG471/T471,"")</f>
        <v>0.97910447761194</v>
      </c>
      <c r="AI471" s="29" t="n">
        <f aca="false">IFERROR(R471/AG471*60,"")</f>
        <v>63.6585365853659</v>
      </c>
      <c r="AJ471" s="30" t="n">
        <f aca="false">IFERROR(AI471/Q471,"")</f>
        <v>0.919512195121951</v>
      </c>
      <c r="AK471" s="31" t="n">
        <f aca="false">IFERROR(R471/(T471/60*Q471),"")</f>
        <v>0.900298507462687</v>
      </c>
      <c r="AL471" s="26" t="n">
        <v>1</v>
      </c>
      <c r="AM471" s="26" t="n">
        <v>2</v>
      </c>
      <c r="AN471" s="26"/>
      <c r="AO471" s="26" t="n">
        <v>1</v>
      </c>
      <c r="AP471" s="26" t="n">
        <v>2</v>
      </c>
      <c r="AQ471" s="26" t="n">
        <v>1</v>
      </c>
      <c r="AR471" s="26" t="n">
        <v>1</v>
      </c>
      <c r="AS471" s="26" t="n">
        <v>2</v>
      </c>
      <c r="AT471" s="26" t="n">
        <v>2</v>
      </c>
      <c r="AU471" s="26" t="n">
        <v>1</v>
      </c>
      <c r="AV471" s="26" t="n">
        <f aca="false">SUM(AL471:AU471)</f>
        <v>13</v>
      </c>
      <c r="AW471" s="32" t="n">
        <f aca="false">IFERROR(AV471/R471*1000000,"")</f>
        <v>18678.1609195402</v>
      </c>
      <c r="AX471" s="33" t="n">
        <f aca="false">IFERROR((R471-AV471)/R471,"")</f>
        <v>0.98132183908046</v>
      </c>
      <c r="AY471" s="34" t="n">
        <f aca="false">IFERROR(AH471*AJ471*AX471,"")</f>
        <v>0.883482587064677</v>
      </c>
      <c r="AZ471" s="35" t="s">
        <v>78</v>
      </c>
    </row>
    <row r="472" customFormat="false" ht="12.75" hidden="false" customHeight="true" outlineLevel="0" collapsed="false">
      <c r="A472" s="24" t="n">
        <v>468</v>
      </c>
      <c r="B472" s="25" t="n">
        <v>46178</v>
      </c>
      <c r="C472" s="25" t="n">
        <v>12</v>
      </c>
      <c r="D472" s="26" t="s">
        <v>87</v>
      </c>
      <c r="E472" s="26" t="s">
        <v>101</v>
      </c>
      <c r="F472" s="26" t="s">
        <v>81</v>
      </c>
      <c r="G472" s="26" t="s">
        <v>13</v>
      </c>
      <c r="H472" s="27" t="n">
        <v>0.354166666666667</v>
      </c>
      <c r="I472" s="27" t="n">
        <v>0.854166666666667</v>
      </c>
      <c r="J472" s="26" t="n">
        <f aca="false">IFERROR((I472-H472)*24*60,"")</f>
        <v>720</v>
      </c>
      <c r="K472" s="26" t="s">
        <v>74</v>
      </c>
      <c r="L472" s="26" t="s">
        <v>106</v>
      </c>
      <c r="M472" s="26" t="s">
        <v>103</v>
      </c>
      <c r="N472" s="26" t="s">
        <v>104</v>
      </c>
      <c r="O472" s="26" t="n">
        <v>8</v>
      </c>
      <c r="P472" s="26" t="n">
        <v>34</v>
      </c>
      <c r="Q472" s="26" t="n">
        <f aca="false">IFERROR(3600/(P472/O472),"")</f>
        <v>847.058823529412</v>
      </c>
      <c r="R472" s="26" t="n">
        <v>7677</v>
      </c>
      <c r="S472" s="26" t="n">
        <v>60</v>
      </c>
      <c r="T472" s="26" t="n">
        <f aca="false">IFERROR(J472-S472,"")</f>
        <v>660</v>
      </c>
      <c r="U472" s="26"/>
      <c r="V472" s="26" t="n">
        <v>21</v>
      </c>
      <c r="W472" s="26"/>
      <c r="X472" s="26" t="n">
        <v>12</v>
      </c>
      <c r="Y472" s="26"/>
      <c r="Z472" s="26"/>
      <c r="AA472" s="26"/>
      <c r="AB472" s="26"/>
      <c r="AC472" s="26"/>
      <c r="AD472" s="26"/>
      <c r="AE472" s="26"/>
      <c r="AF472" s="26" t="n">
        <f aca="false">SUM(U472:AE472)</f>
        <v>33</v>
      </c>
      <c r="AG472" s="26" t="n">
        <f aca="false">T472-AF472</f>
        <v>627</v>
      </c>
      <c r="AH472" s="28" t="n">
        <f aca="false">IFERROR(AG472/T472,"")</f>
        <v>0.95</v>
      </c>
      <c r="AI472" s="29" t="n">
        <f aca="false">IFERROR(R472/AG472*60,"")</f>
        <v>734.641148325359</v>
      </c>
      <c r="AJ472" s="30" t="n">
        <f aca="false">IFERROR(AI472/Q472,"")</f>
        <v>0.867284688995215</v>
      </c>
      <c r="AK472" s="31" t="n">
        <f aca="false">IFERROR(R472/(T472/60*Q472),"")</f>
        <v>0.823920454545455</v>
      </c>
      <c r="AL472" s="26" t="n">
        <v>5</v>
      </c>
      <c r="AM472" s="26" t="n">
        <v>3</v>
      </c>
      <c r="AN472" s="26" t="n">
        <v>3</v>
      </c>
      <c r="AO472" s="26" t="n">
        <v>2</v>
      </c>
      <c r="AP472" s="26" t="n">
        <v>7</v>
      </c>
      <c r="AQ472" s="26" t="n">
        <v>4</v>
      </c>
      <c r="AR472" s="26" t="n">
        <v>5</v>
      </c>
      <c r="AS472" s="26" t="n">
        <v>3</v>
      </c>
      <c r="AT472" s="26" t="n">
        <v>7</v>
      </c>
      <c r="AU472" s="26" t="n">
        <v>13</v>
      </c>
      <c r="AV472" s="26" t="n">
        <f aca="false">SUM(AL472:AU472)</f>
        <v>52</v>
      </c>
      <c r="AW472" s="32" t="n">
        <f aca="false">IFERROR(AV472/R472*1000000,"")</f>
        <v>6773.47922365507</v>
      </c>
      <c r="AX472" s="33" t="n">
        <f aca="false">IFERROR((R472-AV472)/R472,"")</f>
        <v>0.993226520776345</v>
      </c>
      <c r="AY472" s="34" t="n">
        <f aca="false">IFERROR(AH472*AJ472*AX472,"")</f>
        <v>0.818339646464646</v>
      </c>
      <c r="AZ472" s="35"/>
    </row>
    <row r="473" customFormat="false" ht="12.75" hidden="false" customHeight="true" outlineLevel="0" collapsed="false">
      <c r="A473" s="24" t="n">
        <v>469</v>
      </c>
      <c r="B473" s="25" t="n">
        <v>46179</v>
      </c>
      <c r="C473" s="25" t="n">
        <v>12</v>
      </c>
      <c r="D473" s="26" t="s">
        <v>71</v>
      </c>
      <c r="E473" s="26" t="s">
        <v>72</v>
      </c>
      <c r="F473" s="26" t="s">
        <v>73</v>
      </c>
      <c r="G473" s="26" t="s">
        <v>8</v>
      </c>
      <c r="H473" s="27" t="n">
        <v>0.354166666666667</v>
      </c>
      <c r="I473" s="27" t="n">
        <v>0.854166666666667</v>
      </c>
      <c r="J473" s="26" t="n">
        <f aca="false">IFERROR((I473-H473)*24*60,"")</f>
        <v>720</v>
      </c>
      <c r="K473" s="26" t="s">
        <v>89</v>
      </c>
      <c r="L473" s="26" t="s">
        <v>102</v>
      </c>
      <c r="M473" s="26" t="s">
        <v>76</v>
      </c>
      <c r="N473" s="26" t="s">
        <v>77</v>
      </c>
      <c r="O473" s="26" t="n">
        <v>2</v>
      </c>
      <c r="P473" s="26" t="n">
        <v>57</v>
      </c>
      <c r="Q473" s="26" t="n">
        <f aca="false">IFERROR(3600/(P473/O473),"")</f>
        <v>126.315789473684</v>
      </c>
      <c r="R473" s="26" t="n">
        <v>1249</v>
      </c>
      <c r="S473" s="26" t="n">
        <v>51</v>
      </c>
      <c r="T473" s="26" t="n">
        <f aca="false">IFERROR(J473-S473,"")</f>
        <v>669</v>
      </c>
      <c r="U473" s="26"/>
      <c r="V473" s="26" t="n">
        <v>7</v>
      </c>
      <c r="W473" s="26" t="n">
        <v>4</v>
      </c>
      <c r="X473" s="26"/>
      <c r="Y473" s="26"/>
      <c r="Z473" s="26"/>
      <c r="AA473" s="26"/>
      <c r="AB473" s="26" t="n">
        <v>43</v>
      </c>
      <c r="AC473" s="26"/>
      <c r="AD473" s="26"/>
      <c r="AE473" s="26"/>
      <c r="AF473" s="26" t="n">
        <f aca="false">SUM(U473:AE473)</f>
        <v>54</v>
      </c>
      <c r="AG473" s="26" t="n">
        <f aca="false">T473-AF473</f>
        <v>615</v>
      </c>
      <c r="AH473" s="28" t="n">
        <f aca="false">IFERROR(AG473/T473,"")</f>
        <v>0.919282511210762</v>
      </c>
      <c r="AI473" s="29" t="n">
        <f aca="false">IFERROR(R473/AG473*60,"")</f>
        <v>121.853658536585</v>
      </c>
      <c r="AJ473" s="30" t="n">
        <f aca="false">IFERROR(AI473/Q473,"")</f>
        <v>0.964674796747967</v>
      </c>
      <c r="AK473" s="31" t="n">
        <f aca="false">IFERROR(R473/(T473/60*Q473),"")</f>
        <v>0.886808669656203</v>
      </c>
      <c r="AL473" s="26" t="n">
        <v>1</v>
      </c>
      <c r="AM473" s="26" t="n">
        <v>3</v>
      </c>
      <c r="AN473" s="26" t="n">
        <v>1</v>
      </c>
      <c r="AO473" s="26" t="n">
        <v>2</v>
      </c>
      <c r="AP473" s="26" t="n">
        <v>4</v>
      </c>
      <c r="AQ473" s="26" t="n">
        <v>2</v>
      </c>
      <c r="AR473" s="26"/>
      <c r="AS473" s="26" t="n">
        <v>3</v>
      </c>
      <c r="AT473" s="26" t="n">
        <v>4</v>
      </c>
      <c r="AU473" s="26" t="n">
        <v>3</v>
      </c>
      <c r="AV473" s="26" t="n">
        <f aca="false">SUM(AL473:AU473)</f>
        <v>23</v>
      </c>
      <c r="AW473" s="32" t="n">
        <f aca="false">IFERROR(AV473/R473*1000000,"")</f>
        <v>18414.7317854283</v>
      </c>
      <c r="AX473" s="33" t="n">
        <f aca="false">IFERROR((R473-AV473)/R473,"")</f>
        <v>0.981585268214572</v>
      </c>
      <c r="AY473" s="34" t="n">
        <f aca="false">IFERROR(AH473*AJ473*AX473,"")</f>
        <v>0.870478325859492</v>
      </c>
      <c r="AZ473" s="35" t="s">
        <v>86</v>
      </c>
    </row>
    <row r="474" customFormat="false" ht="12.75" hidden="false" customHeight="true" outlineLevel="0" collapsed="false">
      <c r="A474" s="24" t="n">
        <v>470</v>
      </c>
      <c r="B474" s="25" t="n">
        <v>46179</v>
      </c>
      <c r="C474" s="25" t="n">
        <v>12</v>
      </c>
      <c r="D474" s="26" t="s">
        <v>79</v>
      </c>
      <c r="E474" s="26" t="s">
        <v>80</v>
      </c>
      <c r="F474" s="26" t="s">
        <v>81</v>
      </c>
      <c r="G474" s="26" t="s">
        <v>9</v>
      </c>
      <c r="H474" s="27" t="n">
        <v>0.354166666666667</v>
      </c>
      <c r="I474" s="27" t="n">
        <v>0.854166666666667</v>
      </c>
      <c r="J474" s="26" t="n">
        <f aca="false">IFERROR((I474-H474)*24*60,"")</f>
        <v>720</v>
      </c>
      <c r="K474" s="26" t="s">
        <v>74</v>
      </c>
      <c r="L474" s="26" t="s">
        <v>102</v>
      </c>
      <c r="M474" s="26" t="s">
        <v>84</v>
      </c>
      <c r="N474" s="26" t="s">
        <v>85</v>
      </c>
      <c r="O474" s="26" t="n">
        <v>1</v>
      </c>
      <c r="P474" s="26" t="n">
        <v>29</v>
      </c>
      <c r="Q474" s="26" t="n">
        <f aca="false">IFERROR(3600/(P474/O474),"")</f>
        <v>124.137931034483</v>
      </c>
      <c r="R474" s="26" t="n">
        <v>963</v>
      </c>
      <c r="S474" s="26" t="n">
        <v>63</v>
      </c>
      <c r="T474" s="26" t="n">
        <f aca="false">IFERROR(J474-S474,"")</f>
        <v>657</v>
      </c>
      <c r="U474" s="26" t="n">
        <v>23</v>
      </c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 t="n">
        <f aca="false">SUM(U474:AE474)</f>
        <v>23</v>
      </c>
      <c r="AG474" s="26" t="n">
        <f aca="false">T474-AF474</f>
        <v>634</v>
      </c>
      <c r="AH474" s="28" t="n">
        <f aca="false">IFERROR(AG474/T474,"")</f>
        <v>0.964992389649924</v>
      </c>
      <c r="AI474" s="29" t="n">
        <f aca="false">IFERROR(R474/AG474*60,"")</f>
        <v>91.1356466876972</v>
      </c>
      <c r="AJ474" s="30" t="n">
        <f aca="false">IFERROR(AI474/Q474,"")</f>
        <v>0.734148264984227</v>
      </c>
      <c r="AK474" s="31" t="n">
        <f aca="false">IFERROR(R474/(T474/60*Q474),"")</f>
        <v>0.708447488584475</v>
      </c>
      <c r="AL474" s="26"/>
      <c r="AM474" s="26" t="n">
        <v>2</v>
      </c>
      <c r="AN474" s="26"/>
      <c r="AO474" s="26"/>
      <c r="AP474" s="26"/>
      <c r="AQ474" s="26" t="n">
        <v>1</v>
      </c>
      <c r="AR474" s="26" t="n">
        <v>1</v>
      </c>
      <c r="AS474" s="26"/>
      <c r="AT474" s="26" t="n">
        <v>2</v>
      </c>
      <c r="AU474" s="26"/>
      <c r="AV474" s="26" t="n">
        <f aca="false">SUM(AL474:AU474)</f>
        <v>6</v>
      </c>
      <c r="AW474" s="32" t="n">
        <f aca="false">IFERROR(AV474/R474*1000000,"")</f>
        <v>6230.52959501558</v>
      </c>
      <c r="AX474" s="33" t="n">
        <f aca="false">IFERROR((R474-AV474)/R474,"")</f>
        <v>0.993769470404984</v>
      </c>
      <c r="AY474" s="34" t="n">
        <f aca="false">IFERROR(AH474*AJ474*AX474,"")</f>
        <v>0.704033485540335</v>
      </c>
      <c r="AZ474" s="35" t="s">
        <v>78</v>
      </c>
    </row>
    <row r="475" customFormat="false" ht="12.75" hidden="false" customHeight="true" outlineLevel="0" collapsed="false">
      <c r="A475" s="24" t="n">
        <v>471</v>
      </c>
      <c r="B475" s="25" t="n">
        <v>46179</v>
      </c>
      <c r="C475" s="25" t="n">
        <v>12</v>
      </c>
      <c r="D475" s="26" t="s">
        <v>87</v>
      </c>
      <c r="E475" s="26" t="s">
        <v>88</v>
      </c>
      <c r="F475" s="26" t="s">
        <v>73</v>
      </c>
      <c r="G475" s="26" t="s">
        <v>10</v>
      </c>
      <c r="H475" s="27" t="n">
        <v>0.354166666666667</v>
      </c>
      <c r="I475" s="27" t="n">
        <v>0.854166666666667</v>
      </c>
      <c r="J475" s="26" t="n">
        <f aca="false">IFERROR((I475-H475)*24*60,"")</f>
        <v>720</v>
      </c>
      <c r="K475" s="26" t="s">
        <v>89</v>
      </c>
      <c r="L475" s="26" t="s">
        <v>90</v>
      </c>
      <c r="M475" s="26" t="s">
        <v>91</v>
      </c>
      <c r="N475" s="26" t="s">
        <v>92</v>
      </c>
      <c r="O475" s="26" t="n">
        <v>1</v>
      </c>
      <c r="P475" s="26" t="n">
        <v>25</v>
      </c>
      <c r="Q475" s="26" t="n">
        <f aca="false">IFERROR(3600/(P475/O475),"")</f>
        <v>144</v>
      </c>
      <c r="R475" s="26" t="n">
        <v>1433</v>
      </c>
      <c r="S475" s="26" t="n">
        <v>47</v>
      </c>
      <c r="T475" s="26" t="n">
        <f aca="false">IFERROR(J475-S475,"")</f>
        <v>673</v>
      </c>
      <c r="U475" s="26"/>
      <c r="V475" s="26" t="n">
        <v>16</v>
      </c>
      <c r="W475" s="26" t="n">
        <v>13</v>
      </c>
      <c r="X475" s="26"/>
      <c r="Y475" s="26"/>
      <c r="Z475" s="26"/>
      <c r="AA475" s="26"/>
      <c r="AB475" s="26"/>
      <c r="AC475" s="26"/>
      <c r="AD475" s="26" t="n">
        <v>24</v>
      </c>
      <c r="AE475" s="26"/>
      <c r="AF475" s="26" t="n">
        <f aca="false">SUM(U475:AE475)</f>
        <v>53</v>
      </c>
      <c r="AG475" s="26" t="n">
        <f aca="false">T475-AF475</f>
        <v>620</v>
      </c>
      <c r="AH475" s="28" t="n">
        <f aca="false">IFERROR(AG475/T475,"")</f>
        <v>0.921248142644874</v>
      </c>
      <c r="AI475" s="29" t="n">
        <f aca="false">IFERROR(R475/AG475*60,"")</f>
        <v>138.677419354839</v>
      </c>
      <c r="AJ475" s="30" t="n">
        <f aca="false">IFERROR(AI475/Q475,"")</f>
        <v>0.963037634408602</v>
      </c>
      <c r="AK475" s="31" t="n">
        <f aca="false">IFERROR(R475/(T475/60*Q475),"")</f>
        <v>0.887196631996038</v>
      </c>
      <c r="AL475" s="26" t="n">
        <v>2</v>
      </c>
      <c r="AM475" s="26" t="n">
        <v>1</v>
      </c>
      <c r="AN475" s="26" t="n">
        <v>1</v>
      </c>
      <c r="AO475" s="26" t="n">
        <v>2</v>
      </c>
      <c r="AP475" s="26"/>
      <c r="AQ475" s="26" t="n">
        <v>4</v>
      </c>
      <c r="AR475" s="26" t="n">
        <v>2</v>
      </c>
      <c r="AS475" s="26"/>
      <c r="AT475" s="26" t="n">
        <v>3</v>
      </c>
      <c r="AU475" s="26" t="n">
        <v>2</v>
      </c>
      <c r="AV475" s="26" t="n">
        <f aca="false">SUM(AL475:AU475)</f>
        <v>17</v>
      </c>
      <c r="AW475" s="32" t="n">
        <f aca="false">IFERROR(AV475/R475*1000000,"")</f>
        <v>11863.2240055827</v>
      </c>
      <c r="AX475" s="33" t="n">
        <f aca="false">IFERROR((R475-AV475)/R475,"")</f>
        <v>0.988136775994417</v>
      </c>
      <c r="AY475" s="34" t="n">
        <f aca="false">IFERROR(AH475*AJ475*AX475,"")</f>
        <v>0.87667161961367</v>
      </c>
      <c r="AZ475" s="35" t="s">
        <v>93</v>
      </c>
    </row>
    <row r="476" customFormat="false" ht="12.75" hidden="false" customHeight="true" outlineLevel="0" collapsed="false">
      <c r="A476" s="24" t="n">
        <v>472</v>
      </c>
      <c r="B476" s="25" t="n">
        <v>46180</v>
      </c>
      <c r="C476" s="25" t="n">
        <v>12</v>
      </c>
      <c r="D476" s="26" t="s">
        <v>71</v>
      </c>
      <c r="E476" s="26" t="s">
        <v>94</v>
      </c>
      <c r="F476" s="26" t="s">
        <v>81</v>
      </c>
      <c r="G476" s="26" t="s">
        <v>11</v>
      </c>
      <c r="H476" s="27" t="n">
        <v>0.354166666666667</v>
      </c>
      <c r="I476" s="27" t="n">
        <v>0.854166666666667</v>
      </c>
      <c r="J476" s="26" t="n">
        <f aca="false">IFERROR((I476-H476)*24*60,"")</f>
        <v>720</v>
      </c>
      <c r="K476" s="26" t="s">
        <v>89</v>
      </c>
      <c r="L476" s="26" t="s">
        <v>90</v>
      </c>
      <c r="M476" s="26" t="s">
        <v>95</v>
      </c>
      <c r="N476" s="26" t="s">
        <v>96</v>
      </c>
      <c r="O476" s="26" t="n">
        <v>8</v>
      </c>
      <c r="P476" s="26" t="n">
        <v>25</v>
      </c>
      <c r="Q476" s="26" t="n">
        <f aca="false">IFERROR(3600/(P476/O476),"")</f>
        <v>1152</v>
      </c>
      <c r="R476" s="26" t="n">
        <v>12095</v>
      </c>
      <c r="S476" s="26" t="n">
        <v>42</v>
      </c>
      <c r="T476" s="26" t="n">
        <f aca="false">IFERROR(J476-S476,"")</f>
        <v>678</v>
      </c>
      <c r="U476" s="26"/>
      <c r="V476" s="26"/>
      <c r="W476" s="26"/>
      <c r="X476" s="26"/>
      <c r="Y476" s="26"/>
      <c r="Z476" s="26"/>
      <c r="AA476" s="26"/>
      <c r="AB476" s="26"/>
      <c r="AC476" s="26"/>
      <c r="AD476" s="26" t="n">
        <v>4</v>
      </c>
      <c r="AE476" s="26"/>
      <c r="AF476" s="26" t="n">
        <f aca="false">SUM(U476:AE476)</f>
        <v>4</v>
      </c>
      <c r="AG476" s="26" t="n">
        <f aca="false">T476-AF476</f>
        <v>674</v>
      </c>
      <c r="AH476" s="28" t="n">
        <f aca="false">IFERROR(AG476/T476,"")</f>
        <v>0.994100294985251</v>
      </c>
      <c r="AI476" s="29" t="n">
        <f aca="false">IFERROR(R476/AG476*60,"")</f>
        <v>1076.70623145401</v>
      </c>
      <c r="AJ476" s="30" t="n">
        <f aca="false">IFERROR(AI476/Q476,"")</f>
        <v>0.934640825914936</v>
      </c>
      <c r="AK476" s="31" t="n">
        <f aca="false">IFERROR(R476/(T476/60*Q476),"")</f>
        <v>0.929126720747296</v>
      </c>
      <c r="AL476" s="26" t="n">
        <v>8</v>
      </c>
      <c r="AM476" s="26" t="n">
        <v>10</v>
      </c>
      <c r="AN476" s="26" t="n">
        <v>7</v>
      </c>
      <c r="AO476" s="26" t="n">
        <v>13</v>
      </c>
      <c r="AP476" s="26" t="n">
        <v>5</v>
      </c>
      <c r="AQ476" s="26" t="n">
        <v>13</v>
      </c>
      <c r="AR476" s="26" t="n">
        <v>10</v>
      </c>
      <c r="AS476" s="26" t="n">
        <v>8</v>
      </c>
      <c r="AT476" s="26" t="n">
        <v>8</v>
      </c>
      <c r="AU476" s="26" t="n">
        <v>9</v>
      </c>
      <c r="AV476" s="26" t="n">
        <f aca="false">SUM(AL476:AU476)</f>
        <v>91</v>
      </c>
      <c r="AW476" s="32" t="n">
        <f aca="false">IFERROR(AV476/R476*1000000,"")</f>
        <v>7523.77015295577</v>
      </c>
      <c r="AX476" s="33" t="n">
        <f aca="false">IFERROR((R476-AV476)/R476,"")</f>
        <v>0.992476229847044</v>
      </c>
      <c r="AY476" s="34" t="n">
        <f aca="false">IFERROR(AH476*AJ476*AX476,"")</f>
        <v>0.922136184857424</v>
      </c>
      <c r="AZ476" s="35" t="s">
        <v>86</v>
      </c>
    </row>
    <row r="477" customFormat="false" ht="12.75" hidden="false" customHeight="true" outlineLevel="0" collapsed="false">
      <c r="A477" s="24" t="n">
        <v>473</v>
      </c>
      <c r="B477" s="25" t="n">
        <v>46180</v>
      </c>
      <c r="C477" s="25" t="n">
        <v>12</v>
      </c>
      <c r="D477" s="26" t="s">
        <v>79</v>
      </c>
      <c r="E477" s="26" t="s">
        <v>97</v>
      </c>
      <c r="F477" s="26" t="s">
        <v>73</v>
      </c>
      <c r="G477" s="26" t="s">
        <v>12</v>
      </c>
      <c r="H477" s="27" t="n">
        <v>0.354166666666667</v>
      </c>
      <c r="I477" s="27" t="n">
        <v>0.854166666666667</v>
      </c>
      <c r="J477" s="26" t="n">
        <f aca="false">IFERROR((I477-H477)*24*60,"")</f>
        <v>720</v>
      </c>
      <c r="K477" s="26" t="s">
        <v>82</v>
      </c>
      <c r="L477" s="26" t="s">
        <v>90</v>
      </c>
      <c r="M477" s="26" t="s">
        <v>99</v>
      </c>
      <c r="N477" s="26" t="s">
        <v>100</v>
      </c>
      <c r="O477" s="26" t="n">
        <v>8</v>
      </c>
      <c r="P477" s="26" t="n">
        <v>50</v>
      </c>
      <c r="Q477" s="26" t="n">
        <f aca="false">IFERROR(3600/(P477/O477),"")</f>
        <v>576</v>
      </c>
      <c r="R477" s="26" t="n">
        <v>4107</v>
      </c>
      <c r="S477" s="26" t="n">
        <v>64</v>
      </c>
      <c r="T477" s="26" t="n">
        <f aca="false">IFERROR(J477-S477,"")</f>
        <v>656</v>
      </c>
      <c r="U477" s="26"/>
      <c r="V477" s="26"/>
      <c r="W477" s="26" t="n">
        <v>12</v>
      </c>
      <c r="X477" s="26"/>
      <c r="Y477" s="26"/>
      <c r="Z477" s="26"/>
      <c r="AA477" s="26"/>
      <c r="AB477" s="26"/>
      <c r="AC477" s="26"/>
      <c r="AD477" s="26"/>
      <c r="AE477" s="26"/>
      <c r="AF477" s="26" t="n">
        <f aca="false">SUM(U477:AE477)</f>
        <v>12</v>
      </c>
      <c r="AG477" s="26" t="n">
        <f aca="false">T477-AF477</f>
        <v>644</v>
      </c>
      <c r="AH477" s="28" t="n">
        <f aca="false">IFERROR(AG477/T477,"")</f>
        <v>0.981707317073171</v>
      </c>
      <c r="AI477" s="29" t="n">
        <f aca="false">IFERROR(R477/AG477*60,"")</f>
        <v>382.639751552795</v>
      </c>
      <c r="AJ477" s="30" t="n">
        <f aca="false">IFERROR(AI477/Q477,"")</f>
        <v>0.664305124223602</v>
      </c>
      <c r="AK477" s="31" t="n">
        <f aca="false">IFERROR(R477/(T477/60*Q477),"")</f>
        <v>0.652153201219512</v>
      </c>
      <c r="AL477" s="26" t="n">
        <v>7</v>
      </c>
      <c r="AM477" s="26" t="n">
        <v>6</v>
      </c>
      <c r="AN477" s="26" t="n">
        <v>3</v>
      </c>
      <c r="AO477" s="26" t="n">
        <v>6</v>
      </c>
      <c r="AP477" s="26" t="n">
        <v>8</v>
      </c>
      <c r="AQ477" s="26" t="n">
        <v>4</v>
      </c>
      <c r="AR477" s="26" t="n">
        <v>8</v>
      </c>
      <c r="AS477" s="26" t="n">
        <v>5</v>
      </c>
      <c r="AT477" s="26" t="n">
        <v>5</v>
      </c>
      <c r="AU477" s="26" t="n">
        <v>5</v>
      </c>
      <c r="AV477" s="26" t="n">
        <f aca="false">SUM(AL477:AU477)</f>
        <v>57</v>
      </c>
      <c r="AW477" s="32" t="n">
        <f aca="false">IFERROR(AV477/R477*1000000,"")</f>
        <v>13878.7436084733</v>
      </c>
      <c r="AX477" s="33" t="n">
        <f aca="false">IFERROR((R477-AV477)/R477,"")</f>
        <v>0.986121256391527</v>
      </c>
      <c r="AY477" s="34" t="n">
        <f aca="false">IFERROR(AH477*AJ477*AX477,"")</f>
        <v>0.643102134146341</v>
      </c>
      <c r="AZ477" s="35" t="s">
        <v>86</v>
      </c>
    </row>
    <row r="478" customFormat="false" ht="12.75" hidden="false" customHeight="true" outlineLevel="0" collapsed="false">
      <c r="A478" s="24" t="n">
        <v>474</v>
      </c>
      <c r="B478" s="25" t="n">
        <v>46180</v>
      </c>
      <c r="C478" s="25" t="n">
        <v>12</v>
      </c>
      <c r="D478" s="26" t="s">
        <v>87</v>
      </c>
      <c r="E478" s="26" t="s">
        <v>101</v>
      </c>
      <c r="F478" s="26" t="s">
        <v>81</v>
      </c>
      <c r="G478" s="26" t="s">
        <v>13</v>
      </c>
      <c r="H478" s="27" t="n">
        <v>0.354166666666667</v>
      </c>
      <c r="I478" s="27" t="n">
        <v>0.854166666666667</v>
      </c>
      <c r="J478" s="26" t="n">
        <f aca="false">IFERROR((I478-H478)*24*60,"")</f>
        <v>720</v>
      </c>
      <c r="K478" s="26" t="s">
        <v>74</v>
      </c>
      <c r="L478" s="26" t="s">
        <v>90</v>
      </c>
      <c r="M478" s="26" t="s">
        <v>103</v>
      </c>
      <c r="N478" s="26" t="s">
        <v>104</v>
      </c>
      <c r="O478" s="26" t="n">
        <v>4</v>
      </c>
      <c r="P478" s="26" t="n">
        <v>63</v>
      </c>
      <c r="Q478" s="26" t="n">
        <f aca="false">IFERROR(3600/(P478/O478),"")</f>
        <v>228.571428571429</v>
      </c>
      <c r="R478" s="26" t="n">
        <v>2046</v>
      </c>
      <c r="S478" s="26" t="n">
        <v>41</v>
      </c>
      <c r="T478" s="26" t="n">
        <f aca="false">IFERROR(J478-S478,"")</f>
        <v>679</v>
      </c>
      <c r="U478" s="26"/>
      <c r="V478" s="26"/>
      <c r="W478" s="26"/>
      <c r="X478" s="26" t="n">
        <v>6</v>
      </c>
      <c r="Y478" s="26"/>
      <c r="Z478" s="26" t="n">
        <v>23</v>
      </c>
      <c r="AA478" s="26"/>
      <c r="AB478" s="26"/>
      <c r="AC478" s="26"/>
      <c r="AD478" s="26"/>
      <c r="AE478" s="26"/>
      <c r="AF478" s="26" t="n">
        <f aca="false">SUM(U478:AE478)</f>
        <v>29</v>
      </c>
      <c r="AG478" s="26" t="n">
        <f aca="false">T478-AF478</f>
        <v>650</v>
      </c>
      <c r="AH478" s="28" t="n">
        <f aca="false">IFERROR(AG478/T478,"")</f>
        <v>0.957290132547865</v>
      </c>
      <c r="AI478" s="29" t="n">
        <f aca="false">IFERROR(R478/AG478*60,"")</f>
        <v>188.861538461538</v>
      </c>
      <c r="AJ478" s="30" t="n">
        <f aca="false">IFERROR(AI478/Q478,"")</f>
        <v>0.826269230769231</v>
      </c>
      <c r="AK478" s="31" t="n">
        <f aca="false">IFERROR(R478/(T478/60*Q478),"")</f>
        <v>0.790979381443299</v>
      </c>
      <c r="AL478" s="26" t="n">
        <v>3</v>
      </c>
      <c r="AM478" s="26" t="n">
        <v>5</v>
      </c>
      <c r="AN478" s="26" t="n">
        <v>1</v>
      </c>
      <c r="AO478" s="26" t="n">
        <v>7</v>
      </c>
      <c r="AP478" s="26" t="n">
        <v>5</v>
      </c>
      <c r="AQ478" s="26" t="n">
        <v>2</v>
      </c>
      <c r="AR478" s="26" t="n">
        <v>3</v>
      </c>
      <c r="AS478" s="26" t="n">
        <v>8</v>
      </c>
      <c r="AT478" s="26" t="n">
        <v>8</v>
      </c>
      <c r="AU478" s="26" t="n">
        <v>1</v>
      </c>
      <c r="AV478" s="26" t="n">
        <f aca="false">SUM(AL478:AU478)</f>
        <v>43</v>
      </c>
      <c r="AW478" s="32" t="n">
        <f aca="false">IFERROR(AV478/R478*1000000,"")</f>
        <v>21016.6177908113</v>
      </c>
      <c r="AX478" s="33" t="n">
        <f aca="false">IFERROR((R478-AV478)/R478,"")</f>
        <v>0.978983382209189</v>
      </c>
      <c r="AY478" s="34" t="n">
        <f aca="false">IFERROR(AH478*AJ478*AX478,"")</f>
        <v>0.774355670103093</v>
      </c>
      <c r="AZ478" s="35" t="s">
        <v>78</v>
      </c>
    </row>
    <row r="479" customFormat="false" ht="12.75" hidden="false" customHeight="true" outlineLevel="0" collapsed="false">
      <c r="A479" s="24" t="n">
        <v>475</v>
      </c>
      <c r="B479" s="25" t="n">
        <v>46181</v>
      </c>
      <c r="C479" s="25" t="n">
        <v>12</v>
      </c>
      <c r="D479" s="26" t="s">
        <v>71</v>
      </c>
      <c r="E479" s="26" t="s">
        <v>72</v>
      </c>
      <c r="F479" s="26" t="s">
        <v>73</v>
      </c>
      <c r="G479" s="26" t="s">
        <v>8</v>
      </c>
      <c r="H479" s="27" t="n">
        <v>0.354166666666667</v>
      </c>
      <c r="I479" s="27" t="n">
        <v>0.854166666666667</v>
      </c>
      <c r="J479" s="26" t="n">
        <f aca="false">IFERROR((I479-H479)*24*60,"")</f>
        <v>720</v>
      </c>
      <c r="K479" s="26" t="s">
        <v>82</v>
      </c>
      <c r="L479" s="26" t="s">
        <v>102</v>
      </c>
      <c r="M479" s="26" t="s">
        <v>76</v>
      </c>
      <c r="N479" s="26" t="s">
        <v>77</v>
      </c>
      <c r="O479" s="26" t="n">
        <v>4</v>
      </c>
      <c r="P479" s="26" t="n">
        <v>36</v>
      </c>
      <c r="Q479" s="26" t="n">
        <f aca="false">IFERROR(3600/(P479/O479),"")</f>
        <v>400</v>
      </c>
      <c r="R479" s="26" t="n">
        <v>3716</v>
      </c>
      <c r="S479" s="26" t="n">
        <v>69</v>
      </c>
      <c r="T479" s="26" t="n">
        <f aca="false">IFERROR(J479-S479,"")</f>
        <v>651</v>
      </c>
      <c r="U479" s="26" t="n">
        <v>9</v>
      </c>
      <c r="V479" s="26"/>
      <c r="W479" s="26" t="n">
        <v>11</v>
      </c>
      <c r="X479" s="26"/>
      <c r="Y479" s="26"/>
      <c r="Z479" s="26"/>
      <c r="AA479" s="26"/>
      <c r="AB479" s="26"/>
      <c r="AC479" s="26" t="n">
        <v>4</v>
      </c>
      <c r="AD479" s="26"/>
      <c r="AE479" s="26"/>
      <c r="AF479" s="26" t="n">
        <f aca="false">SUM(U479:AE479)</f>
        <v>24</v>
      </c>
      <c r="AG479" s="26" t="n">
        <f aca="false">T479-AF479</f>
        <v>627</v>
      </c>
      <c r="AH479" s="28" t="n">
        <f aca="false">IFERROR(AG479/T479,"")</f>
        <v>0.963133640552995</v>
      </c>
      <c r="AI479" s="29" t="n">
        <f aca="false">IFERROR(R479/AG479*60,"")</f>
        <v>355.598086124402</v>
      </c>
      <c r="AJ479" s="30" t="n">
        <f aca="false">IFERROR(AI479/Q479,"")</f>
        <v>0.888995215311005</v>
      </c>
      <c r="AK479" s="31" t="n">
        <f aca="false">IFERROR(R479/(T479/60*Q479),"")</f>
        <v>0.856221198156682</v>
      </c>
      <c r="AL479" s="26" t="n">
        <v>6</v>
      </c>
      <c r="AM479" s="26" t="n">
        <v>6</v>
      </c>
      <c r="AN479" s="26" t="n">
        <v>6</v>
      </c>
      <c r="AO479" s="26" t="n">
        <v>3</v>
      </c>
      <c r="AP479" s="26" t="n">
        <v>7</v>
      </c>
      <c r="AQ479" s="26" t="n">
        <v>3</v>
      </c>
      <c r="AR479" s="26"/>
      <c r="AS479" s="26" t="n">
        <v>4</v>
      </c>
      <c r="AT479" s="26" t="n">
        <v>1</v>
      </c>
      <c r="AU479" s="26" t="n">
        <v>5</v>
      </c>
      <c r="AV479" s="26" t="n">
        <f aca="false">SUM(AL479:AU479)</f>
        <v>41</v>
      </c>
      <c r="AW479" s="32" t="n">
        <f aca="false">IFERROR(AV479/R479*1000000,"")</f>
        <v>11033.3692142088</v>
      </c>
      <c r="AX479" s="33" t="n">
        <f aca="false">IFERROR((R479-AV479)/R479,"")</f>
        <v>0.988966630785791</v>
      </c>
      <c r="AY479" s="34" t="n">
        <f aca="false">IFERROR(AH479*AJ479*AX479,"")</f>
        <v>0.846774193548387</v>
      </c>
      <c r="AZ479" s="35" t="s">
        <v>78</v>
      </c>
    </row>
    <row r="480" customFormat="false" ht="12.75" hidden="false" customHeight="true" outlineLevel="0" collapsed="false">
      <c r="A480" s="24" t="n">
        <v>476</v>
      </c>
      <c r="B480" s="25" t="n">
        <v>46181</v>
      </c>
      <c r="C480" s="25" t="n">
        <v>12</v>
      </c>
      <c r="D480" s="26" t="s">
        <v>79</v>
      </c>
      <c r="E480" s="26" t="s">
        <v>80</v>
      </c>
      <c r="F480" s="26" t="s">
        <v>81</v>
      </c>
      <c r="G480" s="26" t="s">
        <v>9</v>
      </c>
      <c r="H480" s="27" t="n">
        <v>0.354166666666667</v>
      </c>
      <c r="I480" s="27" t="n">
        <v>0.854166666666667</v>
      </c>
      <c r="J480" s="26" t="n">
        <f aca="false">IFERROR((I480-H480)*24*60,"")</f>
        <v>720</v>
      </c>
      <c r="K480" s="26" t="s">
        <v>74</v>
      </c>
      <c r="L480" s="26" t="s">
        <v>108</v>
      </c>
      <c r="M480" s="26" t="s">
        <v>84</v>
      </c>
      <c r="N480" s="26" t="s">
        <v>85</v>
      </c>
      <c r="O480" s="26" t="n">
        <v>2</v>
      </c>
      <c r="P480" s="26" t="n">
        <v>71</v>
      </c>
      <c r="Q480" s="26" t="n">
        <f aca="false">IFERROR(3600/(P480/O480),"")</f>
        <v>101.408450704225</v>
      </c>
      <c r="R480" s="26" t="n">
        <v>836</v>
      </c>
      <c r="S480" s="26" t="n">
        <v>67</v>
      </c>
      <c r="T480" s="26" t="n">
        <f aca="false">IFERROR(J480-S480,"")</f>
        <v>653</v>
      </c>
      <c r="U480" s="26"/>
      <c r="V480" s="26"/>
      <c r="W480" s="26" t="n">
        <v>8</v>
      </c>
      <c r="X480" s="26" t="n">
        <v>29</v>
      </c>
      <c r="Y480" s="26"/>
      <c r="Z480" s="26"/>
      <c r="AA480" s="26"/>
      <c r="AB480" s="26"/>
      <c r="AC480" s="26"/>
      <c r="AD480" s="26"/>
      <c r="AE480" s="26"/>
      <c r="AF480" s="26" t="n">
        <f aca="false">SUM(U480:AE480)</f>
        <v>37</v>
      </c>
      <c r="AG480" s="26" t="n">
        <f aca="false">T480-AF480</f>
        <v>616</v>
      </c>
      <c r="AH480" s="28" t="n">
        <f aca="false">IFERROR(AG480/T480,"")</f>
        <v>0.943338437978561</v>
      </c>
      <c r="AI480" s="29" t="n">
        <f aca="false">IFERROR(R480/AG480*60,"")</f>
        <v>81.4285714285714</v>
      </c>
      <c r="AJ480" s="30" t="n">
        <f aca="false">IFERROR(AI480/Q480,"")</f>
        <v>0.80297619047619</v>
      </c>
      <c r="AK480" s="31" t="n">
        <f aca="false">IFERROR(R480/(T480/60*Q480),"")</f>
        <v>0.757478305257785</v>
      </c>
      <c r="AL480" s="26" t="n">
        <v>1</v>
      </c>
      <c r="AM480" s="26"/>
      <c r="AN480" s="26" t="n">
        <v>2</v>
      </c>
      <c r="AO480" s="26" t="n">
        <v>1</v>
      </c>
      <c r="AP480" s="26" t="n">
        <v>3</v>
      </c>
      <c r="AQ480" s="26"/>
      <c r="AR480" s="26"/>
      <c r="AS480" s="26" t="n">
        <v>1</v>
      </c>
      <c r="AT480" s="26"/>
      <c r="AU480" s="26"/>
      <c r="AV480" s="26" t="n">
        <f aca="false">SUM(AL480:AU480)</f>
        <v>8</v>
      </c>
      <c r="AW480" s="32" t="n">
        <f aca="false">IFERROR(AV480/R480*1000000,"")</f>
        <v>9569.37799043062</v>
      </c>
      <c r="AX480" s="33" t="n">
        <f aca="false">IFERROR((R480-AV480)/R480,"")</f>
        <v>0.990430622009569</v>
      </c>
      <c r="AY480" s="34" t="n">
        <f aca="false">IFERROR(AH480*AJ480*AX480,"")</f>
        <v>0.750229709035222</v>
      </c>
      <c r="AZ480" s="35" t="s">
        <v>78</v>
      </c>
    </row>
    <row r="481" customFormat="false" ht="12.75" hidden="false" customHeight="true" outlineLevel="0" collapsed="false">
      <c r="A481" s="24" t="n">
        <v>477</v>
      </c>
      <c r="B481" s="25" t="n">
        <v>46181</v>
      </c>
      <c r="C481" s="25" t="n">
        <v>12</v>
      </c>
      <c r="D481" s="26" t="s">
        <v>87</v>
      </c>
      <c r="E481" s="26" t="s">
        <v>88</v>
      </c>
      <c r="F481" s="26" t="s">
        <v>73</v>
      </c>
      <c r="G481" s="26" t="s">
        <v>10</v>
      </c>
      <c r="H481" s="27" t="n">
        <v>0.354166666666667</v>
      </c>
      <c r="I481" s="27" t="n">
        <v>0.854166666666667</v>
      </c>
      <c r="J481" s="26" t="n">
        <f aca="false">IFERROR((I481-H481)*24*60,"")</f>
        <v>720</v>
      </c>
      <c r="K481" s="26" t="s">
        <v>105</v>
      </c>
      <c r="L481" s="26" t="s">
        <v>83</v>
      </c>
      <c r="M481" s="26" t="s">
        <v>91</v>
      </c>
      <c r="N481" s="26" t="s">
        <v>92</v>
      </c>
      <c r="O481" s="26" t="n">
        <v>1</v>
      </c>
      <c r="P481" s="26" t="n">
        <v>26</v>
      </c>
      <c r="Q481" s="26" t="n">
        <f aca="false">IFERROR(3600/(P481/O481),"")</f>
        <v>138.461538461538</v>
      </c>
      <c r="R481" s="26" t="n">
        <v>1095</v>
      </c>
      <c r="S481" s="26" t="n">
        <v>36</v>
      </c>
      <c r="T481" s="26" t="n">
        <f aca="false">IFERROR(J481-S481,"")</f>
        <v>684</v>
      </c>
      <c r="U481" s="26"/>
      <c r="V481" s="26"/>
      <c r="W481" s="26"/>
      <c r="X481" s="26"/>
      <c r="Y481" s="26"/>
      <c r="Z481" s="26"/>
      <c r="AA481" s="26" t="n">
        <v>42</v>
      </c>
      <c r="AB481" s="26"/>
      <c r="AC481" s="26"/>
      <c r="AD481" s="26"/>
      <c r="AE481" s="26"/>
      <c r="AF481" s="26" t="n">
        <f aca="false">SUM(U481:AE481)</f>
        <v>42</v>
      </c>
      <c r="AG481" s="26" t="n">
        <f aca="false">T481-AF481</f>
        <v>642</v>
      </c>
      <c r="AH481" s="28" t="n">
        <f aca="false">IFERROR(AG481/T481,"")</f>
        <v>0.93859649122807</v>
      </c>
      <c r="AI481" s="29" t="n">
        <f aca="false">IFERROR(R481/AG481*60,"")</f>
        <v>102.336448598131</v>
      </c>
      <c r="AJ481" s="30" t="n">
        <f aca="false">IFERROR(AI481/Q481,"")</f>
        <v>0.739096573208723</v>
      </c>
      <c r="AK481" s="31" t="n">
        <f aca="false">IFERROR(R481/(T481/60*Q481),"")</f>
        <v>0.693713450292398</v>
      </c>
      <c r="AL481" s="26" t="n">
        <v>1</v>
      </c>
      <c r="AM481" s="26"/>
      <c r="AN481" s="26" t="n">
        <v>2</v>
      </c>
      <c r="AO481" s="26"/>
      <c r="AP481" s="26"/>
      <c r="AQ481" s="26"/>
      <c r="AR481" s="26" t="n">
        <v>1</v>
      </c>
      <c r="AS481" s="26" t="n">
        <v>2</v>
      </c>
      <c r="AT481" s="26" t="n">
        <v>1</v>
      </c>
      <c r="AU481" s="26"/>
      <c r="AV481" s="26" t="n">
        <f aca="false">SUM(AL481:AU481)</f>
        <v>7</v>
      </c>
      <c r="AW481" s="32" t="n">
        <f aca="false">IFERROR(AV481/R481*1000000,"")</f>
        <v>6392.69406392694</v>
      </c>
      <c r="AX481" s="33" t="n">
        <f aca="false">IFERROR((R481-AV481)/R481,"")</f>
        <v>0.993607305936073</v>
      </c>
      <c r="AY481" s="34" t="n">
        <f aca="false">IFERROR(AH481*AJ481*AX481,"")</f>
        <v>0.689278752436647</v>
      </c>
      <c r="AZ481" s="35" t="s">
        <v>78</v>
      </c>
    </row>
    <row r="482" customFormat="false" ht="12.75" hidden="false" customHeight="true" outlineLevel="0" collapsed="false">
      <c r="A482" s="24" t="n">
        <v>478</v>
      </c>
      <c r="B482" s="25" t="n">
        <v>46182</v>
      </c>
      <c r="C482" s="25" t="n">
        <v>12</v>
      </c>
      <c r="D482" s="26" t="s">
        <v>71</v>
      </c>
      <c r="E482" s="26" t="s">
        <v>94</v>
      </c>
      <c r="F482" s="26" t="s">
        <v>81</v>
      </c>
      <c r="G482" s="26" t="s">
        <v>11</v>
      </c>
      <c r="H482" s="27" t="n">
        <v>0.354166666666667</v>
      </c>
      <c r="I482" s="27" t="n">
        <v>0.854166666666667</v>
      </c>
      <c r="J482" s="26" t="n">
        <f aca="false">IFERROR((I482-H482)*24*60,"")</f>
        <v>720</v>
      </c>
      <c r="K482" s="26" t="s">
        <v>82</v>
      </c>
      <c r="L482" s="26" t="s">
        <v>90</v>
      </c>
      <c r="M482" s="26" t="s">
        <v>95</v>
      </c>
      <c r="N482" s="26" t="s">
        <v>96</v>
      </c>
      <c r="O482" s="26" t="n">
        <v>2</v>
      </c>
      <c r="P482" s="26" t="n">
        <v>49</v>
      </c>
      <c r="Q482" s="26" t="n">
        <f aca="false">IFERROR(3600/(P482/O482),"")</f>
        <v>146.938775510204</v>
      </c>
      <c r="R482" s="26" t="n">
        <v>1580</v>
      </c>
      <c r="S482" s="26" t="n">
        <v>32</v>
      </c>
      <c r="T482" s="26" t="n">
        <f aca="false">IFERROR(J482-S482,"")</f>
        <v>688</v>
      </c>
      <c r="U482" s="26"/>
      <c r="V482" s="26"/>
      <c r="W482" s="26" t="n">
        <v>26</v>
      </c>
      <c r="X482" s="26"/>
      <c r="Y482" s="26"/>
      <c r="Z482" s="26"/>
      <c r="AA482" s="26"/>
      <c r="AB482" s="26"/>
      <c r="AC482" s="26"/>
      <c r="AD482" s="26" t="n">
        <v>4</v>
      </c>
      <c r="AE482" s="26"/>
      <c r="AF482" s="26" t="n">
        <f aca="false">SUM(U482:AE482)</f>
        <v>30</v>
      </c>
      <c r="AG482" s="26" t="n">
        <f aca="false">T482-AF482</f>
        <v>658</v>
      </c>
      <c r="AH482" s="28" t="n">
        <f aca="false">IFERROR(AG482/T482,"")</f>
        <v>0.956395348837209</v>
      </c>
      <c r="AI482" s="29" t="n">
        <f aca="false">IFERROR(R482/AG482*60,"")</f>
        <v>144.072948328267</v>
      </c>
      <c r="AJ482" s="30" t="n">
        <f aca="false">IFERROR(AI482/Q482,"")</f>
        <v>0.980496453900709</v>
      </c>
      <c r="AK482" s="31" t="n">
        <f aca="false">IFERROR(R482/(T482/60*Q482),"")</f>
        <v>0.937742248062015</v>
      </c>
      <c r="AL482" s="26" t="n">
        <v>4</v>
      </c>
      <c r="AM482" s="26" t="n">
        <v>1</v>
      </c>
      <c r="AN482" s="26" t="n">
        <v>1</v>
      </c>
      <c r="AO482" s="26" t="n">
        <v>1</v>
      </c>
      <c r="AP482" s="26"/>
      <c r="AQ482" s="26" t="n">
        <v>2</v>
      </c>
      <c r="AR482" s="26" t="n">
        <v>1</v>
      </c>
      <c r="AS482" s="26" t="n">
        <v>3</v>
      </c>
      <c r="AT482" s="26" t="n">
        <v>1</v>
      </c>
      <c r="AU482" s="26" t="n">
        <v>2</v>
      </c>
      <c r="AV482" s="26" t="n">
        <f aca="false">SUM(AL482:AU482)</f>
        <v>16</v>
      </c>
      <c r="AW482" s="32" t="n">
        <f aca="false">IFERROR(AV482/R482*1000000,"")</f>
        <v>10126.582278481</v>
      </c>
      <c r="AX482" s="33" t="n">
        <f aca="false">IFERROR((R482-AV482)/R482,"")</f>
        <v>0.989873417721519</v>
      </c>
      <c r="AY482" s="34" t="n">
        <f aca="false">IFERROR(AH482*AJ482*AX482,"")</f>
        <v>0.928246124031008</v>
      </c>
      <c r="AZ482" s="35" t="s">
        <v>78</v>
      </c>
    </row>
    <row r="483" customFormat="false" ht="12.75" hidden="false" customHeight="true" outlineLevel="0" collapsed="false">
      <c r="A483" s="24" t="n">
        <v>479</v>
      </c>
      <c r="B483" s="25" t="n">
        <v>46182</v>
      </c>
      <c r="C483" s="25" t="n">
        <v>12</v>
      </c>
      <c r="D483" s="26" t="s">
        <v>79</v>
      </c>
      <c r="E483" s="26" t="s">
        <v>97</v>
      </c>
      <c r="F483" s="26" t="s">
        <v>73</v>
      </c>
      <c r="G483" s="26" t="s">
        <v>12</v>
      </c>
      <c r="H483" s="27" t="n">
        <v>0.354166666666667</v>
      </c>
      <c r="I483" s="27" t="n">
        <v>0.854166666666667</v>
      </c>
      <c r="J483" s="26" t="n">
        <f aca="false">IFERROR((I483-H483)*24*60,"")</f>
        <v>720</v>
      </c>
      <c r="K483" s="26" t="s">
        <v>74</v>
      </c>
      <c r="L483" s="26" t="s">
        <v>106</v>
      </c>
      <c r="M483" s="26" t="s">
        <v>99</v>
      </c>
      <c r="N483" s="26" t="s">
        <v>100</v>
      </c>
      <c r="O483" s="26" t="n">
        <v>8</v>
      </c>
      <c r="P483" s="26" t="n">
        <v>29</v>
      </c>
      <c r="Q483" s="26" t="n">
        <f aca="false">IFERROR(3600/(P483/O483),"")</f>
        <v>993.103448275862</v>
      </c>
      <c r="R483" s="26" t="n">
        <v>8082</v>
      </c>
      <c r="S483" s="26" t="n">
        <v>59</v>
      </c>
      <c r="T483" s="26" t="n">
        <f aca="false">IFERROR(J483-S483,"")</f>
        <v>661</v>
      </c>
      <c r="U483" s="26"/>
      <c r="V483" s="26"/>
      <c r="W483" s="26" t="n">
        <v>17</v>
      </c>
      <c r="X483" s="26"/>
      <c r="Y483" s="26"/>
      <c r="Z483" s="26"/>
      <c r="AA483" s="26"/>
      <c r="AB483" s="26"/>
      <c r="AC483" s="26"/>
      <c r="AD483" s="26"/>
      <c r="AE483" s="26"/>
      <c r="AF483" s="26" t="n">
        <f aca="false">SUM(U483:AE483)</f>
        <v>17</v>
      </c>
      <c r="AG483" s="26" t="n">
        <f aca="false">T483-AF483</f>
        <v>644</v>
      </c>
      <c r="AH483" s="28" t="n">
        <f aca="false">IFERROR(AG483/T483,"")</f>
        <v>0.97428139183056</v>
      </c>
      <c r="AI483" s="29" t="n">
        <f aca="false">IFERROR(R483/AG483*60,"")</f>
        <v>752.981366459627</v>
      </c>
      <c r="AJ483" s="30" t="n">
        <f aca="false">IFERROR(AI483/Q483,"")</f>
        <v>0.758210403726708</v>
      </c>
      <c r="AK483" s="31" t="n">
        <f aca="false">IFERROR(R483/(T483/60*Q483),"")</f>
        <v>0.738710287443268</v>
      </c>
      <c r="AL483" s="26" t="n">
        <v>5</v>
      </c>
      <c r="AM483" s="26" t="n">
        <v>7</v>
      </c>
      <c r="AN483" s="26" t="n">
        <v>7</v>
      </c>
      <c r="AO483" s="26" t="n">
        <v>3</v>
      </c>
      <c r="AP483" s="26" t="n">
        <v>6</v>
      </c>
      <c r="AQ483" s="26" t="n">
        <v>2</v>
      </c>
      <c r="AR483" s="26" t="n">
        <v>5</v>
      </c>
      <c r="AS483" s="26" t="n">
        <v>5</v>
      </c>
      <c r="AT483" s="26" t="n">
        <v>3</v>
      </c>
      <c r="AU483" s="26" t="n">
        <v>2</v>
      </c>
      <c r="AV483" s="26" t="n">
        <f aca="false">SUM(AL483:AU483)</f>
        <v>45</v>
      </c>
      <c r="AW483" s="32" t="n">
        <f aca="false">IFERROR(AV483/R483*1000000,"")</f>
        <v>5567.92873051225</v>
      </c>
      <c r="AX483" s="33" t="n">
        <f aca="false">IFERROR((R483-AV483)/R483,"")</f>
        <v>0.994432071269488</v>
      </c>
      <c r="AY483" s="34" t="n">
        <f aca="false">IFERROR(AH483*AJ483*AX483,"")</f>
        <v>0.734597201210287</v>
      </c>
      <c r="AZ483" s="35" t="s">
        <v>86</v>
      </c>
    </row>
    <row r="484" customFormat="false" ht="12.75" hidden="false" customHeight="true" outlineLevel="0" collapsed="false">
      <c r="A484" s="24" t="n">
        <v>480</v>
      </c>
      <c r="B484" s="25" t="n">
        <v>46182</v>
      </c>
      <c r="C484" s="25" t="n">
        <v>12</v>
      </c>
      <c r="D484" s="26" t="s">
        <v>87</v>
      </c>
      <c r="E484" s="26" t="s">
        <v>101</v>
      </c>
      <c r="F484" s="26" t="s">
        <v>81</v>
      </c>
      <c r="G484" s="26" t="s">
        <v>13</v>
      </c>
      <c r="H484" s="27" t="n">
        <v>0.354166666666667</v>
      </c>
      <c r="I484" s="27" t="n">
        <v>0.854166666666667</v>
      </c>
      <c r="J484" s="26" t="n">
        <f aca="false">IFERROR((I484-H484)*24*60,"")</f>
        <v>720</v>
      </c>
      <c r="K484" s="26" t="s">
        <v>82</v>
      </c>
      <c r="L484" s="26" t="s">
        <v>106</v>
      </c>
      <c r="M484" s="26" t="s">
        <v>103</v>
      </c>
      <c r="N484" s="26" t="s">
        <v>104</v>
      </c>
      <c r="O484" s="26" t="n">
        <v>1</v>
      </c>
      <c r="P484" s="26" t="n">
        <v>33</v>
      </c>
      <c r="Q484" s="26" t="n">
        <f aca="false">IFERROR(3600/(P484/O484),"")</f>
        <v>109.090909090909</v>
      </c>
      <c r="R484" s="26" t="n">
        <v>1191</v>
      </c>
      <c r="S484" s="26" t="n">
        <v>43</v>
      </c>
      <c r="T484" s="26" t="n">
        <f aca="false">IFERROR(J484-S484,"")</f>
        <v>677</v>
      </c>
      <c r="U484" s="26"/>
      <c r="V484" s="26"/>
      <c r="W484" s="26"/>
      <c r="X484" s="26"/>
      <c r="Y484" s="26" t="n">
        <v>11</v>
      </c>
      <c r="Z484" s="26"/>
      <c r="AA484" s="26"/>
      <c r="AB484" s="26" t="n">
        <v>30</v>
      </c>
      <c r="AC484" s="26"/>
      <c r="AD484" s="26" t="n">
        <v>3</v>
      </c>
      <c r="AE484" s="26"/>
      <c r="AF484" s="26" t="n">
        <f aca="false">SUM(U484:AE484)</f>
        <v>44</v>
      </c>
      <c r="AG484" s="26" t="n">
        <f aca="false">T484-AF484</f>
        <v>633</v>
      </c>
      <c r="AH484" s="28" t="n">
        <f aca="false">IFERROR(AG484/T484,"")</f>
        <v>0.935007385524372</v>
      </c>
      <c r="AI484" s="29" t="n">
        <f aca="false">IFERROR(R484/AG484*60,"")</f>
        <v>112.890995260664</v>
      </c>
      <c r="AJ484" s="30" t="n">
        <f aca="false">IFERROR(AI484/Q484,"")</f>
        <v>1.03483412322275</v>
      </c>
      <c r="AK484" s="31" t="n">
        <f aca="false">IFERROR(R484/(T484/60*Q484),"")</f>
        <v>0.967577548005908</v>
      </c>
      <c r="AL484" s="26" t="n">
        <v>2</v>
      </c>
      <c r="AM484" s="26" t="n">
        <v>2</v>
      </c>
      <c r="AN484" s="26" t="n">
        <v>4</v>
      </c>
      <c r="AO484" s="26" t="n">
        <v>2</v>
      </c>
      <c r="AP484" s="26" t="n">
        <v>2</v>
      </c>
      <c r="AQ484" s="26" t="n">
        <v>3</v>
      </c>
      <c r="AR484" s="26" t="n">
        <v>3</v>
      </c>
      <c r="AS484" s="26" t="n">
        <v>3</v>
      </c>
      <c r="AT484" s="26" t="n">
        <v>1</v>
      </c>
      <c r="AU484" s="26" t="n">
        <v>2</v>
      </c>
      <c r="AV484" s="26" t="n">
        <f aca="false">SUM(AL484:AU484)</f>
        <v>24</v>
      </c>
      <c r="AW484" s="32" t="n">
        <f aca="false">IFERROR(AV484/R484*1000000,"")</f>
        <v>20151.1335012594</v>
      </c>
      <c r="AX484" s="33" t="n">
        <f aca="false">IFERROR((R484-AV484)/R484,"")</f>
        <v>0.979848866498741</v>
      </c>
      <c r="AY484" s="34" t="n">
        <f aca="false">IFERROR(AH484*AJ484*AX484,"")</f>
        <v>0.94807976366322</v>
      </c>
      <c r="AZ484" s="35" t="s">
        <v>78</v>
      </c>
    </row>
    <row r="485" customFormat="false" ht="12.75" hidden="false" customHeight="true" outlineLevel="0" collapsed="false">
      <c r="A485" s="24" t="n">
        <v>481</v>
      </c>
      <c r="B485" s="25" t="n">
        <v>46183</v>
      </c>
      <c r="C485" s="25" t="n">
        <v>12</v>
      </c>
      <c r="D485" s="26" t="s">
        <v>71</v>
      </c>
      <c r="E485" s="26" t="s">
        <v>72</v>
      </c>
      <c r="F485" s="26" t="s">
        <v>73</v>
      </c>
      <c r="G485" s="26" t="s">
        <v>8</v>
      </c>
      <c r="H485" s="27" t="n">
        <v>0.354166666666667</v>
      </c>
      <c r="I485" s="27" t="n">
        <v>0.854166666666667</v>
      </c>
      <c r="J485" s="26" t="n">
        <f aca="false">IFERROR((I485-H485)*24*60,"")</f>
        <v>720</v>
      </c>
      <c r="K485" s="26" t="s">
        <v>89</v>
      </c>
      <c r="L485" s="26" t="s">
        <v>83</v>
      </c>
      <c r="M485" s="26" t="s">
        <v>76</v>
      </c>
      <c r="N485" s="26" t="s">
        <v>77</v>
      </c>
      <c r="O485" s="26" t="n">
        <v>2</v>
      </c>
      <c r="P485" s="26" t="n">
        <v>30</v>
      </c>
      <c r="Q485" s="26" t="n">
        <f aca="false">IFERROR(3600/(P485/O485),"")</f>
        <v>240</v>
      </c>
      <c r="R485" s="26" t="n">
        <v>1969</v>
      </c>
      <c r="S485" s="26" t="n">
        <v>54</v>
      </c>
      <c r="T485" s="26" t="n">
        <f aca="false">IFERROR(J485-S485,"")</f>
        <v>666</v>
      </c>
      <c r="U485" s="26"/>
      <c r="V485" s="26" t="n">
        <v>6</v>
      </c>
      <c r="W485" s="26"/>
      <c r="X485" s="26"/>
      <c r="Y485" s="26"/>
      <c r="Z485" s="26" t="n">
        <v>3</v>
      </c>
      <c r="AA485" s="26"/>
      <c r="AB485" s="26"/>
      <c r="AC485" s="26"/>
      <c r="AD485" s="26" t="n">
        <v>5</v>
      </c>
      <c r="AE485" s="26"/>
      <c r="AF485" s="26" t="n">
        <f aca="false">SUM(U485:AE485)</f>
        <v>14</v>
      </c>
      <c r="AG485" s="26" t="n">
        <f aca="false">T485-AF485</f>
        <v>652</v>
      </c>
      <c r="AH485" s="28" t="n">
        <f aca="false">IFERROR(AG485/T485,"")</f>
        <v>0.978978978978979</v>
      </c>
      <c r="AI485" s="29" t="n">
        <f aca="false">IFERROR(R485/AG485*60,"")</f>
        <v>181.196319018405</v>
      </c>
      <c r="AJ485" s="30" t="n">
        <f aca="false">IFERROR(AI485/Q485,"")</f>
        <v>0.754984662576687</v>
      </c>
      <c r="AK485" s="31" t="n">
        <f aca="false">IFERROR(R485/(T485/60*Q485),"")</f>
        <v>0.739114114114114</v>
      </c>
      <c r="AL485" s="26"/>
      <c r="AM485" s="26"/>
      <c r="AN485" s="26"/>
      <c r="AO485" s="26"/>
      <c r="AP485" s="26" t="n">
        <v>2</v>
      </c>
      <c r="AQ485" s="26"/>
      <c r="AR485" s="26" t="n">
        <v>4</v>
      </c>
      <c r="AS485" s="26" t="n">
        <v>1</v>
      </c>
      <c r="AT485" s="26" t="n">
        <v>3</v>
      </c>
      <c r="AU485" s="26" t="n">
        <v>1</v>
      </c>
      <c r="AV485" s="26" t="n">
        <f aca="false">SUM(AL485:AU485)</f>
        <v>11</v>
      </c>
      <c r="AW485" s="32" t="n">
        <f aca="false">IFERROR(AV485/R485*1000000,"")</f>
        <v>5586.59217877095</v>
      </c>
      <c r="AX485" s="33" t="n">
        <f aca="false">IFERROR((R485-AV485)/R485,"")</f>
        <v>0.994413407821229</v>
      </c>
      <c r="AY485" s="34" t="n">
        <f aca="false">IFERROR(AH485*AJ485*AX485,"")</f>
        <v>0.734984984984985</v>
      </c>
      <c r="AZ485" s="35" t="s">
        <v>86</v>
      </c>
    </row>
    <row r="486" customFormat="false" ht="12.75" hidden="false" customHeight="true" outlineLevel="0" collapsed="false">
      <c r="A486" s="24" t="n">
        <v>482</v>
      </c>
      <c r="B486" s="25" t="n">
        <v>46183</v>
      </c>
      <c r="C486" s="25" t="n">
        <v>12</v>
      </c>
      <c r="D486" s="26" t="s">
        <v>79</v>
      </c>
      <c r="E486" s="26" t="s">
        <v>80</v>
      </c>
      <c r="F486" s="26" t="s">
        <v>81</v>
      </c>
      <c r="G486" s="26" t="s">
        <v>9</v>
      </c>
      <c r="H486" s="27" t="n">
        <v>0.354166666666667</v>
      </c>
      <c r="I486" s="27" t="n">
        <v>0.854166666666667</v>
      </c>
      <c r="J486" s="26" t="n">
        <f aca="false">IFERROR((I486-H486)*24*60,"")</f>
        <v>720</v>
      </c>
      <c r="K486" s="26" t="s">
        <v>89</v>
      </c>
      <c r="L486" s="26" t="s">
        <v>75</v>
      </c>
      <c r="M486" s="26" t="s">
        <v>84</v>
      </c>
      <c r="N486" s="26" t="s">
        <v>85</v>
      </c>
      <c r="O486" s="26" t="n">
        <v>1</v>
      </c>
      <c r="P486" s="26" t="n">
        <v>24</v>
      </c>
      <c r="Q486" s="26" t="n">
        <f aca="false">IFERROR(3600/(P486/O486),"")</f>
        <v>150</v>
      </c>
      <c r="R486" s="26" t="n">
        <v>1334</v>
      </c>
      <c r="S486" s="26" t="n">
        <v>59</v>
      </c>
      <c r="T486" s="26" t="n">
        <f aca="false">IFERROR(J486-S486,"")</f>
        <v>661</v>
      </c>
      <c r="U486" s="26" t="n">
        <v>11</v>
      </c>
      <c r="V486" s="26"/>
      <c r="W486" s="26"/>
      <c r="X486" s="26"/>
      <c r="Y486" s="26"/>
      <c r="Z486" s="26"/>
      <c r="AA486" s="26"/>
      <c r="AB486" s="26" t="n">
        <v>12</v>
      </c>
      <c r="AC486" s="26"/>
      <c r="AD486" s="26"/>
      <c r="AE486" s="26"/>
      <c r="AF486" s="26" t="n">
        <f aca="false">SUM(U486:AE486)</f>
        <v>23</v>
      </c>
      <c r="AG486" s="26" t="n">
        <f aca="false">T486-AF486</f>
        <v>638</v>
      </c>
      <c r="AH486" s="28" t="n">
        <f aca="false">IFERROR(AG486/T486,"")</f>
        <v>0.965204236006051</v>
      </c>
      <c r="AI486" s="29" t="n">
        <f aca="false">IFERROR(R486/AG486*60,"")</f>
        <v>125.454545454545</v>
      </c>
      <c r="AJ486" s="30" t="n">
        <f aca="false">IFERROR(AI486/Q486,"")</f>
        <v>0.836363636363636</v>
      </c>
      <c r="AK486" s="31" t="n">
        <f aca="false">IFERROR(R486/(T486/60*Q486),"")</f>
        <v>0.807261724659607</v>
      </c>
      <c r="AL486" s="26" t="n">
        <v>3</v>
      </c>
      <c r="AM486" s="26" t="n">
        <v>3</v>
      </c>
      <c r="AN486" s="26" t="n">
        <v>1</v>
      </c>
      <c r="AO486" s="26" t="n">
        <v>1</v>
      </c>
      <c r="AP486" s="26" t="n">
        <v>2</v>
      </c>
      <c r="AQ486" s="26"/>
      <c r="AR486" s="26" t="n">
        <v>1</v>
      </c>
      <c r="AS486" s="26" t="n">
        <v>2</v>
      </c>
      <c r="AT486" s="26" t="n">
        <v>1</v>
      </c>
      <c r="AU486" s="26" t="n">
        <v>4</v>
      </c>
      <c r="AV486" s="26" t="n">
        <f aca="false">SUM(AL486:AU486)</f>
        <v>18</v>
      </c>
      <c r="AW486" s="32" t="n">
        <f aca="false">IFERROR(AV486/R486*1000000,"")</f>
        <v>13493.2533733133</v>
      </c>
      <c r="AX486" s="33" t="n">
        <f aca="false">IFERROR((R486-AV486)/R486,"")</f>
        <v>0.986506746626687</v>
      </c>
      <c r="AY486" s="34" t="n">
        <f aca="false">IFERROR(AH486*AJ486*AX486,"")</f>
        <v>0.796369137670197</v>
      </c>
      <c r="AZ486" s="35"/>
    </row>
    <row r="487" customFormat="false" ht="12.75" hidden="false" customHeight="true" outlineLevel="0" collapsed="false">
      <c r="A487" s="24" t="n">
        <v>483</v>
      </c>
      <c r="B487" s="25" t="n">
        <v>46183</v>
      </c>
      <c r="C487" s="25" t="n">
        <v>12</v>
      </c>
      <c r="D487" s="26" t="s">
        <v>87</v>
      </c>
      <c r="E487" s="26" t="s">
        <v>88</v>
      </c>
      <c r="F487" s="26" t="s">
        <v>73</v>
      </c>
      <c r="G487" s="26" t="s">
        <v>10</v>
      </c>
      <c r="H487" s="27" t="n">
        <v>0.354166666666667</v>
      </c>
      <c r="I487" s="27" t="n">
        <v>0.854166666666667</v>
      </c>
      <c r="J487" s="26" t="n">
        <f aca="false">IFERROR((I487-H487)*24*60,"")</f>
        <v>720</v>
      </c>
      <c r="K487" s="26" t="s">
        <v>105</v>
      </c>
      <c r="L487" s="26" t="s">
        <v>75</v>
      </c>
      <c r="M487" s="26" t="s">
        <v>91</v>
      </c>
      <c r="N487" s="26" t="s">
        <v>92</v>
      </c>
      <c r="O487" s="26" t="n">
        <v>2</v>
      </c>
      <c r="P487" s="26" t="n">
        <v>74</v>
      </c>
      <c r="Q487" s="26" t="n">
        <f aca="false">IFERROR(3600/(P487/O487),"")</f>
        <v>97.2972972972973</v>
      </c>
      <c r="R487" s="26" t="n">
        <v>840</v>
      </c>
      <c r="S487" s="26" t="n">
        <v>68</v>
      </c>
      <c r="T487" s="26" t="n">
        <f aca="false">IFERROR(J487-S487,"")</f>
        <v>652</v>
      </c>
      <c r="U487" s="26"/>
      <c r="V487" s="26"/>
      <c r="W487" s="26"/>
      <c r="X487" s="26"/>
      <c r="Y487" s="26"/>
      <c r="Z487" s="26"/>
      <c r="AA487" s="26"/>
      <c r="AB487" s="26"/>
      <c r="AC487" s="26" t="n">
        <v>7</v>
      </c>
      <c r="AD487" s="26"/>
      <c r="AE487" s="26"/>
      <c r="AF487" s="26" t="n">
        <f aca="false">SUM(U487:AE487)</f>
        <v>7</v>
      </c>
      <c r="AG487" s="26" t="n">
        <f aca="false">T487-AF487</f>
        <v>645</v>
      </c>
      <c r="AH487" s="28" t="n">
        <f aca="false">IFERROR(AG487/T487,"")</f>
        <v>0.989263803680982</v>
      </c>
      <c r="AI487" s="29" t="n">
        <f aca="false">IFERROR(R487/AG487*60,"")</f>
        <v>78.1395348837209</v>
      </c>
      <c r="AJ487" s="30" t="n">
        <f aca="false">IFERROR(AI487/Q487,"")</f>
        <v>0.803100775193799</v>
      </c>
      <c r="AK487" s="31" t="n">
        <f aca="false">IFERROR(R487/(T487/60*Q487),"")</f>
        <v>0.794478527607362</v>
      </c>
      <c r="AL487" s="26" t="n">
        <v>1</v>
      </c>
      <c r="AM487" s="26"/>
      <c r="AN487" s="26" t="n">
        <v>1</v>
      </c>
      <c r="AO487" s="26"/>
      <c r="AP487" s="26" t="n">
        <v>1</v>
      </c>
      <c r="AQ487" s="26"/>
      <c r="AR487" s="26" t="n">
        <v>1</v>
      </c>
      <c r="AS487" s="26" t="n">
        <v>1</v>
      </c>
      <c r="AT487" s="26" t="n">
        <v>1</v>
      </c>
      <c r="AU487" s="26"/>
      <c r="AV487" s="26" t="n">
        <f aca="false">SUM(AL487:AU487)</f>
        <v>6</v>
      </c>
      <c r="AW487" s="32" t="n">
        <f aca="false">IFERROR(AV487/R487*1000000,"")</f>
        <v>7142.85714285714</v>
      </c>
      <c r="AX487" s="33" t="n">
        <f aca="false">IFERROR((R487-AV487)/R487,"")</f>
        <v>0.992857142857143</v>
      </c>
      <c r="AY487" s="34" t="n">
        <f aca="false">IFERROR(AH487*AJ487*AX487,"")</f>
        <v>0.788803680981595</v>
      </c>
      <c r="AZ487" s="35"/>
    </row>
    <row r="488" customFormat="false" ht="12.75" hidden="false" customHeight="true" outlineLevel="0" collapsed="false">
      <c r="A488" s="24" t="n">
        <v>484</v>
      </c>
      <c r="B488" s="25" t="n">
        <v>46184</v>
      </c>
      <c r="C488" s="25" t="n">
        <v>12</v>
      </c>
      <c r="D488" s="26" t="s">
        <v>71</v>
      </c>
      <c r="E488" s="26" t="s">
        <v>94</v>
      </c>
      <c r="F488" s="26" t="s">
        <v>81</v>
      </c>
      <c r="G488" s="26" t="s">
        <v>11</v>
      </c>
      <c r="H488" s="27" t="n">
        <v>0.354166666666667</v>
      </c>
      <c r="I488" s="27" t="n">
        <v>0.854166666666667</v>
      </c>
      <c r="J488" s="26" t="n">
        <f aca="false">IFERROR((I488-H488)*24*60,"")</f>
        <v>720</v>
      </c>
      <c r="K488" s="26" t="s">
        <v>105</v>
      </c>
      <c r="L488" s="26" t="s">
        <v>90</v>
      </c>
      <c r="M488" s="26" t="s">
        <v>95</v>
      </c>
      <c r="N488" s="26" t="s">
        <v>96</v>
      </c>
      <c r="O488" s="26" t="n">
        <v>8</v>
      </c>
      <c r="P488" s="26" t="n">
        <v>35</v>
      </c>
      <c r="Q488" s="26" t="n">
        <f aca="false">IFERROR(3600/(P488/O488),"")</f>
        <v>822.857142857143</v>
      </c>
      <c r="R488" s="26" t="n">
        <v>6590</v>
      </c>
      <c r="S488" s="26" t="n">
        <v>50</v>
      </c>
      <c r="T488" s="26" t="n">
        <f aca="false">IFERROR(J488-S488,"")</f>
        <v>670</v>
      </c>
      <c r="U488" s="26"/>
      <c r="V488" s="26" t="n">
        <v>8</v>
      </c>
      <c r="W488" s="26"/>
      <c r="X488" s="26"/>
      <c r="Y488" s="26"/>
      <c r="Z488" s="26"/>
      <c r="AA488" s="26"/>
      <c r="AB488" s="26"/>
      <c r="AC488" s="26"/>
      <c r="AD488" s="26"/>
      <c r="AE488" s="26"/>
      <c r="AF488" s="26" t="n">
        <f aca="false">SUM(U488:AE488)</f>
        <v>8</v>
      </c>
      <c r="AG488" s="26" t="n">
        <f aca="false">T488-AF488</f>
        <v>662</v>
      </c>
      <c r="AH488" s="28" t="n">
        <f aca="false">IFERROR(AG488/T488,"")</f>
        <v>0.988059701492537</v>
      </c>
      <c r="AI488" s="29" t="n">
        <f aca="false">IFERROR(R488/AG488*60,"")</f>
        <v>597.280966767372</v>
      </c>
      <c r="AJ488" s="30" t="n">
        <f aca="false">IFERROR(AI488/Q488,"")</f>
        <v>0.725862286002014</v>
      </c>
      <c r="AK488" s="31" t="n">
        <f aca="false">IFERROR(R488/(T488/60*Q488),"")</f>
        <v>0.717195273631841</v>
      </c>
      <c r="AL488" s="26" t="n">
        <v>23</v>
      </c>
      <c r="AM488" s="26" t="n">
        <v>16</v>
      </c>
      <c r="AN488" s="26" t="n">
        <v>14</v>
      </c>
      <c r="AO488" s="26" t="n">
        <v>18</v>
      </c>
      <c r="AP488" s="26" t="n">
        <v>16</v>
      </c>
      <c r="AQ488" s="26" t="n">
        <v>13</v>
      </c>
      <c r="AR488" s="26" t="n">
        <v>15</v>
      </c>
      <c r="AS488" s="26" t="n">
        <v>13</v>
      </c>
      <c r="AT488" s="26" t="n">
        <v>18</v>
      </c>
      <c r="AU488" s="26" t="n">
        <v>18</v>
      </c>
      <c r="AV488" s="26" t="n">
        <f aca="false">SUM(AL488:AU488)</f>
        <v>164</v>
      </c>
      <c r="AW488" s="32" t="n">
        <f aca="false">IFERROR(AV488/R488*1000000,"")</f>
        <v>24886.191198786</v>
      </c>
      <c r="AX488" s="33" t="n">
        <f aca="false">IFERROR((R488-AV488)/R488,"")</f>
        <v>0.975113808801214</v>
      </c>
      <c r="AY488" s="34" t="n">
        <f aca="false">IFERROR(AH488*AJ488*AX488,"")</f>
        <v>0.699347014925373</v>
      </c>
      <c r="AZ488" s="35" t="s">
        <v>93</v>
      </c>
    </row>
    <row r="489" customFormat="false" ht="12.75" hidden="false" customHeight="true" outlineLevel="0" collapsed="false">
      <c r="A489" s="24" t="n">
        <v>485</v>
      </c>
      <c r="B489" s="25" t="n">
        <v>46184</v>
      </c>
      <c r="C489" s="25" t="n">
        <v>12</v>
      </c>
      <c r="D489" s="26" t="s">
        <v>79</v>
      </c>
      <c r="E489" s="26" t="s">
        <v>97</v>
      </c>
      <c r="F489" s="26" t="s">
        <v>73</v>
      </c>
      <c r="G489" s="26" t="s">
        <v>12</v>
      </c>
      <c r="H489" s="27" t="n">
        <v>0.354166666666667</v>
      </c>
      <c r="I489" s="27" t="n">
        <v>0.854166666666667</v>
      </c>
      <c r="J489" s="26" t="n">
        <f aca="false">IFERROR((I489-H489)*24*60,"")</f>
        <v>720</v>
      </c>
      <c r="K489" s="26" t="s">
        <v>105</v>
      </c>
      <c r="L489" s="26" t="s">
        <v>83</v>
      </c>
      <c r="M489" s="26" t="s">
        <v>99</v>
      </c>
      <c r="N489" s="26" t="s">
        <v>100</v>
      </c>
      <c r="O489" s="26" t="n">
        <v>1</v>
      </c>
      <c r="P489" s="26" t="n">
        <v>73</v>
      </c>
      <c r="Q489" s="26" t="n">
        <f aca="false">IFERROR(3600/(P489/O489),"")</f>
        <v>49.3150684931507</v>
      </c>
      <c r="R489" s="26" t="n">
        <v>487</v>
      </c>
      <c r="S489" s="26" t="n">
        <v>35</v>
      </c>
      <c r="T489" s="26" t="n">
        <f aca="false">IFERROR(J489-S489,"")</f>
        <v>685</v>
      </c>
      <c r="U489" s="26"/>
      <c r="V489" s="26"/>
      <c r="W489" s="26"/>
      <c r="X489" s="26"/>
      <c r="Y489" s="26"/>
      <c r="Z489" s="26" t="n">
        <v>11</v>
      </c>
      <c r="AA489" s="26"/>
      <c r="AB489" s="26"/>
      <c r="AC489" s="26"/>
      <c r="AD489" s="26"/>
      <c r="AE489" s="26"/>
      <c r="AF489" s="26" t="n">
        <f aca="false">SUM(U489:AE489)</f>
        <v>11</v>
      </c>
      <c r="AG489" s="26" t="n">
        <f aca="false">T489-AF489</f>
        <v>674</v>
      </c>
      <c r="AH489" s="28" t="n">
        <f aca="false">IFERROR(AG489/T489,"")</f>
        <v>0.983941605839416</v>
      </c>
      <c r="AI489" s="29" t="n">
        <f aca="false">IFERROR(R489/AG489*60,"")</f>
        <v>43.353115727003</v>
      </c>
      <c r="AJ489" s="30" t="n">
        <f aca="false">IFERROR(AI489/Q489,"")</f>
        <v>0.879104846686449</v>
      </c>
      <c r="AK489" s="31" t="n">
        <f aca="false">IFERROR(R489/(T489/60*Q489),"")</f>
        <v>0.864987834549879</v>
      </c>
      <c r="AL489" s="26"/>
      <c r="AM489" s="26" t="n">
        <v>1</v>
      </c>
      <c r="AN489" s="26"/>
      <c r="AO489" s="26"/>
      <c r="AP489" s="26"/>
      <c r="AQ489" s="26"/>
      <c r="AR489" s="26" t="n">
        <v>1</v>
      </c>
      <c r="AS489" s="26"/>
      <c r="AT489" s="26"/>
      <c r="AU489" s="26"/>
      <c r="AV489" s="26" t="n">
        <f aca="false">SUM(AL489:AU489)</f>
        <v>2</v>
      </c>
      <c r="AW489" s="32" t="n">
        <f aca="false">IFERROR(AV489/R489*1000000,"")</f>
        <v>4106.77618069815</v>
      </c>
      <c r="AX489" s="33" t="n">
        <f aca="false">IFERROR((R489-AV489)/R489,"")</f>
        <v>0.995893223819302</v>
      </c>
      <c r="AY489" s="34" t="n">
        <f aca="false">IFERROR(AH489*AJ489*AX489,"")</f>
        <v>0.861435523114356</v>
      </c>
      <c r="AZ489" s="35" t="s">
        <v>93</v>
      </c>
    </row>
    <row r="490" customFormat="false" ht="12.75" hidden="false" customHeight="true" outlineLevel="0" collapsed="false">
      <c r="A490" s="24" t="n">
        <v>486</v>
      </c>
      <c r="B490" s="25" t="n">
        <v>46184</v>
      </c>
      <c r="C490" s="25" t="n">
        <v>12</v>
      </c>
      <c r="D490" s="26" t="s">
        <v>87</v>
      </c>
      <c r="E490" s="26" t="s">
        <v>101</v>
      </c>
      <c r="F490" s="26" t="s">
        <v>81</v>
      </c>
      <c r="G490" s="26" t="s">
        <v>13</v>
      </c>
      <c r="H490" s="27" t="n">
        <v>0.354166666666667</v>
      </c>
      <c r="I490" s="27" t="n">
        <v>0.854166666666667</v>
      </c>
      <c r="J490" s="26" t="n">
        <f aca="false">IFERROR((I490-H490)*24*60,"")</f>
        <v>720</v>
      </c>
      <c r="K490" s="26" t="s">
        <v>82</v>
      </c>
      <c r="L490" s="26" t="s">
        <v>108</v>
      </c>
      <c r="M490" s="26" t="s">
        <v>103</v>
      </c>
      <c r="N490" s="26" t="s">
        <v>104</v>
      </c>
      <c r="O490" s="26" t="n">
        <v>4</v>
      </c>
      <c r="P490" s="26" t="n">
        <v>66</v>
      </c>
      <c r="Q490" s="26" t="n">
        <f aca="false">IFERROR(3600/(P490/O490),"")</f>
        <v>218.181818181818</v>
      </c>
      <c r="R490" s="26" t="n">
        <v>2399</v>
      </c>
      <c r="S490" s="26" t="n">
        <v>52</v>
      </c>
      <c r="T490" s="26" t="n">
        <f aca="false">IFERROR(J490-S490,"")</f>
        <v>668</v>
      </c>
      <c r="U490" s="26" t="n">
        <v>3</v>
      </c>
      <c r="V490" s="26"/>
      <c r="W490" s="26"/>
      <c r="X490" s="26"/>
      <c r="Y490" s="26"/>
      <c r="Z490" s="26"/>
      <c r="AA490" s="26"/>
      <c r="AB490" s="26" t="n">
        <v>3</v>
      </c>
      <c r="AC490" s="26"/>
      <c r="AD490" s="26"/>
      <c r="AE490" s="26"/>
      <c r="AF490" s="26" t="n">
        <f aca="false">SUM(U490:AE490)</f>
        <v>6</v>
      </c>
      <c r="AG490" s="26" t="n">
        <f aca="false">T490-AF490</f>
        <v>662</v>
      </c>
      <c r="AH490" s="28" t="n">
        <f aca="false">IFERROR(AG490/T490,"")</f>
        <v>0.991017964071856</v>
      </c>
      <c r="AI490" s="29" t="n">
        <f aca="false">IFERROR(R490/AG490*60,"")</f>
        <v>217.432024169184</v>
      </c>
      <c r="AJ490" s="30" t="n">
        <f aca="false">IFERROR(AI490/Q490,"")</f>
        <v>0.996563444108761</v>
      </c>
      <c r="AK490" s="31" t="n">
        <f aca="false">IFERROR(R490/(T490/60*Q490),"")</f>
        <v>0.987612275449102</v>
      </c>
      <c r="AL490" s="26" t="n">
        <v>6</v>
      </c>
      <c r="AM490" s="26" t="n">
        <v>5</v>
      </c>
      <c r="AN490" s="26" t="n">
        <v>5</v>
      </c>
      <c r="AO490" s="26" t="n">
        <v>4</v>
      </c>
      <c r="AP490" s="26" t="n">
        <v>3</v>
      </c>
      <c r="AQ490" s="26" t="n">
        <v>3</v>
      </c>
      <c r="AR490" s="26" t="n">
        <v>5</v>
      </c>
      <c r="AS490" s="26" t="n">
        <v>2</v>
      </c>
      <c r="AT490" s="26" t="n">
        <v>3</v>
      </c>
      <c r="AU490" s="26" t="n">
        <v>1</v>
      </c>
      <c r="AV490" s="26" t="n">
        <f aca="false">SUM(AL490:AU490)</f>
        <v>37</v>
      </c>
      <c r="AW490" s="32" t="n">
        <f aca="false">IFERROR(AV490/R490*1000000,"")</f>
        <v>15423.0929553981</v>
      </c>
      <c r="AX490" s="33" t="n">
        <f aca="false">IFERROR((R490-AV490)/R490,"")</f>
        <v>0.984576907044602</v>
      </c>
      <c r="AY490" s="34" t="n">
        <f aca="false">IFERROR(AH490*AJ490*AX490,"")</f>
        <v>0.972380239520958</v>
      </c>
      <c r="AZ490" s="35" t="s">
        <v>78</v>
      </c>
    </row>
    <row r="491" customFormat="false" ht="12.75" hidden="false" customHeight="true" outlineLevel="0" collapsed="false">
      <c r="A491" s="24" t="n">
        <v>487</v>
      </c>
      <c r="B491" s="25" t="n">
        <v>46185</v>
      </c>
      <c r="C491" s="25" t="n">
        <v>12</v>
      </c>
      <c r="D491" s="26" t="s">
        <v>71</v>
      </c>
      <c r="E491" s="26" t="s">
        <v>72</v>
      </c>
      <c r="F491" s="26" t="s">
        <v>73</v>
      </c>
      <c r="G491" s="26" t="s">
        <v>8</v>
      </c>
      <c r="H491" s="27" t="n">
        <v>0.354166666666667</v>
      </c>
      <c r="I491" s="27" t="n">
        <v>0.854166666666667</v>
      </c>
      <c r="J491" s="26" t="n">
        <f aca="false">IFERROR((I491-H491)*24*60,"")</f>
        <v>720</v>
      </c>
      <c r="K491" s="26" t="s">
        <v>89</v>
      </c>
      <c r="L491" s="26" t="s">
        <v>83</v>
      </c>
      <c r="M491" s="26" t="s">
        <v>76</v>
      </c>
      <c r="N491" s="26" t="s">
        <v>77</v>
      </c>
      <c r="O491" s="26" t="n">
        <v>2</v>
      </c>
      <c r="P491" s="26" t="n">
        <v>52</v>
      </c>
      <c r="Q491" s="26" t="n">
        <f aca="false">IFERROR(3600/(P491/O491),"")</f>
        <v>138.461538461538</v>
      </c>
      <c r="R491" s="26" t="n">
        <v>1265</v>
      </c>
      <c r="S491" s="26" t="n">
        <v>49</v>
      </c>
      <c r="T491" s="26" t="n">
        <f aca="false">IFERROR(J491-S491,"")</f>
        <v>671</v>
      </c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 t="n">
        <v>16</v>
      </c>
      <c r="AF491" s="26" t="n">
        <f aca="false">SUM(U491:AE491)</f>
        <v>16</v>
      </c>
      <c r="AG491" s="26" t="n">
        <f aca="false">T491-AF491</f>
        <v>655</v>
      </c>
      <c r="AH491" s="28" t="n">
        <f aca="false">IFERROR(AG491/T491,"")</f>
        <v>0.976154992548435</v>
      </c>
      <c r="AI491" s="29" t="n">
        <f aca="false">IFERROR(R491/AG491*60,"")</f>
        <v>115.87786259542</v>
      </c>
      <c r="AJ491" s="30" t="n">
        <f aca="false">IFERROR(AI491/Q491,"")</f>
        <v>0.836895674300255</v>
      </c>
      <c r="AK491" s="31" t="n">
        <f aca="false">IFERROR(R491/(T491/60*Q491),"")</f>
        <v>0.816939890710383</v>
      </c>
      <c r="AL491" s="26" t="n">
        <v>2</v>
      </c>
      <c r="AM491" s="26" t="n">
        <v>2</v>
      </c>
      <c r="AN491" s="26"/>
      <c r="AO491" s="26" t="n">
        <v>2</v>
      </c>
      <c r="AP491" s="26" t="n">
        <v>1</v>
      </c>
      <c r="AQ491" s="26" t="n">
        <v>2</v>
      </c>
      <c r="AR491" s="26"/>
      <c r="AS491" s="26" t="n">
        <v>1</v>
      </c>
      <c r="AT491" s="26"/>
      <c r="AU491" s="26" t="n">
        <v>1</v>
      </c>
      <c r="AV491" s="26" t="n">
        <f aca="false">SUM(AL491:AU491)</f>
        <v>11</v>
      </c>
      <c r="AW491" s="32" t="n">
        <f aca="false">IFERROR(AV491/R491*1000000,"")</f>
        <v>8695.65217391304</v>
      </c>
      <c r="AX491" s="33" t="n">
        <f aca="false">IFERROR((R491-AV491)/R491,"")</f>
        <v>0.991304347826087</v>
      </c>
      <c r="AY491" s="34" t="n">
        <f aca="false">IFERROR(AH491*AJ491*AX491,"")</f>
        <v>0.809836065573771</v>
      </c>
      <c r="AZ491" s="35" t="s">
        <v>93</v>
      </c>
    </row>
    <row r="492" customFormat="false" ht="12.75" hidden="false" customHeight="true" outlineLevel="0" collapsed="false">
      <c r="A492" s="24" t="n">
        <v>488</v>
      </c>
      <c r="B492" s="25" t="n">
        <v>46185</v>
      </c>
      <c r="C492" s="25" t="n">
        <v>12</v>
      </c>
      <c r="D492" s="26" t="s">
        <v>79</v>
      </c>
      <c r="E492" s="26" t="s">
        <v>80</v>
      </c>
      <c r="F492" s="26" t="s">
        <v>81</v>
      </c>
      <c r="G492" s="26" t="s">
        <v>9</v>
      </c>
      <c r="H492" s="27" t="n">
        <v>0.354166666666667</v>
      </c>
      <c r="I492" s="27" t="n">
        <v>0.854166666666667</v>
      </c>
      <c r="J492" s="26" t="n">
        <f aca="false">IFERROR((I492-H492)*24*60,"")</f>
        <v>720</v>
      </c>
      <c r="K492" s="26" t="s">
        <v>105</v>
      </c>
      <c r="L492" s="26" t="s">
        <v>98</v>
      </c>
      <c r="M492" s="26" t="s">
        <v>84</v>
      </c>
      <c r="N492" s="26" t="s">
        <v>85</v>
      </c>
      <c r="O492" s="26" t="n">
        <v>8</v>
      </c>
      <c r="P492" s="26" t="n">
        <v>29</v>
      </c>
      <c r="Q492" s="26" t="n">
        <f aca="false">IFERROR(3600/(P492/O492),"")</f>
        <v>993.103448275862</v>
      </c>
      <c r="R492" s="26" t="n">
        <v>9066</v>
      </c>
      <c r="S492" s="26" t="n">
        <v>45</v>
      </c>
      <c r="T492" s="26" t="n">
        <f aca="false">IFERROR(J492-S492,"")</f>
        <v>675</v>
      </c>
      <c r="U492" s="26"/>
      <c r="V492" s="26"/>
      <c r="W492" s="26" t="n">
        <v>20</v>
      </c>
      <c r="X492" s="26"/>
      <c r="Y492" s="26"/>
      <c r="Z492" s="26" t="n">
        <v>5</v>
      </c>
      <c r="AA492" s="26"/>
      <c r="AB492" s="26"/>
      <c r="AC492" s="26"/>
      <c r="AD492" s="26"/>
      <c r="AE492" s="26"/>
      <c r="AF492" s="26" t="n">
        <f aca="false">SUM(U492:AE492)</f>
        <v>25</v>
      </c>
      <c r="AG492" s="26" t="n">
        <f aca="false">T492-AF492</f>
        <v>650</v>
      </c>
      <c r="AH492" s="28" t="n">
        <f aca="false">IFERROR(AG492/T492,"")</f>
        <v>0.962962962962963</v>
      </c>
      <c r="AI492" s="29" t="n">
        <f aca="false">IFERROR(R492/AG492*60,"")</f>
        <v>836.861538461538</v>
      </c>
      <c r="AJ492" s="30" t="n">
        <f aca="false">IFERROR(AI492/Q492,"")</f>
        <v>0.842673076923077</v>
      </c>
      <c r="AK492" s="31" t="n">
        <f aca="false">IFERROR(R492/(T492/60*Q492),"")</f>
        <v>0.811462962962963</v>
      </c>
      <c r="AL492" s="26" t="n">
        <v>20</v>
      </c>
      <c r="AM492" s="26" t="n">
        <v>23</v>
      </c>
      <c r="AN492" s="26" t="n">
        <v>19</v>
      </c>
      <c r="AO492" s="26" t="n">
        <v>14</v>
      </c>
      <c r="AP492" s="26" t="n">
        <v>21</v>
      </c>
      <c r="AQ492" s="26" t="n">
        <v>10</v>
      </c>
      <c r="AR492" s="26" t="n">
        <v>20</v>
      </c>
      <c r="AS492" s="26" t="n">
        <v>14</v>
      </c>
      <c r="AT492" s="26" t="n">
        <v>18</v>
      </c>
      <c r="AU492" s="26" t="n">
        <v>16</v>
      </c>
      <c r="AV492" s="26" t="n">
        <f aca="false">SUM(AL492:AU492)</f>
        <v>175</v>
      </c>
      <c r="AW492" s="32" t="n">
        <f aca="false">IFERROR(AV492/R492*1000000,"")</f>
        <v>19302.8899183764</v>
      </c>
      <c r="AX492" s="33" t="n">
        <f aca="false">IFERROR((R492-AV492)/R492,"")</f>
        <v>0.980697110081624</v>
      </c>
      <c r="AY492" s="34" t="n">
        <f aca="false">IFERROR(AH492*AJ492*AX492,"")</f>
        <v>0.795799382716049</v>
      </c>
      <c r="AZ492" s="35" t="s">
        <v>78</v>
      </c>
    </row>
    <row r="493" customFormat="false" ht="12.75" hidden="false" customHeight="true" outlineLevel="0" collapsed="false">
      <c r="A493" s="24" t="n">
        <v>489</v>
      </c>
      <c r="B493" s="25" t="n">
        <v>46185</v>
      </c>
      <c r="C493" s="25" t="n">
        <v>12</v>
      </c>
      <c r="D493" s="26" t="s">
        <v>87</v>
      </c>
      <c r="E493" s="26" t="s">
        <v>88</v>
      </c>
      <c r="F493" s="26" t="s">
        <v>73</v>
      </c>
      <c r="G493" s="26" t="s">
        <v>10</v>
      </c>
      <c r="H493" s="27" t="n">
        <v>0.354166666666667</v>
      </c>
      <c r="I493" s="27" t="n">
        <v>0.854166666666667</v>
      </c>
      <c r="J493" s="26" t="n">
        <f aca="false">IFERROR((I493-H493)*24*60,"")</f>
        <v>720</v>
      </c>
      <c r="K493" s="26" t="s">
        <v>105</v>
      </c>
      <c r="L493" s="26" t="s">
        <v>102</v>
      </c>
      <c r="M493" s="26" t="s">
        <v>91</v>
      </c>
      <c r="N493" s="26" t="s">
        <v>92</v>
      </c>
      <c r="O493" s="26" t="n">
        <v>8</v>
      </c>
      <c r="P493" s="26" t="n">
        <v>57</v>
      </c>
      <c r="Q493" s="26" t="n">
        <f aca="false">IFERROR(3600/(P493/O493),"")</f>
        <v>505.263157894737</v>
      </c>
      <c r="R493" s="26" t="n">
        <v>4234</v>
      </c>
      <c r="S493" s="26" t="n">
        <v>67</v>
      </c>
      <c r="T493" s="26" t="n">
        <f aca="false">IFERROR(J493-S493,"")</f>
        <v>653</v>
      </c>
      <c r="U493" s="26"/>
      <c r="V493" s="26" t="n">
        <v>6</v>
      </c>
      <c r="W493" s="26"/>
      <c r="X493" s="26"/>
      <c r="Y493" s="26"/>
      <c r="Z493" s="26"/>
      <c r="AA493" s="26"/>
      <c r="AB493" s="26"/>
      <c r="AC493" s="26"/>
      <c r="AD493" s="26"/>
      <c r="AE493" s="26" t="n">
        <v>3</v>
      </c>
      <c r="AF493" s="26" t="n">
        <f aca="false">SUM(U493:AE493)</f>
        <v>9</v>
      </c>
      <c r="AG493" s="26" t="n">
        <f aca="false">T493-AF493</f>
        <v>644</v>
      </c>
      <c r="AH493" s="28" t="n">
        <f aca="false">IFERROR(AG493/T493,"")</f>
        <v>0.986217457886677</v>
      </c>
      <c r="AI493" s="29" t="n">
        <f aca="false">IFERROR(R493/AG493*60,"")</f>
        <v>394.472049689441</v>
      </c>
      <c r="AJ493" s="30" t="n">
        <f aca="false">IFERROR(AI493/Q493,"")</f>
        <v>0.780725931677019</v>
      </c>
      <c r="AK493" s="31" t="n">
        <f aca="false">IFERROR(R493/(T493/60*Q493),"")</f>
        <v>0.769965543644717</v>
      </c>
      <c r="AL493" s="26" t="n">
        <v>4</v>
      </c>
      <c r="AM493" s="26" t="n">
        <v>3</v>
      </c>
      <c r="AN493" s="26" t="n">
        <v>3</v>
      </c>
      <c r="AO493" s="26" t="n">
        <v>2</v>
      </c>
      <c r="AP493" s="26"/>
      <c r="AQ493" s="26" t="n">
        <v>2</v>
      </c>
      <c r="AR493" s="26" t="n">
        <v>2</v>
      </c>
      <c r="AS493" s="26" t="n">
        <v>6</v>
      </c>
      <c r="AT493" s="26" t="n">
        <v>5</v>
      </c>
      <c r="AU493" s="26" t="n">
        <v>1</v>
      </c>
      <c r="AV493" s="26" t="n">
        <f aca="false">SUM(AL493:AU493)</f>
        <v>28</v>
      </c>
      <c r="AW493" s="32" t="n">
        <f aca="false">IFERROR(AV493/R493*1000000,"")</f>
        <v>6613.13179026925</v>
      </c>
      <c r="AX493" s="33" t="n">
        <f aca="false">IFERROR((R493-AV493)/R493,"")</f>
        <v>0.993386868209731</v>
      </c>
      <c r="AY493" s="34" t="n">
        <f aca="false">IFERROR(AH493*AJ493*AX493,"")</f>
        <v>0.764873660030628</v>
      </c>
      <c r="AZ493" s="35" t="s">
        <v>86</v>
      </c>
    </row>
    <row r="494" customFormat="false" ht="12.75" hidden="false" customHeight="true" outlineLevel="0" collapsed="false">
      <c r="A494" s="24" t="n">
        <v>490</v>
      </c>
      <c r="B494" s="25" t="n">
        <v>46186</v>
      </c>
      <c r="C494" s="25" t="n">
        <v>12</v>
      </c>
      <c r="D494" s="26" t="s">
        <v>71</v>
      </c>
      <c r="E494" s="26" t="s">
        <v>94</v>
      </c>
      <c r="F494" s="26" t="s">
        <v>81</v>
      </c>
      <c r="G494" s="26" t="s">
        <v>11</v>
      </c>
      <c r="H494" s="27" t="n">
        <v>0.354166666666667</v>
      </c>
      <c r="I494" s="27" t="n">
        <v>0.854166666666667</v>
      </c>
      <c r="J494" s="26" t="n">
        <f aca="false">IFERROR((I494-H494)*24*60,"")</f>
        <v>720</v>
      </c>
      <c r="K494" s="26" t="s">
        <v>89</v>
      </c>
      <c r="L494" s="26" t="s">
        <v>107</v>
      </c>
      <c r="M494" s="26" t="s">
        <v>95</v>
      </c>
      <c r="N494" s="26" t="s">
        <v>96</v>
      </c>
      <c r="O494" s="26" t="n">
        <v>8</v>
      </c>
      <c r="P494" s="26" t="n">
        <v>40</v>
      </c>
      <c r="Q494" s="26" t="n">
        <f aca="false">IFERROR(3600/(P494/O494),"")</f>
        <v>720</v>
      </c>
      <c r="R494" s="26" t="n">
        <v>6822</v>
      </c>
      <c r="S494" s="26" t="n">
        <v>38</v>
      </c>
      <c r="T494" s="26" t="n">
        <f aca="false">IFERROR(J494-S494,"")</f>
        <v>682</v>
      </c>
      <c r="U494" s="26"/>
      <c r="V494" s="26"/>
      <c r="W494" s="26"/>
      <c r="X494" s="26" t="n">
        <v>11</v>
      </c>
      <c r="Y494" s="26"/>
      <c r="Z494" s="26"/>
      <c r="AA494" s="26"/>
      <c r="AB494" s="26"/>
      <c r="AC494" s="26"/>
      <c r="AD494" s="26"/>
      <c r="AE494" s="26"/>
      <c r="AF494" s="26" t="n">
        <f aca="false">SUM(U494:AE494)</f>
        <v>11</v>
      </c>
      <c r="AG494" s="26" t="n">
        <f aca="false">T494-AF494</f>
        <v>671</v>
      </c>
      <c r="AH494" s="28" t="n">
        <f aca="false">IFERROR(AG494/T494,"")</f>
        <v>0.983870967741936</v>
      </c>
      <c r="AI494" s="29" t="n">
        <f aca="false">IFERROR(R494/AG494*60,"")</f>
        <v>610.014903129657</v>
      </c>
      <c r="AJ494" s="30" t="n">
        <f aca="false">IFERROR(AI494/Q494,"")</f>
        <v>0.847242921013413</v>
      </c>
      <c r="AK494" s="31" t="n">
        <f aca="false">IFERROR(R494/(T494/60*Q494),"")</f>
        <v>0.833577712609971</v>
      </c>
      <c r="AL494" s="26" t="n">
        <v>13</v>
      </c>
      <c r="AM494" s="26" t="n">
        <v>10</v>
      </c>
      <c r="AN494" s="26" t="n">
        <v>9</v>
      </c>
      <c r="AO494" s="26" t="n">
        <v>9</v>
      </c>
      <c r="AP494" s="26" t="n">
        <v>10</v>
      </c>
      <c r="AQ494" s="26" t="n">
        <v>7</v>
      </c>
      <c r="AR494" s="26" t="n">
        <v>10</v>
      </c>
      <c r="AS494" s="26" t="n">
        <v>6</v>
      </c>
      <c r="AT494" s="26" t="n">
        <v>9</v>
      </c>
      <c r="AU494" s="26" t="n">
        <v>6</v>
      </c>
      <c r="AV494" s="26" t="n">
        <f aca="false">SUM(AL494:AU494)</f>
        <v>89</v>
      </c>
      <c r="AW494" s="32" t="n">
        <f aca="false">IFERROR(AV494/R494*1000000,"")</f>
        <v>13046.0275579009</v>
      </c>
      <c r="AX494" s="33" t="n">
        <f aca="false">IFERROR((R494-AV494)/R494,"")</f>
        <v>0.986953972442099</v>
      </c>
      <c r="AY494" s="34" t="n">
        <f aca="false">IFERROR(AH494*AJ494*AX494,"")</f>
        <v>0.822702834799609</v>
      </c>
      <c r="AZ494" s="35" t="s">
        <v>78</v>
      </c>
    </row>
    <row r="495" customFormat="false" ht="12.75" hidden="false" customHeight="true" outlineLevel="0" collapsed="false">
      <c r="A495" s="24" t="n">
        <v>491</v>
      </c>
      <c r="B495" s="25" t="n">
        <v>46186</v>
      </c>
      <c r="C495" s="25" t="n">
        <v>12</v>
      </c>
      <c r="D495" s="26" t="s">
        <v>79</v>
      </c>
      <c r="E495" s="26" t="s">
        <v>97</v>
      </c>
      <c r="F495" s="26" t="s">
        <v>73</v>
      </c>
      <c r="G495" s="26" t="s">
        <v>12</v>
      </c>
      <c r="H495" s="27" t="n">
        <v>0.354166666666667</v>
      </c>
      <c r="I495" s="27" t="n">
        <v>0.854166666666667</v>
      </c>
      <c r="J495" s="26" t="n">
        <f aca="false">IFERROR((I495-H495)*24*60,"")</f>
        <v>720</v>
      </c>
      <c r="K495" s="26" t="s">
        <v>105</v>
      </c>
      <c r="L495" s="26" t="s">
        <v>98</v>
      </c>
      <c r="M495" s="26" t="s">
        <v>99</v>
      </c>
      <c r="N495" s="26" t="s">
        <v>100</v>
      </c>
      <c r="O495" s="26" t="n">
        <v>1</v>
      </c>
      <c r="P495" s="26" t="n">
        <v>33</v>
      </c>
      <c r="Q495" s="26" t="n">
        <f aca="false">IFERROR(3600/(P495/O495),"")</f>
        <v>109.090909090909</v>
      </c>
      <c r="R495" s="26" t="n">
        <v>864</v>
      </c>
      <c r="S495" s="26" t="n">
        <v>50</v>
      </c>
      <c r="T495" s="26" t="n">
        <f aca="false">IFERROR(J495-S495,"")</f>
        <v>670</v>
      </c>
      <c r="U495" s="26"/>
      <c r="V495" s="26"/>
      <c r="W495" s="26"/>
      <c r="X495" s="26"/>
      <c r="Y495" s="26"/>
      <c r="Z495" s="26"/>
      <c r="AA495" s="26"/>
      <c r="AB495" s="26" t="n">
        <v>15</v>
      </c>
      <c r="AC495" s="26"/>
      <c r="AD495" s="26"/>
      <c r="AE495" s="26"/>
      <c r="AF495" s="26" t="n">
        <f aca="false">SUM(U495:AE495)</f>
        <v>15</v>
      </c>
      <c r="AG495" s="26" t="n">
        <f aca="false">T495-AF495</f>
        <v>655</v>
      </c>
      <c r="AH495" s="28" t="n">
        <f aca="false">IFERROR(AG495/T495,"")</f>
        <v>0.977611940298508</v>
      </c>
      <c r="AI495" s="29" t="n">
        <f aca="false">IFERROR(R495/AG495*60,"")</f>
        <v>79.1450381679389</v>
      </c>
      <c r="AJ495" s="30" t="n">
        <f aca="false">IFERROR(AI495/Q495,"")</f>
        <v>0.725496183206107</v>
      </c>
      <c r="AK495" s="31" t="n">
        <f aca="false">IFERROR(R495/(T495/60*Q495),"")</f>
        <v>0.709253731343284</v>
      </c>
      <c r="AL495" s="26" t="n">
        <v>2</v>
      </c>
      <c r="AM495" s="26" t="n">
        <v>2</v>
      </c>
      <c r="AN495" s="26"/>
      <c r="AO495" s="26" t="n">
        <v>3</v>
      </c>
      <c r="AP495" s="26" t="n">
        <v>2</v>
      </c>
      <c r="AQ495" s="26" t="n">
        <v>2</v>
      </c>
      <c r="AR495" s="26" t="n">
        <v>2</v>
      </c>
      <c r="AS495" s="26"/>
      <c r="AT495" s="26" t="n">
        <v>2</v>
      </c>
      <c r="AU495" s="26" t="n">
        <v>1</v>
      </c>
      <c r="AV495" s="26" t="n">
        <f aca="false">SUM(AL495:AU495)</f>
        <v>16</v>
      </c>
      <c r="AW495" s="32" t="n">
        <f aca="false">IFERROR(AV495/R495*1000000,"")</f>
        <v>18518.5185185185</v>
      </c>
      <c r="AX495" s="33" t="n">
        <f aca="false">IFERROR((R495-AV495)/R495,"")</f>
        <v>0.981481481481482</v>
      </c>
      <c r="AY495" s="34" t="n">
        <f aca="false">IFERROR(AH495*AJ495*AX495,"")</f>
        <v>0.696119402985075</v>
      </c>
      <c r="AZ495" s="35"/>
    </row>
    <row r="496" customFormat="false" ht="12.75" hidden="false" customHeight="true" outlineLevel="0" collapsed="false">
      <c r="A496" s="24" t="n">
        <v>492</v>
      </c>
      <c r="B496" s="25" t="n">
        <v>46186</v>
      </c>
      <c r="C496" s="25" t="n">
        <v>12</v>
      </c>
      <c r="D496" s="26" t="s">
        <v>87</v>
      </c>
      <c r="E496" s="26" t="s">
        <v>101</v>
      </c>
      <c r="F496" s="26" t="s">
        <v>81</v>
      </c>
      <c r="G496" s="26" t="s">
        <v>13</v>
      </c>
      <c r="H496" s="27" t="n">
        <v>0.354166666666667</v>
      </c>
      <c r="I496" s="27" t="n">
        <v>0.854166666666667</v>
      </c>
      <c r="J496" s="26" t="n">
        <f aca="false">IFERROR((I496-H496)*24*60,"")</f>
        <v>720</v>
      </c>
      <c r="K496" s="26" t="s">
        <v>82</v>
      </c>
      <c r="L496" s="26" t="s">
        <v>106</v>
      </c>
      <c r="M496" s="26" t="s">
        <v>103</v>
      </c>
      <c r="N496" s="26" t="s">
        <v>104</v>
      </c>
      <c r="O496" s="26" t="n">
        <v>2</v>
      </c>
      <c r="P496" s="26" t="n">
        <v>55</v>
      </c>
      <c r="Q496" s="26" t="n">
        <f aca="false">IFERROR(3600/(P496/O496),"")</f>
        <v>130.909090909091</v>
      </c>
      <c r="R496" s="26" t="n">
        <v>1201</v>
      </c>
      <c r="S496" s="26" t="n">
        <v>56</v>
      </c>
      <c r="T496" s="26" t="n">
        <f aca="false">IFERROR(J496-S496,"")</f>
        <v>664</v>
      </c>
      <c r="U496" s="26"/>
      <c r="V496" s="26" t="n">
        <v>16</v>
      </c>
      <c r="W496" s="26"/>
      <c r="X496" s="26" t="n">
        <v>19</v>
      </c>
      <c r="Y496" s="26"/>
      <c r="Z496" s="26"/>
      <c r="AA496" s="26"/>
      <c r="AB496" s="26" t="n">
        <v>8</v>
      </c>
      <c r="AC496" s="26"/>
      <c r="AD496" s="26"/>
      <c r="AE496" s="26"/>
      <c r="AF496" s="26" t="n">
        <f aca="false">SUM(U496:AE496)</f>
        <v>43</v>
      </c>
      <c r="AG496" s="26" t="n">
        <f aca="false">T496-AF496</f>
        <v>621</v>
      </c>
      <c r="AH496" s="28" t="n">
        <f aca="false">IFERROR(AG496/T496,"")</f>
        <v>0.935240963855422</v>
      </c>
      <c r="AI496" s="29" t="n">
        <f aca="false">IFERROR(R496/AG496*60,"")</f>
        <v>116.038647342995</v>
      </c>
      <c r="AJ496" s="30" t="n">
        <f aca="false">IFERROR(AI496/Q496,"")</f>
        <v>0.886406333870102</v>
      </c>
      <c r="AK496" s="31" t="n">
        <f aca="false">IFERROR(R496/(T496/60*Q496),"")</f>
        <v>0.829003514056225</v>
      </c>
      <c r="AL496" s="26"/>
      <c r="AM496" s="26" t="n">
        <v>4</v>
      </c>
      <c r="AN496" s="26" t="n">
        <v>2</v>
      </c>
      <c r="AO496" s="26" t="n">
        <v>1</v>
      </c>
      <c r="AP496" s="26"/>
      <c r="AQ496" s="26" t="n">
        <v>3</v>
      </c>
      <c r="AR496" s="26"/>
      <c r="AS496" s="26" t="n">
        <v>3</v>
      </c>
      <c r="AT496" s="26" t="n">
        <v>2</v>
      </c>
      <c r="AU496" s="26" t="n">
        <v>2</v>
      </c>
      <c r="AV496" s="26" t="n">
        <f aca="false">SUM(AL496:AU496)</f>
        <v>17</v>
      </c>
      <c r="AW496" s="32" t="n">
        <f aca="false">IFERROR(AV496/R496*1000000,"")</f>
        <v>14154.8709408826</v>
      </c>
      <c r="AX496" s="33" t="n">
        <f aca="false">IFERROR((R496-AV496)/R496,"")</f>
        <v>0.985845129059117</v>
      </c>
      <c r="AY496" s="34" t="n">
        <f aca="false">IFERROR(AH496*AJ496*AX496,"")</f>
        <v>0.817269076305221</v>
      </c>
      <c r="AZ496" s="35" t="s">
        <v>93</v>
      </c>
    </row>
    <row r="497" customFormat="false" ht="12.75" hidden="false" customHeight="true" outlineLevel="0" collapsed="false">
      <c r="A497" s="24" t="n">
        <v>493</v>
      </c>
      <c r="B497" s="25" t="n">
        <v>46187</v>
      </c>
      <c r="C497" s="25" t="n">
        <v>12</v>
      </c>
      <c r="D497" s="26" t="s">
        <v>71</v>
      </c>
      <c r="E497" s="26" t="s">
        <v>72</v>
      </c>
      <c r="F497" s="26" t="s">
        <v>73</v>
      </c>
      <c r="G497" s="26" t="s">
        <v>8</v>
      </c>
      <c r="H497" s="27" t="n">
        <v>0.354166666666667</v>
      </c>
      <c r="I497" s="27" t="n">
        <v>0.854166666666667</v>
      </c>
      <c r="J497" s="26" t="n">
        <f aca="false">IFERROR((I497-H497)*24*60,"")</f>
        <v>720</v>
      </c>
      <c r="K497" s="26" t="s">
        <v>82</v>
      </c>
      <c r="L497" s="26" t="s">
        <v>98</v>
      </c>
      <c r="M497" s="26" t="s">
        <v>76</v>
      </c>
      <c r="N497" s="26" t="s">
        <v>77</v>
      </c>
      <c r="O497" s="26" t="n">
        <v>1</v>
      </c>
      <c r="P497" s="26" t="n">
        <v>72</v>
      </c>
      <c r="Q497" s="26" t="n">
        <f aca="false">IFERROR(3600/(P497/O497),"")</f>
        <v>50</v>
      </c>
      <c r="R497" s="26" t="n">
        <v>488</v>
      </c>
      <c r="S497" s="26" t="n">
        <v>39</v>
      </c>
      <c r="T497" s="26" t="n">
        <f aca="false">IFERROR(J497-S497,"")</f>
        <v>681</v>
      </c>
      <c r="U497" s="26" t="n">
        <v>31</v>
      </c>
      <c r="V497" s="26"/>
      <c r="W497" s="26" t="n">
        <v>17</v>
      </c>
      <c r="X497" s="26"/>
      <c r="Y497" s="26"/>
      <c r="Z497" s="26"/>
      <c r="AA497" s="26" t="n">
        <v>10</v>
      </c>
      <c r="AB497" s="26"/>
      <c r="AC497" s="26"/>
      <c r="AD497" s="26"/>
      <c r="AE497" s="26"/>
      <c r="AF497" s="26" t="n">
        <f aca="false">SUM(U497:AE497)</f>
        <v>58</v>
      </c>
      <c r="AG497" s="26" t="n">
        <f aca="false">T497-AF497</f>
        <v>623</v>
      </c>
      <c r="AH497" s="28" t="n">
        <f aca="false">IFERROR(AG497/T497,"")</f>
        <v>0.914831130690162</v>
      </c>
      <c r="AI497" s="29" t="n">
        <f aca="false">IFERROR(R497/AG497*60,"")</f>
        <v>46.9983948635634</v>
      </c>
      <c r="AJ497" s="30" t="n">
        <f aca="false">IFERROR(AI497/Q497,"")</f>
        <v>0.939967897271268</v>
      </c>
      <c r="AK497" s="31" t="n">
        <f aca="false">IFERROR(R497/(T497/60*Q497),"")</f>
        <v>0.859911894273128</v>
      </c>
      <c r="AL497" s="26"/>
      <c r="AM497" s="26"/>
      <c r="AN497" s="26"/>
      <c r="AO497" s="26"/>
      <c r="AP497" s="26" t="n">
        <v>1</v>
      </c>
      <c r="AQ497" s="26"/>
      <c r="AR497" s="26" t="n">
        <v>1</v>
      </c>
      <c r="AS497" s="26"/>
      <c r="AT497" s="26"/>
      <c r="AU497" s="26"/>
      <c r="AV497" s="26" t="n">
        <f aca="false">SUM(AL497:AU497)</f>
        <v>2</v>
      </c>
      <c r="AW497" s="32" t="n">
        <f aca="false">IFERROR(AV497/R497*1000000,"")</f>
        <v>4098.36065573771</v>
      </c>
      <c r="AX497" s="33" t="n">
        <f aca="false">IFERROR((R497-AV497)/R497,"")</f>
        <v>0.995901639344262</v>
      </c>
      <c r="AY497" s="34" t="n">
        <f aca="false">IFERROR(AH497*AJ497*AX497,"")</f>
        <v>0.856387665198238</v>
      </c>
      <c r="AZ497" s="35"/>
    </row>
    <row r="498" customFormat="false" ht="12.75" hidden="false" customHeight="true" outlineLevel="0" collapsed="false">
      <c r="A498" s="24" t="n">
        <v>494</v>
      </c>
      <c r="B498" s="25" t="n">
        <v>46187</v>
      </c>
      <c r="C498" s="25" t="n">
        <v>12</v>
      </c>
      <c r="D498" s="26" t="s">
        <v>79</v>
      </c>
      <c r="E498" s="26" t="s">
        <v>80</v>
      </c>
      <c r="F498" s="26" t="s">
        <v>81</v>
      </c>
      <c r="G498" s="26" t="s">
        <v>9</v>
      </c>
      <c r="H498" s="27" t="n">
        <v>0.354166666666667</v>
      </c>
      <c r="I498" s="27" t="n">
        <v>0.854166666666667</v>
      </c>
      <c r="J498" s="26" t="n">
        <f aca="false">IFERROR((I498-H498)*24*60,"")</f>
        <v>720</v>
      </c>
      <c r="K498" s="26" t="s">
        <v>74</v>
      </c>
      <c r="L498" s="26" t="s">
        <v>102</v>
      </c>
      <c r="M498" s="26" t="s">
        <v>84</v>
      </c>
      <c r="N498" s="26" t="s">
        <v>85</v>
      </c>
      <c r="O498" s="26" t="n">
        <v>2</v>
      </c>
      <c r="P498" s="26" t="n">
        <v>26</v>
      </c>
      <c r="Q498" s="26" t="n">
        <f aca="false">IFERROR(3600/(P498/O498),"")</f>
        <v>276.923076923077</v>
      </c>
      <c r="R498" s="26" t="n">
        <v>2290</v>
      </c>
      <c r="S498" s="26" t="n">
        <v>59</v>
      </c>
      <c r="T498" s="26" t="n">
        <f aca="false">IFERROR(J498-S498,"")</f>
        <v>661</v>
      </c>
      <c r="U498" s="26" t="n">
        <v>9</v>
      </c>
      <c r="V498" s="26"/>
      <c r="W498" s="26"/>
      <c r="X498" s="26" t="n">
        <v>17</v>
      </c>
      <c r="Y498" s="26"/>
      <c r="Z498" s="26"/>
      <c r="AA498" s="26"/>
      <c r="AB498" s="26"/>
      <c r="AC498" s="26"/>
      <c r="AD498" s="26"/>
      <c r="AE498" s="26"/>
      <c r="AF498" s="26" t="n">
        <f aca="false">SUM(U498:AE498)</f>
        <v>26</v>
      </c>
      <c r="AG498" s="26" t="n">
        <f aca="false">T498-AF498</f>
        <v>635</v>
      </c>
      <c r="AH498" s="28" t="n">
        <f aca="false">IFERROR(AG498/T498,"")</f>
        <v>0.960665658093797</v>
      </c>
      <c r="AI498" s="29" t="n">
        <f aca="false">IFERROR(R498/AG498*60,"")</f>
        <v>216.377952755906</v>
      </c>
      <c r="AJ498" s="30" t="n">
        <f aca="false">IFERROR(AI498/Q498,"")</f>
        <v>0.781364829396326</v>
      </c>
      <c r="AK498" s="31" t="n">
        <f aca="false">IFERROR(R498/(T498/60*Q498),"")</f>
        <v>0.750630358043369</v>
      </c>
      <c r="AL498" s="26"/>
      <c r="AM498" s="26" t="n">
        <v>1</v>
      </c>
      <c r="AN498" s="26"/>
      <c r="AO498" s="26"/>
      <c r="AP498" s="26" t="n">
        <v>1</v>
      </c>
      <c r="AQ498" s="26" t="n">
        <v>1</v>
      </c>
      <c r="AR498" s="26" t="n">
        <v>1</v>
      </c>
      <c r="AS498" s="26" t="n">
        <v>2</v>
      </c>
      <c r="AT498" s="26" t="n">
        <v>1</v>
      </c>
      <c r="AU498" s="26"/>
      <c r="AV498" s="26" t="n">
        <f aca="false">SUM(AL498:AU498)</f>
        <v>7</v>
      </c>
      <c r="AW498" s="32" t="n">
        <f aca="false">IFERROR(AV498/R498*1000000,"")</f>
        <v>3056.76855895197</v>
      </c>
      <c r="AX498" s="33" t="n">
        <f aca="false">IFERROR((R498-AV498)/R498,"")</f>
        <v>0.996943231441048</v>
      </c>
      <c r="AY498" s="34" t="n">
        <f aca="false">IFERROR(AH498*AJ498*AX498,"")</f>
        <v>0.748335854765507</v>
      </c>
      <c r="AZ498" s="35" t="s">
        <v>78</v>
      </c>
    </row>
    <row r="499" customFormat="false" ht="12.75" hidden="false" customHeight="true" outlineLevel="0" collapsed="false">
      <c r="A499" s="24" t="n">
        <v>495</v>
      </c>
      <c r="B499" s="25" t="n">
        <v>46187</v>
      </c>
      <c r="C499" s="25" t="n">
        <v>12</v>
      </c>
      <c r="D499" s="26" t="s">
        <v>87</v>
      </c>
      <c r="E499" s="26" t="s">
        <v>88</v>
      </c>
      <c r="F499" s="26" t="s">
        <v>73</v>
      </c>
      <c r="G499" s="26" t="s">
        <v>10</v>
      </c>
      <c r="H499" s="27" t="n">
        <v>0.354166666666667</v>
      </c>
      <c r="I499" s="27" t="n">
        <v>0.854166666666667</v>
      </c>
      <c r="J499" s="26" t="n">
        <f aca="false">IFERROR((I499-H499)*24*60,"")</f>
        <v>720</v>
      </c>
      <c r="K499" s="26" t="s">
        <v>74</v>
      </c>
      <c r="L499" s="26" t="s">
        <v>90</v>
      </c>
      <c r="M499" s="26" t="s">
        <v>91</v>
      </c>
      <c r="N499" s="26" t="s">
        <v>92</v>
      </c>
      <c r="O499" s="26" t="n">
        <v>8</v>
      </c>
      <c r="P499" s="26" t="n">
        <v>44</v>
      </c>
      <c r="Q499" s="26" t="n">
        <f aca="false">IFERROR(3600/(P499/O499),"")</f>
        <v>654.545454545455</v>
      </c>
      <c r="R499" s="26" t="n">
        <v>5868</v>
      </c>
      <c r="S499" s="26" t="n">
        <v>43</v>
      </c>
      <c r="T499" s="26" t="n">
        <f aca="false">IFERROR(J499-S499,"")</f>
        <v>677</v>
      </c>
      <c r="U499" s="26" t="n">
        <v>11</v>
      </c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 t="n">
        <f aca="false">SUM(U499:AE499)</f>
        <v>11</v>
      </c>
      <c r="AG499" s="26" t="n">
        <f aca="false">T499-AF499</f>
        <v>666</v>
      </c>
      <c r="AH499" s="28" t="n">
        <f aca="false">IFERROR(AG499/T499,"")</f>
        <v>0.983751846381093</v>
      </c>
      <c r="AI499" s="29" t="n">
        <f aca="false">IFERROR(R499/AG499*60,"")</f>
        <v>528.648648648649</v>
      </c>
      <c r="AJ499" s="30" t="n">
        <f aca="false">IFERROR(AI499/Q499,"")</f>
        <v>0.807657657657658</v>
      </c>
      <c r="AK499" s="31" t="n">
        <f aca="false">IFERROR(R499/(T499/60*Q499),"")</f>
        <v>0.79453471196455</v>
      </c>
      <c r="AL499" s="26" t="n">
        <v>11</v>
      </c>
      <c r="AM499" s="26" t="n">
        <v>4</v>
      </c>
      <c r="AN499" s="26" t="n">
        <v>15</v>
      </c>
      <c r="AO499" s="26" t="n">
        <v>11</v>
      </c>
      <c r="AP499" s="26" t="n">
        <v>10</v>
      </c>
      <c r="AQ499" s="26" t="n">
        <v>12</v>
      </c>
      <c r="AR499" s="26" t="n">
        <v>16</v>
      </c>
      <c r="AS499" s="26" t="n">
        <v>16</v>
      </c>
      <c r="AT499" s="26" t="n">
        <v>12</v>
      </c>
      <c r="AU499" s="26" t="n">
        <v>9</v>
      </c>
      <c r="AV499" s="26" t="n">
        <f aca="false">SUM(AL499:AU499)</f>
        <v>116</v>
      </c>
      <c r="AW499" s="32" t="n">
        <f aca="false">IFERROR(AV499/R499*1000000,"")</f>
        <v>19768.2344921609</v>
      </c>
      <c r="AX499" s="33" t="n">
        <f aca="false">IFERROR((R499-AV499)/R499,"")</f>
        <v>0.980231765507839</v>
      </c>
      <c r="AY499" s="34" t="n">
        <f aca="false">IFERROR(AH499*AJ499*AX499,"")</f>
        <v>0.778828163466273</v>
      </c>
      <c r="AZ499" s="35" t="s">
        <v>86</v>
      </c>
    </row>
    <row r="500" customFormat="false" ht="12.75" hidden="false" customHeight="true" outlineLevel="0" collapsed="false">
      <c r="A500" s="24" t="n">
        <v>496</v>
      </c>
      <c r="B500" s="25" t="n">
        <v>46188</v>
      </c>
      <c r="C500" s="25" t="n">
        <v>12</v>
      </c>
      <c r="D500" s="26" t="s">
        <v>71</v>
      </c>
      <c r="E500" s="26" t="s">
        <v>94</v>
      </c>
      <c r="F500" s="26" t="s">
        <v>81</v>
      </c>
      <c r="G500" s="26" t="s">
        <v>11</v>
      </c>
      <c r="H500" s="27" t="n">
        <v>0.354166666666667</v>
      </c>
      <c r="I500" s="27" t="n">
        <v>0.854166666666667</v>
      </c>
      <c r="J500" s="26" t="n">
        <f aca="false">IFERROR((I500-H500)*24*60,"")</f>
        <v>720</v>
      </c>
      <c r="K500" s="26" t="s">
        <v>82</v>
      </c>
      <c r="L500" s="26" t="s">
        <v>106</v>
      </c>
      <c r="M500" s="26" t="s">
        <v>95</v>
      </c>
      <c r="N500" s="26" t="s">
        <v>96</v>
      </c>
      <c r="O500" s="26" t="n">
        <v>8</v>
      </c>
      <c r="P500" s="26" t="n">
        <v>30</v>
      </c>
      <c r="Q500" s="26" t="n">
        <f aca="false">IFERROR(3600/(P500/O500),"")</f>
        <v>960</v>
      </c>
      <c r="R500" s="26" t="n">
        <v>7865</v>
      </c>
      <c r="S500" s="26" t="n">
        <v>41</v>
      </c>
      <c r="T500" s="26" t="n">
        <f aca="false">IFERROR(J500-S500,"")</f>
        <v>679</v>
      </c>
      <c r="U500" s="26"/>
      <c r="V500" s="26"/>
      <c r="W500" s="26"/>
      <c r="X500" s="26"/>
      <c r="Y500" s="26"/>
      <c r="Z500" s="26" t="n">
        <v>10</v>
      </c>
      <c r="AA500" s="26"/>
      <c r="AB500" s="26"/>
      <c r="AC500" s="26"/>
      <c r="AD500" s="26"/>
      <c r="AE500" s="26"/>
      <c r="AF500" s="26" t="n">
        <f aca="false">SUM(U500:AE500)</f>
        <v>10</v>
      </c>
      <c r="AG500" s="26" t="n">
        <f aca="false">T500-AF500</f>
        <v>669</v>
      </c>
      <c r="AH500" s="28" t="n">
        <f aca="false">IFERROR(AG500/T500,"")</f>
        <v>0.985272459499264</v>
      </c>
      <c r="AI500" s="29" t="n">
        <f aca="false">IFERROR(R500/AG500*60,"")</f>
        <v>705.381165919283</v>
      </c>
      <c r="AJ500" s="30" t="n">
        <f aca="false">IFERROR(AI500/Q500,"")</f>
        <v>0.734772047832586</v>
      </c>
      <c r="AK500" s="31" t="n">
        <f aca="false">IFERROR(R500/(T500/60*Q500),"")</f>
        <v>0.723950662739323</v>
      </c>
      <c r="AL500" s="26" t="n">
        <v>16</v>
      </c>
      <c r="AM500" s="26" t="n">
        <v>12</v>
      </c>
      <c r="AN500" s="26" t="n">
        <v>18</v>
      </c>
      <c r="AO500" s="26" t="n">
        <v>12</v>
      </c>
      <c r="AP500" s="26" t="n">
        <v>11</v>
      </c>
      <c r="AQ500" s="26" t="n">
        <v>8</v>
      </c>
      <c r="AR500" s="26" t="n">
        <v>17</v>
      </c>
      <c r="AS500" s="26" t="n">
        <v>13</v>
      </c>
      <c r="AT500" s="26" t="n">
        <v>10</v>
      </c>
      <c r="AU500" s="26" t="n">
        <v>16</v>
      </c>
      <c r="AV500" s="26" t="n">
        <f aca="false">SUM(AL500:AU500)</f>
        <v>133</v>
      </c>
      <c r="AW500" s="32" t="n">
        <f aca="false">IFERROR(AV500/R500*1000000,"")</f>
        <v>16910.3623649078</v>
      </c>
      <c r="AX500" s="33" t="n">
        <f aca="false">IFERROR((R500-AV500)/R500,"")</f>
        <v>0.983089637635092</v>
      </c>
      <c r="AY500" s="34" t="n">
        <f aca="false">IFERROR(AH500*AJ500*AX500,"")</f>
        <v>0.711708394698085</v>
      </c>
      <c r="AZ500" s="35" t="s">
        <v>86</v>
      </c>
    </row>
    <row r="501" customFormat="false" ht="12.75" hidden="false" customHeight="true" outlineLevel="0" collapsed="false">
      <c r="A501" s="24" t="n">
        <v>497</v>
      </c>
      <c r="B501" s="25" t="n">
        <v>46188</v>
      </c>
      <c r="C501" s="25" t="n">
        <v>12</v>
      </c>
      <c r="D501" s="26" t="s">
        <v>79</v>
      </c>
      <c r="E501" s="26" t="s">
        <v>97</v>
      </c>
      <c r="F501" s="26" t="s">
        <v>73</v>
      </c>
      <c r="G501" s="26" t="s">
        <v>12</v>
      </c>
      <c r="H501" s="27" t="n">
        <v>0.354166666666667</v>
      </c>
      <c r="I501" s="27" t="n">
        <v>0.854166666666667</v>
      </c>
      <c r="J501" s="26" t="n">
        <f aca="false">IFERROR((I501-H501)*24*60,"")</f>
        <v>720</v>
      </c>
      <c r="K501" s="26" t="s">
        <v>82</v>
      </c>
      <c r="L501" s="26" t="s">
        <v>106</v>
      </c>
      <c r="M501" s="26" t="s">
        <v>99</v>
      </c>
      <c r="N501" s="26" t="s">
        <v>100</v>
      </c>
      <c r="O501" s="26" t="n">
        <v>4</v>
      </c>
      <c r="P501" s="26" t="n">
        <v>63</v>
      </c>
      <c r="Q501" s="26" t="n">
        <f aca="false">IFERROR(3600/(P501/O501),"")</f>
        <v>228.571428571429</v>
      </c>
      <c r="R501" s="26" t="n">
        <v>2140</v>
      </c>
      <c r="S501" s="26" t="n">
        <v>67</v>
      </c>
      <c r="T501" s="26" t="n">
        <f aca="false">IFERROR(J501-S501,"")</f>
        <v>653</v>
      </c>
      <c r="U501" s="26" t="n">
        <v>43</v>
      </c>
      <c r="V501" s="26"/>
      <c r="W501" s="26"/>
      <c r="X501" s="26"/>
      <c r="Y501" s="26"/>
      <c r="Z501" s="26"/>
      <c r="AA501" s="26"/>
      <c r="AB501" s="26"/>
      <c r="AC501" s="26" t="n">
        <v>29</v>
      </c>
      <c r="AD501" s="26"/>
      <c r="AE501" s="26"/>
      <c r="AF501" s="26" t="n">
        <f aca="false">SUM(U501:AE501)</f>
        <v>72</v>
      </c>
      <c r="AG501" s="26" t="n">
        <f aca="false">T501-AF501</f>
        <v>581</v>
      </c>
      <c r="AH501" s="28" t="n">
        <f aca="false">IFERROR(AG501/T501,"")</f>
        <v>0.889739663093415</v>
      </c>
      <c r="AI501" s="29" t="n">
        <f aca="false">IFERROR(R501/AG501*60,"")</f>
        <v>220.998278829604</v>
      </c>
      <c r="AJ501" s="30" t="n">
        <f aca="false">IFERROR(AI501/Q501,"")</f>
        <v>0.966867469879518</v>
      </c>
      <c r="AK501" s="31" t="n">
        <f aca="false">IFERROR(R501/(T501/60*Q501),"")</f>
        <v>0.860260336906585</v>
      </c>
      <c r="AL501" s="26" t="n">
        <v>9</v>
      </c>
      <c r="AM501" s="26" t="n">
        <v>3</v>
      </c>
      <c r="AN501" s="26" t="n">
        <v>9</v>
      </c>
      <c r="AO501" s="26" t="n">
        <v>6</v>
      </c>
      <c r="AP501" s="26" t="n">
        <v>4</v>
      </c>
      <c r="AQ501" s="26" t="n">
        <v>4</v>
      </c>
      <c r="AR501" s="26" t="n">
        <v>3</v>
      </c>
      <c r="AS501" s="26" t="n">
        <v>1</v>
      </c>
      <c r="AT501" s="26" t="n">
        <v>2</v>
      </c>
      <c r="AU501" s="26" t="n">
        <v>5</v>
      </c>
      <c r="AV501" s="26" t="n">
        <f aca="false">SUM(AL501:AU501)</f>
        <v>46</v>
      </c>
      <c r="AW501" s="32" t="n">
        <f aca="false">IFERROR(AV501/R501*1000000,"")</f>
        <v>21495.3271028037</v>
      </c>
      <c r="AX501" s="33" t="n">
        <f aca="false">IFERROR((R501-AV501)/R501,"")</f>
        <v>0.978504672897196</v>
      </c>
      <c r="AY501" s="34" t="n">
        <f aca="false">IFERROR(AH501*AJ501*AX501,"")</f>
        <v>0.84176875957121</v>
      </c>
      <c r="AZ501" s="35" t="s">
        <v>93</v>
      </c>
    </row>
    <row r="502" customFormat="false" ht="12.75" hidden="false" customHeight="true" outlineLevel="0" collapsed="false">
      <c r="A502" s="24" t="n">
        <v>498</v>
      </c>
      <c r="B502" s="25" t="n">
        <v>46188</v>
      </c>
      <c r="C502" s="25" t="n">
        <v>12</v>
      </c>
      <c r="D502" s="26" t="s">
        <v>87</v>
      </c>
      <c r="E502" s="26" t="s">
        <v>101</v>
      </c>
      <c r="F502" s="26" t="s">
        <v>81</v>
      </c>
      <c r="G502" s="26" t="s">
        <v>13</v>
      </c>
      <c r="H502" s="27" t="n">
        <v>0.354166666666667</v>
      </c>
      <c r="I502" s="27" t="n">
        <v>0.854166666666667</v>
      </c>
      <c r="J502" s="26" t="n">
        <f aca="false">IFERROR((I502-H502)*24*60,"")</f>
        <v>720</v>
      </c>
      <c r="K502" s="26" t="s">
        <v>105</v>
      </c>
      <c r="L502" s="26" t="s">
        <v>102</v>
      </c>
      <c r="M502" s="26" t="s">
        <v>103</v>
      </c>
      <c r="N502" s="26" t="s">
        <v>104</v>
      </c>
      <c r="O502" s="26" t="n">
        <v>2</v>
      </c>
      <c r="P502" s="26" t="n">
        <v>45</v>
      </c>
      <c r="Q502" s="26" t="n">
        <f aca="false">IFERROR(3600/(P502/O502),"")</f>
        <v>160</v>
      </c>
      <c r="R502" s="26" t="n">
        <v>1438</v>
      </c>
      <c r="S502" s="26" t="n">
        <v>33</v>
      </c>
      <c r="T502" s="26" t="n">
        <f aca="false">IFERROR(J502-S502,"")</f>
        <v>687</v>
      </c>
      <c r="U502" s="26"/>
      <c r="V502" s="26"/>
      <c r="W502" s="26"/>
      <c r="X502" s="26" t="n">
        <v>3</v>
      </c>
      <c r="Y502" s="26"/>
      <c r="Z502" s="26"/>
      <c r="AA502" s="26"/>
      <c r="AB502" s="26"/>
      <c r="AC502" s="26" t="n">
        <v>12</v>
      </c>
      <c r="AD502" s="26" t="n">
        <v>9</v>
      </c>
      <c r="AE502" s="26"/>
      <c r="AF502" s="26" t="n">
        <f aca="false">SUM(U502:AE502)</f>
        <v>24</v>
      </c>
      <c r="AG502" s="26" t="n">
        <f aca="false">T502-AF502</f>
        <v>663</v>
      </c>
      <c r="AH502" s="28" t="n">
        <f aca="false">IFERROR(AG502/T502,"")</f>
        <v>0.965065502183406</v>
      </c>
      <c r="AI502" s="29" t="n">
        <f aca="false">IFERROR(R502/AG502*60,"")</f>
        <v>130.135746606335</v>
      </c>
      <c r="AJ502" s="30" t="n">
        <f aca="false">IFERROR(AI502/Q502,"")</f>
        <v>0.813348416289593</v>
      </c>
      <c r="AK502" s="31" t="n">
        <f aca="false">IFERROR(R502/(T502/60*Q502),"")</f>
        <v>0.784934497816594</v>
      </c>
      <c r="AL502" s="26" t="n">
        <v>2</v>
      </c>
      <c r="AM502" s="26" t="n">
        <v>2</v>
      </c>
      <c r="AN502" s="26" t="n">
        <v>5</v>
      </c>
      <c r="AO502" s="26" t="n">
        <v>6</v>
      </c>
      <c r="AP502" s="26" t="n">
        <v>4</v>
      </c>
      <c r="AQ502" s="26" t="n">
        <v>1</v>
      </c>
      <c r="AR502" s="26" t="n">
        <v>2</v>
      </c>
      <c r="AS502" s="26"/>
      <c r="AT502" s="26" t="n">
        <v>3</v>
      </c>
      <c r="AU502" s="26" t="n">
        <v>4</v>
      </c>
      <c r="AV502" s="26" t="n">
        <f aca="false">SUM(AL502:AU502)</f>
        <v>29</v>
      </c>
      <c r="AW502" s="32" t="n">
        <f aca="false">IFERROR(AV502/R502*1000000,"")</f>
        <v>20166.8984700974</v>
      </c>
      <c r="AX502" s="33" t="n">
        <f aca="false">IFERROR((R502-AV502)/R502,"")</f>
        <v>0.979833101529903</v>
      </c>
      <c r="AY502" s="34" t="n">
        <f aca="false">IFERROR(AH502*AJ502*AX502,"")</f>
        <v>0.76910480349345</v>
      </c>
      <c r="AZ502" s="35" t="s">
        <v>93</v>
      </c>
    </row>
    <row r="503" customFormat="false" ht="12.75" hidden="false" customHeight="true" outlineLevel="0" collapsed="false">
      <c r="A503" s="24" t="n">
        <v>499</v>
      </c>
      <c r="B503" s="25" t="n">
        <v>46189</v>
      </c>
      <c r="C503" s="25" t="n">
        <v>12</v>
      </c>
      <c r="D503" s="26" t="s">
        <v>71</v>
      </c>
      <c r="E503" s="26" t="s">
        <v>72</v>
      </c>
      <c r="F503" s="26" t="s">
        <v>73</v>
      </c>
      <c r="G503" s="26" t="s">
        <v>8</v>
      </c>
      <c r="H503" s="27" t="n">
        <v>0.354166666666667</v>
      </c>
      <c r="I503" s="27" t="n">
        <v>0.854166666666667</v>
      </c>
      <c r="J503" s="26" t="n">
        <f aca="false">IFERROR((I503-H503)*24*60,"")</f>
        <v>720</v>
      </c>
      <c r="K503" s="26" t="s">
        <v>74</v>
      </c>
      <c r="L503" s="26" t="s">
        <v>107</v>
      </c>
      <c r="M503" s="26" t="s">
        <v>76</v>
      </c>
      <c r="N503" s="26" t="s">
        <v>77</v>
      </c>
      <c r="O503" s="26" t="n">
        <v>4</v>
      </c>
      <c r="P503" s="26" t="n">
        <v>63</v>
      </c>
      <c r="Q503" s="26" t="n">
        <f aca="false">IFERROR(3600/(P503/O503),"")</f>
        <v>228.571428571429</v>
      </c>
      <c r="R503" s="26" t="n">
        <v>2071</v>
      </c>
      <c r="S503" s="26" t="n">
        <v>68</v>
      </c>
      <c r="T503" s="26" t="n">
        <f aca="false">IFERROR(J503-S503,"")</f>
        <v>652</v>
      </c>
      <c r="U503" s="26"/>
      <c r="V503" s="26" t="n">
        <v>4</v>
      </c>
      <c r="W503" s="26"/>
      <c r="X503" s="26"/>
      <c r="Y503" s="26"/>
      <c r="Z503" s="26"/>
      <c r="AA503" s="26"/>
      <c r="AB503" s="26"/>
      <c r="AC503" s="26"/>
      <c r="AD503" s="26"/>
      <c r="AE503" s="26"/>
      <c r="AF503" s="26" t="n">
        <f aca="false">SUM(U503:AE503)</f>
        <v>4</v>
      </c>
      <c r="AG503" s="26" t="n">
        <f aca="false">T503-AF503</f>
        <v>648</v>
      </c>
      <c r="AH503" s="28" t="n">
        <f aca="false">IFERROR(AG503/T503,"")</f>
        <v>0.993865030674847</v>
      </c>
      <c r="AI503" s="29" t="n">
        <f aca="false">IFERROR(R503/AG503*60,"")</f>
        <v>191.759259259259</v>
      </c>
      <c r="AJ503" s="30" t="n">
        <f aca="false">IFERROR(AI503/Q503,"")</f>
        <v>0.838946759259259</v>
      </c>
      <c r="AK503" s="31" t="n">
        <f aca="false">IFERROR(R503/(T503/60*Q503),"")</f>
        <v>0.833799846625767</v>
      </c>
      <c r="AL503" s="26"/>
      <c r="AM503" s="26" t="n">
        <v>1</v>
      </c>
      <c r="AN503" s="26"/>
      <c r="AO503" s="26" t="n">
        <v>1</v>
      </c>
      <c r="AP503" s="26" t="n">
        <v>2</v>
      </c>
      <c r="AQ503" s="26" t="n">
        <v>1</v>
      </c>
      <c r="AR503" s="26" t="n">
        <v>1</v>
      </c>
      <c r="AS503" s="26" t="n">
        <v>3</v>
      </c>
      <c r="AT503" s="26"/>
      <c r="AU503" s="26" t="n">
        <v>1</v>
      </c>
      <c r="AV503" s="26" t="n">
        <f aca="false">SUM(AL503:AU503)</f>
        <v>10</v>
      </c>
      <c r="AW503" s="32" t="n">
        <f aca="false">IFERROR(AV503/R503*1000000,"")</f>
        <v>4828.58522452921</v>
      </c>
      <c r="AX503" s="33" t="n">
        <f aca="false">IFERROR((R503-AV503)/R503,"")</f>
        <v>0.995171414775471</v>
      </c>
      <c r="AY503" s="34" t="n">
        <f aca="false">IFERROR(AH503*AJ503*AX503,"")</f>
        <v>0.829773773006135</v>
      </c>
      <c r="AZ503" s="35" t="s">
        <v>78</v>
      </c>
    </row>
    <row r="504" customFormat="false" ht="12.75" hidden="false" customHeight="true" outlineLevel="0" collapsed="false">
      <c r="A504" s="24" t="n">
        <v>500</v>
      </c>
      <c r="B504" s="25" t="n">
        <v>46189</v>
      </c>
      <c r="C504" s="25" t="n">
        <v>12</v>
      </c>
      <c r="D504" s="26" t="s">
        <v>79</v>
      </c>
      <c r="E504" s="26" t="s">
        <v>80</v>
      </c>
      <c r="F504" s="26" t="s">
        <v>81</v>
      </c>
      <c r="G504" s="26" t="s">
        <v>9</v>
      </c>
      <c r="H504" s="27" t="n">
        <v>0.354166666666667</v>
      </c>
      <c r="I504" s="27" t="n">
        <v>0.854166666666667</v>
      </c>
      <c r="J504" s="26" t="n">
        <f aca="false">IFERROR((I504-H504)*24*60,"")</f>
        <v>720</v>
      </c>
      <c r="K504" s="26" t="s">
        <v>105</v>
      </c>
      <c r="L504" s="26" t="s">
        <v>102</v>
      </c>
      <c r="M504" s="26" t="s">
        <v>84</v>
      </c>
      <c r="N504" s="26" t="s">
        <v>85</v>
      </c>
      <c r="O504" s="26" t="n">
        <v>4</v>
      </c>
      <c r="P504" s="26" t="n">
        <v>65</v>
      </c>
      <c r="Q504" s="26" t="n">
        <f aca="false">IFERROR(3600/(P504/O504),"")</f>
        <v>221.538461538462</v>
      </c>
      <c r="R504" s="26" t="n">
        <v>1754</v>
      </c>
      <c r="S504" s="26" t="n">
        <v>54</v>
      </c>
      <c r="T504" s="26" t="n">
        <f aca="false">IFERROR(J504-S504,"")</f>
        <v>666</v>
      </c>
      <c r="U504" s="26"/>
      <c r="V504" s="26"/>
      <c r="W504" s="26"/>
      <c r="X504" s="26"/>
      <c r="Y504" s="26"/>
      <c r="Z504" s="26" t="n">
        <v>10</v>
      </c>
      <c r="AA504" s="26"/>
      <c r="AB504" s="26"/>
      <c r="AC504" s="26"/>
      <c r="AD504" s="26"/>
      <c r="AE504" s="26"/>
      <c r="AF504" s="26" t="n">
        <f aca="false">SUM(U504:AE504)</f>
        <v>10</v>
      </c>
      <c r="AG504" s="26" t="n">
        <f aca="false">T504-AF504</f>
        <v>656</v>
      </c>
      <c r="AH504" s="28" t="n">
        <f aca="false">IFERROR(AG504/T504,"")</f>
        <v>0.984984984984985</v>
      </c>
      <c r="AI504" s="29" t="n">
        <f aca="false">IFERROR(R504/AG504*60,"")</f>
        <v>160.426829268293</v>
      </c>
      <c r="AJ504" s="30" t="n">
        <f aca="false">IFERROR(AI504/Q504,"")</f>
        <v>0.724148882113821</v>
      </c>
      <c r="AK504" s="31" t="n">
        <f aca="false">IFERROR(R504/(T504/60*Q504),"")</f>
        <v>0.713275775775776</v>
      </c>
      <c r="AL504" s="26" t="n">
        <v>1</v>
      </c>
      <c r="AM504" s="26" t="n">
        <v>4</v>
      </c>
      <c r="AN504" s="26" t="n">
        <v>5</v>
      </c>
      <c r="AO504" s="26" t="n">
        <v>2</v>
      </c>
      <c r="AP504" s="26" t="n">
        <v>2</v>
      </c>
      <c r="AQ504" s="26" t="n">
        <v>2</v>
      </c>
      <c r="AR504" s="26" t="n">
        <v>6</v>
      </c>
      <c r="AS504" s="26" t="n">
        <v>3</v>
      </c>
      <c r="AT504" s="26" t="n">
        <v>1</v>
      </c>
      <c r="AU504" s="26" t="n">
        <v>2</v>
      </c>
      <c r="AV504" s="26" t="n">
        <f aca="false">SUM(AL504:AU504)</f>
        <v>28</v>
      </c>
      <c r="AW504" s="32" t="n">
        <f aca="false">IFERROR(AV504/R504*1000000,"")</f>
        <v>15963.511972634</v>
      </c>
      <c r="AX504" s="33" t="n">
        <f aca="false">IFERROR((R504-AV504)/R504,"")</f>
        <v>0.984036488027366</v>
      </c>
      <c r="AY504" s="34" t="n">
        <f aca="false">IFERROR(AH504*AJ504*AX504,"")</f>
        <v>0.701889389389389</v>
      </c>
      <c r="AZ504" s="35" t="s">
        <v>86</v>
      </c>
    </row>
    <row r="505" customFormat="false" ht="12.75" hidden="false" customHeight="true" outlineLevel="0" collapsed="false">
      <c r="A505" s="24" t="n">
        <v>501</v>
      </c>
      <c r="B505" s="25" t="n">
        <v>46189</v>
      </c>
      <c r="C505" s="25" t="n">
        <v>12</v>
      </c>
      <c r="D505" s="26" t="s">
        <v>87</v>
      </c>
      <c r="E505" s="26" t="s">
        <v>88</v>
      </c>
      <c r="F505" s="26" t="s">
        <v>73</v>
      </c>
      <c r="G505" s="26" t="s">
        <v>10</v>
      </c>
      <c r="H505" s="27" t="n">
        <v>0.354166666666667</v>
      </c>
      <c r="I505" s="27" t="n">
        <v>0.854166666666667</v>
      </c>
      <c r="J505" s="26" t="n">
        <f aca="false">IFERROR((I505-H505)*24*60,"")</f>
        <v>720</v>
      </c>
      <c r="K505" s="26" t="s">
        <v>82</v>
      </c>
      <c r="L505" s="26" t="s">
        <v>107</v>
      </c>
      <c r="M505" s="26" t="s">
        <v>91</v>
      </c>
      <c r="N505" s="26" t="s">
        <v>92</v>
      </c>
      <c r="O505" s="26" t="n">
        <v>2</v>
      </c>
      <c r="P505" s="26" t="n">
        <v>66</v>
      </c>
      <c r="Q505" s="26" t="n">
        <f aca="false">IFERROR(3600/(P505/O505),"")</f>
        <v>109.090909090909</v>
      </c>
      <c r="R505" s="26" t="n">
        <v>1191</v>
      </c>
      <c r="S505" s="26" t="n">
        <v>31</v>
      </c>
      <c r="T505" s="26" t="n">
        <f aca="false">IFERROR(J505-S505,"")</f>
        <v>689</v>
      </c>
      <c r="U505" s="26" t="n">
        <v>3</v>
      </c>
      <c r="V505" s="26"/>
      <c r="W505" s="26"/>
      <c r="X505" s="26"/>
      <c r="Y505" s="26" t="n">
        <v>3</v>
      </c>
      <c r="Z505" s="26" t="n">
        <v>4</v>
      </c>
      <c r="AA505" s="26"/>
      <c r="AB505" s="26"/>
      <c r="AC505" s="26"/>
      <c r="AD505" s="26"/>
      <c r="AE505" s="26"/>
      <c r="AF505" s="26" t="n">
        <f aca="false">SUM(U505:AE505)</f>
        <v>10</v>
      </c>
      <c r="AG505" s="26" t="n">
        <f aca="false">T505-AF505</f>
        <v>679</v>
      </c>
      <c r="AH505" s="28" t="n">
        <f aca="false">IFERROR(AG505/T505,"")</f>
        <v>0.985486211901306</v>
      </c>
      <c r="AI505" s="29" t="n">
        <f aca="false">IFERROR(R505/AG505*60,"")</f>
        <v>105.243004418262</v>
      </c>
      <c r="AJ505" s="30" t="n">
        <f aca="false">IFERROR(AI505/Q505,"")</f>
        <v>0.964727540500736</v>
      </c>
      <c r="AK505" s="31" t="n">
        <f aca="false">IFERROR(R505/(T505/60*Q505),"")</f>
        <v>0.950725689404935</v>
      </c>
      <c r="AL505" s="26" t="n">
        <v>1</v>
      </c>
      <c r="AM505" s="26" t="n">
        <v>2</v>
      </c>
      <c r="AN505" s="26"/>
      <c r="AO505" s="26" t="n">
        <v>1</v>
      </c>
      <c r="AP505" s="26"/>
      <c r="AQ505" s="26" t="n">
        <v>3</v>
      </c>
      <c r="AR505" s="26"/>
      <c r="AS505" s="26"/>
      <c r="AT505" s="26"/>
      <c r="AU505" s="26"/>
      <c r="AV505" s="26" t="n">
        <f aca="false">SUM(AL505:AU505)</f>
        <v>7</v>
      </c>
      <c r="AW505" s="32" t="n">
        <f aca="false">IFERROR(AV505/R505*1000000,"")</f>
        <v>5877.41393786734</v>
      </c>
      <c r="AX505" s="33" t="n">
        <f aca="false">IFERROR((R505-AV505)/R505,"")</f>
        <v>0.994122586062133</v>
      </c>
      <c r="AY505" s="34" t="n">
        <f aca="false">IFERROR(AH505*AJ505*AX505,"")</f>
        <v>0.945137880986938</v>
      </c>
      <c r="AZ505" s="35" t="s">
        <v>93</v>
      </c>
    </row>
    <row r="506" customFormat="false" ht="12.75" hidden="false" customHeight="true" outlineLevel="0" collapsed="false">
      <c r="A506" s="24" t="n">
        <v>502</v>
      </c>
      <c r="B506" s="25" t="n">
        <v>46190</v>
      </c>
      <c r="C506" s="25" t="n">
        <v>12</v>
      </c>
      <c r="D506" s="26" t="s">
        <v>71</v>
      </c>
      <c r="E506" s="26" t="s">
        <v>94</v>
      </c>
      <c r="F506" s="26" t="s">
        <v>81</v>
      </c>
      <c r="G506" s="26" t="s">
        <v>11</v>
      </c>
      <c r="H506" s="27" t="n">
        <v>0.354166666666667</v>
      </c>
      <c r="I506" s="27" t="n">
        <v>0.854166666666667</v>
      </c>
      <c r="J506" s="26" t="n">
        <f aca="false">IFERROR((I506-H506)*24*60,"")</f>
        <v>720</v>
      </c>
      <c r="K506" s="26" t="s">
        <v>105</v>
      </c>
      <c r="L506" s="26" t="s">
        <v>75</v>
      </c>
      <c r="M506" s="26" t="s">
        <v>95</v>
      </c>
      <c r="N506" s="26" t="s">
        <v>96</v>
      </c>
      <c r="O506" s="26" t="n">
        <v>1</v>
      </c>
      <c r="P506" s="26" t="n">
        <v>61</v>
      </c>
      <c r="Q506" s="26" t="n">
        <f aca="false">IFERROR(3600/(P506/O506),"")</f>
        <v>59.016393442623</v>
      </c>
      <c r="R506" s="26" t="n">
        <v>595</v>
      </c>
      <c r="S506" s="26" t="n">
        <v>43</v>
      </c>
      <c r="T506" s="26" t="n">
        <f aca="false">IFERROR(J506-S506,"")</f>
        <v>677</v>
      </c>
      <c r="U506" s="26"/>
      <c r="V506" s="26"/>
      <c r="W506" s="26"/>
      <c r="X506" s="26"/>
      <c r="Y506" s="26"/>
      <c r="Z506" s="26"/>
      <c r="AA506" s="26"/>
      <c r="AB506" s="26"/>
      <c r="AC506" s="26" t="n">
        <v>3</v>
      </c>
      <c r="AD506" s="26"/>
      <c r="AE506" s="26" t="n">
        <v>6</v>
      </c>
      <c r="AF506" s="26" t="n">
        <f aca="false">SUM(U506:AE506)</f>
        <v>9</v>
      </c>
      <c r="AG506" s="26" t="n">
        <f aca="false">T506-AF506</f>
        <v>668</v>
      </c>
      <c r="AH506" s="28" t="n">
        <f aca="false">IFERROR(AG506/T506,"")</f>
        <v>0.986706056129985</v>
      </c>
      <c r="AI506" s="29" t="n">
        <f aca="false">IFERROR(R506/AG506*60,"")</f>
        <v>53.4431137724551</v>
      </c>
      <c r="AJ506" s="30" t="n">
        <f aca="false">IFERROR(AI506/Q506,"")</f>
        <v>0.905563872255489</v>
      </c>
      <c r="AK506" s="31" t="n">
        <f aca="false">IFERROR(R506/(T506/60*Q506),"")</f>
        <v>0.893525356967011</v>
      </c>
      <c r="AL506" s="26"/>
      <c r="AM506" s="26"/>
      <c r="AN506" s="26" t="n">
        <v>4</v>
      </c>
      <c r="AO506" s="26"/>
      <c r="AP506" s="26" t="n">
        <v>2</v>
      </c>
      <c r="AQ506" s="26" t="n">
        <v>1</v>
      </c>
      <c r="AR506" s="26"/>
      <c r="AS506" s="26" t="n">
        <v>3</v>
      </c>
      <c r="AT506" s="26"/>
      <c r="AU506" s="26" t="n">
        <v>2</v>
      </c>
      <c r="AV506" s="26" t="n">
        <f aca="false">SUM(AL506:AU506)</f>
        <v>12</v>
      </c>
      <c r="AW506" s="32" t="n">
        <f aca="false">IFERROR(AV506/R506*1000000,"")</f>
        <v>20168.0672268908</v>
      </c>
      <c r="AX506" s="33" t="n">
        <f aca="false">IFERROR((R506-AV506)/R506,"")</f>
        <v>0.979831932773109</v>
      </c>
      <c r="AY506" s="34" t="n">
        <f aca="false">IFERROR(AH506*AJ506*AX506,"")</f>
        <v>0.875504677498769</v>
      </c>
      <c r="AZ506" s="35" t="s">
        <v>93</v>
      </c>
    </row>
    <row r="507" customFormat="false" ht="12.75" hidden="false" customHeight="true" outlineLevel="0" collapsed="false">
      <c r="A507" s="24" t="n">
        <v>503</v>
      </c>
      <c r="B507" s="25" t="n">
        <v>46190</v>
      </c>
      <c r="C507" s="25" t="n">
        <v>12</v>
      </c>
      <c r="D507" s="26" t="s">
        <v>79</v>
      </c>
      <c r="E507" s="26" t="s">
        <v>97</v>
      </c>
      <c r="F507" s="26" t="s">
        <v>73</v>
      </c>
      <c r="G507" s="26" t="s">
        <v>12</v>
      </c>
      <c r="H507" s="27" t="n">
        <v>0.354166666666667</v>
      </c>
      <c r="I507" s="27" t="n">
        <v>0.854166666666667</v>
      </c>
      <c r="J507" s="26" t="n">
        <f aca="false">IFERROR((I507-H507)*24*60,"")</f>
        <v>720</v>
      </c>
      <c r="K507" s="26" t="s">
        <v>74</v>
      </c>
      <c r="L507" s="26" t="s">
        <v>75</v>
      </c>
      <c r="M507" s="26" t="s">
        <v>99</v>
      </c>
      <c r="N507" s="26" t="s">
        <v>100</v>
      </c>
      <c r="O507" s="26" t="n">
        <v>1</v>
      </c>
      <c r="P507" s="26" t="n">
        <v>61</v>
      </c>
      <c r="Q507" s="26" t="n">
        <f aca="false">IFERROR(3600/(P507/O507),"")</f>
        <v>59.016393442623</v>
      </c>
      <c r="R507" s="26" t="n">
        <v>459</v>
      </c>
      <c r="S507" s="26" t="n">
        <v>70</v>
      </c>
      <c r="T507" s="26" t="n">
        <f aca="false">IFERROR(J507-S507,"")</f>
        <v>650</v>
      </c>
      <c r="U507" s="26"/>
      <c r="V507" s="26"/>
      <c r="W507" s="26"/>
      <c r="X507" s="26"/>
      <c r="Y507" s="26"/>
      <c r="Z507" s="26"/>
      <c r="AA507" s="26"/>
      <c r="AB507" s="26"/>
      <c r="AC507" s="26" t="n">
        <v>12</v>
      </c>
      <c r="AD507" s="26"/>
      <c r="AE507" s="26"/>
      <c r="AF507" s="26" t="n">
        <f aca="false">SUM(U507:AE507)</f>
        <v>12</v>
      </c>
      <c r="AG507" s="26" t="n">
        <f aca="false">T507-AF507</f>
        <v>638</v>
      </c>
      <c r="AH507" s="28" t="n">
        <f aca="false">IFERROR(AG507/T507,"")</f>
        <v>0.981538461538462</v>
      </c>
      <c r="AI507" s="29" t="n">
        <f aca="false">IFERROR(R507/AG507*60,"")</f>
        <v>43.166144200627</v>
      </c>
      <c r="AJ507" s="30" t="n">
        <f aca="false">IFERROR(AI507/Q507,"")</f>
        <v>0.731426332288401</v>
      </c>
      <c r="AK507" s="31" t="n">
        <f aca="false">IFERROR(R507/(T507/60*Q507),"")</f>
        <v>0.717923076923077</v>
      </c>
      <c r="AL507" s="26" t="n">
        <v>1</v>
      </c>
      <c r="AM507" s="26"/>
      <c r="AN507" s="26"/>
      <c r="AO507" s="26" t="n">
        <v>1</v>
      </c>
      <c r="AP507" s="26"/>
      <c r="AQ507" s="26"/>
      <c r="AR507" s="26" t="n">
        <v>2</v>
      </c>
      <c r="AS507" s="26" t="n">
        <v>1</v>
      </c>
      <c r="AT507" s="26"/>
      <c r="AU507" s="26" t="n">
        <v>1</v>
      </c>
      <c r="AV507" s="26" t="n">
        <f aca="false">SUM(AL507:AU507)</f>
        <v>6</v>
      </c>
      <c r="AW507" s="32" t="n">
        <f aca="false">IFERROR(AV507/R507*1000000,"")</f>
        <v>13071.8954248366</v>
      </c>
      <c r="AX507" s="33" t="n">
        <f aca="false">IFERROR((R507-AV507)/R507,"")</f>
        <v>0.986928104575163</v>
      </c>
      <c r="AY507" s="34" t="n">
        <f aca="false">IFERROR(AH507*AJ507*AX507,"")</f>
        <v>0.708538461538462</v>
      </c>
      <c r="AZ507" s="35" t="s">
        <v>86</v>
      </c>
    </row>
    <row r="508" customFormat="false" ht="12.75" hidden="false" customHeight="true" outlineLevel="0" collapsed="false">
      <c r="A508" s="24" t="n">
        <v>504</v>
      </c>
      <c r="B508" s="25" t="n">
        <v>46190</v>
      </c>
      <c r="C508" s="25" t="n">
        <v>12</v>
      </c>
      <c r="D508" s="26" t="s">
        <v>87</v>
      </c>
      <c r="E508" s="26" t="s">
        <v>101</v>
      </c>
      <c r="F508" s="26" t="s">
        <v>81</v>
      </c>
      <c r="G508" s="26" t="s">
        <v>13</v>
      </c>
      <c r="H508" s="27" t="n">
        <v>0.354166666666667</v>
      </c>
      <c r="I508" s="27" t="n">
        <v>0.854166666666667</v>
      </c>
      <c r="J508" s="26" t="n">
        <f aca="false">IFERROR((I508-H508)*24*60,"")</f>
        <v>720</v>
      </c>
      <c r="K508" s="26" t="s">
        <v>105</v>
      </c>
      <c r="L508" s="26" t="s">
        <v>90</v>
      </c>
      <c r="M508" s="26" t="s">
        <v>103</v>
      </c>
      <c r="N508" s="26" t="s">
        <v>104</v>
      </c>
      <c r="O508" s="26" t="n">
        <v>4</v>
      </c>
      <c r="P508" s="26" t="n">
        <v>30</v>
      </c>
      <c r="Q508" s="26" t="n">
        <f aca="false">IFERROR(3600/(P508/O508),"")</f>
        <v>480</v>
      </c>
      <c r="R508" s="26" t="n">
        <v>3942</v>
      </c>
      <c r="S508" s="26" t="n">
        <v>67</v>
      </c>
      <c r="T508" s="26" t="n">
        <f aca="false">IFERROR(J508-S508,"")</f>
        <v>653</v>
      </c>
      <c r="U508" s="26"/>
      <c r="V508" s="26"/>
      <c r="W508" s="26" t="n">
        <v>4</v>
      </c>
      <c r="X508" s="26"/>
      <c r="Y508" s="26"/>
      <c r="Z508" s="26"/>
      <c r="AA508" s="26"/>
      <c r="AB508" s="26" t="n">
        <v>13</v>
      </c>
      <c r="AC508" s="26" t="n">
        <v>48</v>
      </c>
      <c r="AD508" s="26"/>
      <c r="AE508" s="26"/>
      <c r="AF508" s="26" t="n">
        <f aca="false">SUM(U508:AE508)</f>
        <v>65</v>
      </c>
      <c r="AG508" s="26" t="n">
        <f aca="false">T508-AF508</f>
        <v>588</v>
      </c>
      <c r="AH508" s="28" t="n">
        <f aca="false">IFERROR(AG508/T508,"")</f>
        <v>0.900459418070444</v>
      </c>
      <c r="AI508" s="29" t="n">
        <f aca="false">IFERROR(R508/AG508*60,"")</f>
        <v>402.244897959184</v>
      </c>
      <c r="AJ508" s="30" t="n">
        <f aca="false">IFERROR(AI508/Q508,"")</f>
        <v>0.838010204081633</v>
      </c>
      <c r="AK508" s="31" t="n">
        <f aca="false">IFERROR(R508/(T508/60*Q508),"")</f>
        <v>0.754594180704441</v>
      </c>
      <c r="AL508" s="26" t="n">
        <v>4</v>
      </c>
      <c r="AM508" s="26" t="n">
        <v>4</v>
      </c>
      <c r="AN508" s="26" t="n">
        <v>16</v>
      </c>
      <c r="AO508" s="26" t="n">
        <v>4</v>
      </c>
      <c r="AP508" s="26" t="n">
        <v>7</v>
      </c>
      <c r="AQ508" s="26" t="n">
        <v>8</v>
      </c>
      <c r="AR508" s="26" t="n">
        <v>7</v>
      </c>
      <c r="AS508" s="26" t="n">
        <v>3</v>
      </c>
      <c r="AT508" s="26" t="n">
        <v>9</v>
      </c>
      <c r="AU508" s="26" t="n">
        <v>6</v>
      </c>
      <c r="AV508" s="26" t="n">
        <f aca="false">SUM(AL508:AU508)</f>
        <v>68</v>
      </c>
      <c r="AW508" s="32" t="n">
        <f aca="false">IFERROR(AV508/R508*1000000,"")</f>
        <v>17250.1268391679</v>
      </c>
      <c r="AX508" s="33" t="n">
        <f aca="false">IFERROR((R508-AV508)/R508,"")</f>
        <v>0.982749873160832</v>
      </c>
      <c r="AY508" s="34" t="n">
        <f aca="false">IFERROR(AH508*AJ508*AX508,"")</f>
        <v>0.741577335375191</v>
      </c>
      <c r="AZ508" s="35"/>
    </row>
    <row r="509" customFormat="false" ht="12.75" hidden="false" customHeight="true" outlineLevel="0" collapsed="false">
      <c r="A509" s="24" t="n">
        <v>505</v>
      </c>
      <c r="B509" s="25" t="n">
        <v>46191</v>
      </c>
      <c r="C509" s="25" t="n">
        <v>12</v>
      </c>
      <c r="D509" s="26" t="s">
        <v>71</v>
      </c>
      <c r="E509" s="26" t="s">
        <v>72</v>
      </c>
      <c r="F509" s="26" t="s">
        <v>73</v>
      </c>
      <c r="G509" s="26" t="s">
        <v>8</v>
      </c>
      <c r="H509" s="27" t="n">
        <v>0.354166666666667</v>
      </c>
      <c r="I509" s="27" t="n">
        <v>0.854166666666667</v>
      </c>
      <c r="J509" s="26" t="n">
        <f aca="false">IFERROR((I509-H509)*24*60,"")</f>
        <v>720</v>
      </c>
      <c r="K509" s="26" t="s">
        <v>89</v>
      </c>
      <c r="L509" s="26" t="s">
        <v>108</v>
      </c>
      <c r="M509" s="26" t="s">
        <v>76</v>
      </c>
      <c r="N509" s="26" t="s">
        <v>77</v>
      </c>
      <c r="O509" s="26" t="n">
        <v>8</v>
      </c>
      <c r="P509" s="26" t="n">
        <v>26</v>
      </c>
      <c r="Q509" s="26" t="n">
        <f aca="false">IFERROR(3600/(P509/O509),"")</f>
        <v>1107.69230769231</v>
      </c>
      <c r="R509" s="26" t="n">
        <v>8946</v>
      </c>
      <c r="S509" s="26" t="n">
        <v>55</v>
      </c>
      <c r="T509" s="26" t="n">
        <f aca="false">IFERROR(J509-S509,"")</f>
        <v>665</v>
      </c>
      <c r="U509" s="26" t="n">
        <v>8</v>
      </c>
      <c r="V509" s="26"/>
      <c r="W509" s="26"/>
      <c r="X509" s="26"/>
      <c r="Y509" s="26" t="n">
        <v>3</v>
      </c>
      <c r="Z509" s="26"/>
      <c r="AA509" s="26"/>
      <c r="AB509" s="26"/>
      <c r="AC509" s="26"/>
      <c r="AD509" s="26"/>
      <c r="AE509" s="26"/>
      <c r="AF509" s="26" t="n">
        <f aca="false">SUM(U509:AE509)</f>
        <v>11</v>
      </c>
      <c r="AG509" s="26" t="n">
        <f aca="false">T509-AF509</f>
        <v>654</v>
      </c>
      <c r="AH509" s="28" t="n">
        <f aca="false">IFERROR(AG509/T509,"")</f>
        <v>0.983458646616541</v>
      </c>
      <c r="AI509" s="29" t="n">
        <f aca="false">IFERROR(R509/AG509*60,"")</f>
        <v>820.733944954128</v>
      </c>
      <c r="AJ509" s="30" t="n">
        <f aca="false">IFERROR(AI509/Q509,"")</f>
        <v>0.740940366972477</v>
      </c>
      <c r="AK509" s="31" t="n">
        <f aca="false">IFERROR(R509/(T509/60*Q509),"")</f>
        <v>0.728684210526316</v>
      </c>
      <c r="AL509" s="26" t="n">
        <v>23</v>
      </c>
      <c r="AM509" s="26" t="n">
        <v>20</v>
      </c>
      <c r="AN509" s="26" t="n">
        <v>19</v>
      </c>
      <c r="AO509" s="26" t="n">
        <v>26</v>
      </c>
      <c r="AP509" s="26" t="n">
        <v>30</v>
      </c>
      <c r="AQ509" s="26" t="n">
        <v>17</v>
      </c>
      <c r="AR509" s="26" t="n">
        <v>25</v>
      </c>
      <c r="AS509" s="26" t="n">
        <v>23</v>
      </c>
      <c r="AT509" s="26" t="n">
        <v>15</v>
      </c>
      <c r="AU509" s="26" t="n">
        <v>18</v>
      </c>
      <c r="AV509" s="26" t="n">
        <f aca="false">SUM(AL509:AU509)</f>
        <v>216</v>
      </c>
      <c r="AW509" s="32" t="n">
        <f aca="false">IFERROR(AV509/R509*1000000,"")</f>
        <v>24144.8692152918</v>
      </c>
      <c r="AX509" s="33" t="n">
        <f aca="false">IFERROR((R509-AV509)/R509,"")</f>
        <v>0.975855130784708</v>
      </c>
      <c r="AY509" s="34" t="n">
        <f aca="false">IFERROR(AH509*AJ509*AX509,"")</f>
        <v>0.71109022556391</v>
      </c>
      <c r="AZ509" s="35" t="s">
        <v>78</v>
      </c>
    </row>
    <row r="510" customFormat="false" ht="12.75" hidden="false" customHeight="true" outlineLevel="0" collapsed="false">
      <c r="A510" s="24" t="n">
        <v>506</v>
      </c>
      <c r="B510" s="25" t="n">
        <v>46191</v>
      </c>
      <c r="C510" s="25" t="n">
        <v>12</v>
      </c>
      <c r="D510" s="26" t="s">
        <v>79</v>
      </c>
      <c r="E510" s="26" t="s">
        <v>80</v>
      </c>
      <c r="F510" s="26" t="s">
        <v>81</v>
      </c>
      <c r="G510" s="26" t="s">
        <v>9</v>
      </c>
      <c r="H510" s="27" t="n">
        <v>0.354166666666667</v>
      </c>
      <c r="I510" s="27" t="n">
        <v>0.854166666666667</v>
      </c>
      <c r="J510" s="26" t="n">
        <f aca="false">IFERROR((I510-H510)*24*60,"")</f>
        <v>720</v>
      </c>
      <c r="K510" s="26" t="s">
        <v>74</v>
      </c>
      <c r="L510" s="26" t="s">
        <v>90</v>
      </c>
      <c r="M510" s="26" t="s">
        <v>84</v>
      </c>
      <c r="N510" s="26" t="s">
        <v>85</v>
      </c>
      <c r="O510" s="26" t="n">
        <v>4</v>
      </c>
      <c r="P510" s="26" t="n">
        <v>50</v>
      </c>
      <c r="Q510" s="26" t="n">
        <f aca="false">IFERROR(3600/(P510/O510),"")</f>
        <v>288</v>
      </c>
      <c r="R510" s="26" t="n">
        <v>2274</v>
      </c>
      <c r="S510" s="26" t="n">
        <v>64</v>
      </c>
      <c r="T510" s="26" t="n">
        <f aca="false">IFERROR(J510-S510,"")</f>
        <v>656</v>
      </c>
      <c r="U510" s="26"/>
      <c r="V510" s="26"/>
      <c r="W510" s="26"/>
      <c r="X510" s="26"/>
      <c r="Y510" s="26"/>
      <c r="Z510" s="26"/>
      <c r="AA510" s="26"/>
      <c r="AB510" s="26" t="n">
        <v>30</v>
      </c>
      <c r="AC510" s="26"/>
      <c r="AD510" s="26"/>
      <c r="AE510" s="26" t="n">
        <v>7</v>
      </c>
      <c r="AF510" s="26" t="n">
        <f aca="false">SUM(U510:AE510)</f>
        <v>37</v>
      </c>
      <c r="AG510" s="26" t="n">
        <f aca="false">T510-AF510</f>
        <v>619</v>
      </c>
      <c r="AH510" s="28" t="n">
        <f aca="false">IFERROR(AG510/T510,"")</f>
        <v>0.94359756097561</v>
      </c>
      <c r="AI510" s="29" t="n">
        <f aca="false">IFERROR(R510/AG510*60,"")</f>
        <v>220.420032310178</v>
      </c>
      <c r="AJ510" s="30" t="n">
        <f aca="false">IFERROR(AI510/Q510,"")</f>
        <v>0.765347334410339</v>
      </c>
      <c r="AK510" s="31" t="n">
        <f aca="false">IFERROR(R510/(T510/60*Q510),"")</f>
        <v>0.722179878048781</v>
      </c>
      <c r="AL510" s="26" t="n">
        <v>8</v>
      </c>
      <c r="AM510" s="26" t="n">
        <v>3</v>
      </c>
      <c r="AN510" s="26" t="n">
        <v>2</v>
      </c>
      <c r="AO510" s="26" t="n">
        <v>6</v>
      </c>
      <c r="AP510" s="26" t="n">
        <v>4</v>
      </c>
      <c r="AQ510" s="26" t="n">
        <v>5</v>
      </c>
      <c r="AR510" s="26" t="n">
        <v>6</v>
      </c>
      <c r="AS510" s="26" t="n">
        <v>6</v>
      </c>
      <c r="AT510" s="26" t="n">
        <v>6</v>
      </c>
      <c r="AU510" s="26" t="n">
        <v>4</v>
      </c>
      <c r="AV510" s="26" t="n">
        <f aca="false">SUM(AL510:AU510)</f>
        <v>50</v>
      </c>
      <c r="AW510" s="32" t="n">
        <f aca="false">IFERROR(AV510/R510*1000000,"")</f>
        <v>21987.6868953386</v>
      </c>
      <c r="AX510" s="33" t="n">
        <f aca="false">IFERROR((R510-AV510)/R510,"")</f>
        <v>0.978012313104661</v>
      </c>
      <c r="AY510" s="34" t="n">
        <f aca="false">IFERROR(AH510*AJ510*AX510,"")</f>
        <v>0.70630081300813</v>
      </c>
      <c r="AZ510" s="35"/>
    </row>
    <row r="511" customFormat="false" ht="12.75" hidden="false" customHeight="true" outlineLevel="0" collapsed="false">
      <c r="A511" s="24" t="n">
        <v>507</v>
      </c>
      <c r="B511" s="25" t="n">
        <v>46191</v>
      </c>
      <c r="C511" s="25" t="n">
        <v>12</v>
      </c>
      <c r="D511" s="26" t="s">
        <v>87</v>
      </c>
      <c r="E511" s="26" t="s">
        <v>88</v>
      </c>
      <c r="F511" s="26" t="s">
        <v>73</v>
      </c>
      <c r="G511" s="26" t="s">
        <v>10</v>
      </c>
      <c r="H511" s="27" t="n">
        <v>0.354166666666667</v>
      </c>
      <c r="I511" s="27" t="n">
        <v>0.854166666666667</v>
      </c>
      <c r="J511" s="26" t="n">
        <f aca="false">IFERROR((I511-H511)*24*60,"")</f>
        <v>720</v>
      </c>
      <c r="K511" s="26" t="s">
        <v>89</v>
      </c>
      <c r="L511" s="26" t="s">
        <v>75</v>
      </c>
      <c r="M511" s="26" t="s">
        <v>91</v>
      </c>
      <c r="N511" s="26" t="s">
        <v>92</v>
      </c>
      <c r="O511" s="26" t="n">
        <v>2</v>
      </c>
      <c r="P511" s="26" t="n">
        <v>35</v>
      </c>
      <c r="Q511" s="26" t="n">
        <f aca="false">IFERROR(3600/(P511/O511),"")</f>
        <v>205.714285714286</v>
      </c>
      <c r="R511" s="26" t="n">
        <v>2095</v>
      </c>
      <c r="S511" s="26" t="n">
        <v>60</v>
      </c>
      <c r="T511" s="26" t="n">
        <f aca="false">IFERROR(J511-S511,"")</f>
        <v>660</v>
      </c>
      <c r="U511" s="26"/>
      <c r="V511" s="26"/>
      <c r="W511" s="26"/>
      <c r="X511" s="26"/>
      <c r="Y511" s="26"/>
      <c r="Z511" s="26"/>
      <c r="AA511" s="26"/>
      <c r="AB511" s="26" t="n">
        <v>9</v>
      </c>
      <c r="AC511" s="26"/>
      <c r="AD511" s="26"/>
      <c r="AE511" s="26" t="n">
        <v>7</v>
      </c>
      <c r="AF511" s="26" t="n">
        <f aca="false">SUM(U511:AE511)</f>
        <v>16</v>
      </c>
      <c r="AG511" s="26" t="n">
        <f aca="false">T511-AF511</f>
        <v>644</v>
      </c>
      <c r="AH511" s="28" t="n">
        <f aca="false">IFERROR(AG511/T511,"")</f>
        <v>0.975757575757576</v>
      </c>
      <c r="AI511" s="29" t="n">
        <f aca="false">IFERROR(R511/AG511*60,"")</f>
        <v>195.186335403727</v>
      </c>
      <c r="AJ511" s="30" t="n">
        <f aca="false">IFERROR(AI511/Q511,"")</f>
        <v>0.948822463768116</v>
      </c>
      <c r="AK511" s="31" t="n">
        <f aca="false">IFERROR(R511/(T511/60*Q511),"")</f>
        <v>0.925820707070707</v>
      </c>
      <c r="AL511" s="26" t="n">
        <v>2</v>
      </c>
      <c r="AM511" s="26" t="n">
        <v>1</v>
      </c>
      <c r="AN511" s="26"/>
      <c r="AO511" s="26" t="n">
        <v>2</v>
      </c>
      <c r="AP511" s="26"/>
      <c r="AQ511" s="26" t="n">
        <v>2</v>
      </c>
      <c r="AR511" s="26" t="n">
        <v>2</v>
      </c>
      <c r="AS511" s="26" t="n">
        <v>2</v>
      </c>
      <c r="AT511" s="26" t="n">
        <v>4</v>
      </c>
      <c r="AU511" s="26" t="n">
        <v>2</v>
      </c>
      <c r="AV511" s="26" t="n">
        <f aca="false">SUM(AL511:AU511)</f>
        <v>17</v>
      </c>
      <c r="AW511" s="32" t="n">
        <f aca="false">IFERROR(AV511/R511*1000000,"")</f>
        <v>8114.5584725537</v>
      </c>
      <c r="AX511" s="33" t="n">
        <f aca="false">IFERROR((R511-AV511)/R511,"")</f>
        <v>0.991885441527446</v>
      </c>
      <c r="AY511" s="34" t="n">
        <f aca="false">IFERROR(AH511*AJ511*AX511,"")</f>
        <v>0.918308080808081</v>
      </c>
      <c r="AZ511" s="35" t="s">
        <v>93</v>
      </c>
    </row>
    <row r="512" customFormat="false" ht="12.75" hidden="false" customHeight="true" outlineLevel="0" collapsed="false">
      <c r="A512" s="24" t="n">
        <v>508</v>
      </c>
      <c r="B512" s="25" t="n">
        <v>46192</v>
      </c>
      <c r="C512" s="25" t="n">
        <v>12</v>
      </c>
      <c r="D512" s="26" t="s">
        <v>71</v>
      </c>
      <c r="E512" s="26" t="s">
        <v>94</v>
      </c>
      <c r="F512" s="26" t="s">
        <v>81</v>
      </c>
      <c r="G512" s="26" t="s">
        <v>11</v>
      </c>
      <c r="H512" s="27" t="n">
        <v>0.354166666666667</v>
      </c>
      <c r="I512" s="27" t="n">
        <v>0.854166666666667</v>
      </c>
      <c r="J512" s="26" t="n">
        <f aca="false">IFERROR((I512-H512)*24*60,"")</f>
        <v>720</v>
      </c>
      <c r="K512" s="26" t="s">
        <v>82</v>
      </c>
      <c r="L512" s="26" t="s">
        <v>75</v>
      </c>
      <c r="M512" s="26" t="s">
        <v>95</v>
      </c>
      <c r="N512" s="26" t="s">
        <v>96</v>
      </c>
      <c r="O512" s="26" t="n">
        <v>8</v>
      </c>
      <c r="P512" s="26" t="n">
        <v>49</v>
      </c>
      <c r="Q512" s="26" t="n">
        <f aca="false">IFERROR(3600/(P512/O512),"")</f>
        <v>587.755102040816</v>
      </c>
      <c r="R512" s="26" t="n">
        <v>4392</v>
      </c>
      <c r="S512" s="26" t="n">
        <v>73</v>
      </c>
      <c r="T512" s="26" t="n">
        <f aca="false">IFERROR(J512-S512,"")</f>
        <v>647</v>
      </c>
      <c r="U512" s="26" t="n">
        <v>5</v>
      </c>
      <c r="V512" s="26"/>
      <c r="W512" s="26"/>
      <c r="X512" s="26"/>
      <c r="Y512" s="26"/>
      <c r="Z512" s="26"/>
      <c r="AA512" s="26"/>
      <c r="AB512" s="26"/>
      <c r="AC512" s="26"/>
      <c r="AD512" s="26"/>
      <c r="AE512" s="26" t="n">
        <v>15</v>
      </c>
      <c r="AF512" s="26" t="n">
        <f aca="false">SUM(U512:AE512)</f>
        <v>20</v>
      </c>
      <c r="AG512" s="26" t="n">
        <f aca="false">T512-AF512</f>
        <v>627</v>
      </c>
      <c r="AH512" s="28" t="n">
        <f aca="false">IFERROR(AG512/T512,"")</f>
        <v>0.969088098918084</v>
      </c>
      <c r="AI512" s="29" t="n">
        <f aca="false">IFERROR(R512/AG512*60,"")</f>
        <v>420.287081339713</v>
      </c>
      <c r="AJ512" s="30" t="n">
        <f aca="false">IFERROR(AI512/Q512,"")</f>
        <v>0.715071770334928</v>
      </c>
      <c r="AK512" s="31" t="n">
        <f aca="false">IFERROR(R512/(T512/60*Q512),"")</f>
        <v>0.692967542503864</v>
      </c>
      <c r="AL512" s="26" t="n">
        <v>9</v>
      </c>
      <c r="AM512" s="26" t="n">
        <v>9</v>
      </c>
      <c r="AN512" s="26" t="n">
        <v>11</v>
      </c>
      <c r="AO512" s="26" t="n">
        <v>9</v>
      </c>
      <c r="AP512" s="26" t="n">
        <v>9</v>
      </c>
      <c r="AQ512" s="26" t="n">
        <v>5</v>
      </c>
      <c r="AR512" s="26" t="n">
        <v>10</v>
      </c>
      <c r="AS512" s="26" t="n">
        <v>8</v>
      </c>
      <c r="AT512" s="26" t="n">
        <v>9</v>
      </c>
      <c r="AU512" s="26" t="n">
        <v>15</v>
      </c>
      <c r="AV512" s="26" t="n">
        <f aca="false">SUM(AL512:AU512)</f>
        <v>94</v>
      </c>
      <c r="AW512" s="32" t="n">
        <f aca="false">IFERROR(AV512/R512*1000000,"")</f>
        <v>21402.5500910747</v>
      </c>
      <c r="AX512" s="33" t="n">
        <f aca="false">IFERROR((R512-AV512)/R512,"")</f>
        <v>0.978597449908925</v>
      </c>
      <c r="AY512" s="34" t="n">
        <f aca="false">IFERROR(AH512*AJ512*AX512,"")</f>
        <v>0.678136269963936</v>
      </c>
      <c r="AZ512" s="35" t="s">
        <v>78</v>
      </c>
    </row>
    <row r="513" customFormat="false" ht="12.75" hidden="false" customHeight="true" outlineLevel="0" collapsed="false">
      <c r="A513" s="24" t="n">
        <v>509</v>
      </c>
      <c r="B513" s="25" t="n">
        <v>46192</v>
      </c>
      <c r="C513" s="25" t="n">
        <v>12</v>
      </c>
      <c r="D513" s="26" t="s">
        <v>79</v>
      </c>
      <c r="E513" s="26" t="s">
        <v>97</v>
      </c>
      <c r="F513" s="26" t="s">
        <v>73</v>
      </c>
      <c r="G513" s="26" t="s">
        <v>12</v>
      </c>
      <c r="H513" s="27" t="n">
        <v>0.354166666666667</v>
      </c>
      <c r="I513" s="27" t="n">
        <v>0.854166666666667</v>
      </c>
      <c r="J513" s="26" t="n">
        <f aca="false">IFERROR((I513-H513)*24*60,"")</f>
        <v>720</v>
      </c>
      <c r="K513" s="26" t="s">
        <v>105</v>
      </c>
      <c r="L513" s="26" t="s">
        <v>107</v>
      </c>
      <c r="M513" s="26" t="s">
        <v>99</v>
      </c>
      <c r="N513" s="26" t="s">
        <v>100</v>
      </c>
      <c r="O513" s="26" t="n">
        <v>1</v>
      </c>
      <c r="P513" s="26" t="n">
        <v>53</v>
      </c>
      <c r="Q513" s="26" t="n">
        <f aca="false">IFERROR(3600/(P513/O513),"")</f>
        <v>67.9245283018868</v>
      </c>
      <c r="R513" s="26" t="n">
        <v>671</v>
      </c>
      <c r="S513" s="26" t="n">
        <v>74</v>
      </c>
      <c r="T513" s="26" t="n">
        <f aca="false">IFERROR(J513-S513,"")</f>
        <v>646</v>
      </c>
      <c r="U513" s="26"/>
      <c r="V513" s="26"/>
      <c r="W513" s="26"/>
      <c r="X513" s="26"/>
      <c r="Y513" s="26"/>
      <c r="Z513" s="26"/>
      <c r="AA513" s="26"/>
      <c r="AB513" s="26" t="n">
        <v>9</v>
      </c>
      <c r="AC513" s="26"/>
      <c r="AD513" s="26"/>
      <c r="AE513" s="26"/>
      <c r="AF513" s="26" t="n">
        <f aca="false">SUM(U513:AE513)</f>
        <v>9</v>
      </c>
      <c r="AG513" s="26" t="n">
        <f aca="false">T513-AF513</f>
        <v>637</v>
      </c>
      <c r="AH513" s="28" t="n">
        <f aca="false">IFERROR(AG513/T513,"")</f>
        <v>0.986068111455108</v>
      </c>
      <c r="AI513" s="29" t="n">
        <f aca="false">IFERROR(R513/AG513*60,"")</f>
        <v>63.2025117739403</v>
      </c>
      <c r="AJ513" s="30" t="n">
        <f aca="false">IFERROR(AI513/Q513,"")</f>
        <v>0.930481423338566</v>
      </c>
      <c r="AK513" s="31" t="n">
        <f aca="false">IFERROR(R513/(T513/60*Q513),"")</f>
        <v>0.917518059855521</v>
      </c>
      <c r="AL513" s="26" t="n">
        <v>1</v>
      </c>
      <c r="AM513" s="26" t="n">
        <v>1</v>
      </c>
      <c r="AN513" s="26"/>
      <c r="AO513" s="26" t="n">
        <v>1</v>
      </c>
      <c r="AP513" s="26" t="n">
        <v>1</v>
      </c>
      <c r="AQ513" s="26" t="n">
        <v>1</v>
      </c>
      <c r="AR513" s="26" t="n">
        <v>2</v>
      </c>
      <c r="AS513" s="26"/>
      <c r="AT513" s="26" t="n">
        <v>1</v>
      </c>
      <c r="AU513" s="26" t="n">
        <v>1</v>
      </c>
      <c r="AV513" s="26" t="n">
        <f aca="false">SUM(AL513:AU513)</f>
        <v>9</v>
      </c>
      <c r="AW513" s="32" t="n">
        <f aca="false">IFERROR(AV513/R513*1000000,"")</f>
        <v>13412.8166915052</v>
      </c>
      <c r="AX513" s="33" t="n">
        <f aca="false">IFERROR((R513-AV513)/R513,"")</f>
        <v>0.986587183308495</v>
      </c>
      <c r="AY513" s="34" t="n">
        <f aca="false">IFERROR(AH513*AJ513*AX513,"")</f>
        <v>0.905211558307533</v>
      </c>
      <c r="AZ513" s="35"/>
    </row>
    <row r="514" customFormat="false" ht="12.75" hidden="false" customHeight="true" outlineLevel="0" collapsed="false">
      <c r="A514" s="24" t="n">
        <v>510</v>
      </c>
      <c r="B514" s="25" t="n">
        <v>46192</v>
      </c>
      <c r="C514" s="25" t="n">
        <v>12</v>
      </c>
      <c r="D514" s="26" t="s">
        <v>87</v>
      </c>
      <c r="E514" s="26" t="s">
        <v>101</v>
      </c>
      <c r="F514" s="26" t="s">
        <v>81</v>
      </c>
      <c r="G514" s="26" t="s">
        <v>13</v>
      </c>
      <c r="H514" s="27" t="n">
        <v>0.354166666666667</v>
      </c>
      <c r="I514" s="27" t="n">
        <v>0.854166666666667</v>
      </c>
      <c r="J514" s="26" t="n">
        <f aca="false">IFERROR((I514-H514)*24*60,"")</f>
        <v>720</v>
      </c>
      <c r="K514" s="26" t="s">
        <v>82</v>
      </c>
      <c r="L514" s="26" t="s">
        <v>90</v>
      </c>
      <c r="M514" s="26" t="s">
        <v>103</v>
      </c>
      <c r="N514" s="26" t="s">
        <v>104</v>
      </c>
      <c r="O514" s="26" t="n">
        <v>2</v>
      </c>
      <c r="P514" s="26" t="n">
        <v>65</v>
      </c>
      <c r="Q514" s="26" t="n">
        <f aca="false">IFERROR(3600/(P514/O514),"")</f>
        <v>110.769230769231</v>
      </c>
      <c r="R514" s="26" t="n">
        <v>995</v>
      </c>
      <c r="S514" s="26" t="n">
        <v>71</v>
      </c>
      <c r="T514" s="26" t="n">
        <f aca="false">IFERROR(J514-S514,"")</f>
        <v>649</v>
      </c>
      <c r="U514" s="26" t="n">
        <v>17</v>
      </c>
      <c r="V514" s="26"/>
      <c r="W514" s="26"/>
      <c r="X514" s="26" t="n">
        <v>3</v>
      </c>
      <c r="Y514" s="26"/>
      <c r="Z514" s="26"/>
      <c r="AA514" s="26"/>
      <c r="AB514" s="26"/>
      <c r="AC514" s="26"/>
      <c r="AD514" s="26"/>
      <c r="AE514" s="26"/>
      <c r="AF514" s="26" t="n">
        <f aca="false">SUM(U514:AE514)</f>
        <v>20</v>
      </c>
      <c r="AG514" s="26" t="n">
        <f aca="false">T514-AF514</f>
        <v>629</v>
      </c>
      <c r="AH514" s="28" t="n">
        <f aca="false">IFERROR(AG514/T514,"")</f>
        <v>0.969183359013868</v>
      </c>
      <c r="AI514" s="29" t="n">
        <f aca="false">IFERROR(R514/AG514*60,"")</f>
        <v>94.912559618442</v>
      </c>
      <c r="AJ514" s="30" t="n">
        <f aca="false">IFERROR(AI514/Q514,"")</f>
        <v>0.856849496555379</v>
      </c>
      <c r="AK514" s="31" t="n">
        <f aca="false">IFERROR(R514/(T514/60*Q514),"")</f>
        <v>0.830444273240883</v>
      </c>
      <c r="AL514" s="26" t="n">
        <v>1</v>
      </c>
      <c r="AM514" s="26"/>
      <c r="AN514" s="26" t="n">
        <v>1</v>
      </c>
      <c r="AO514" s="26"/>
      <c r="AP514" s="26"/>
      <c r="AQ514" s="26"/>
      <c r="AR514" s="26" t="n">
        <v>1</v>
      </c>
      <c r="AS514" s="26"/>
      <c r="AT514" s="26"/>
      <c r="AU514" s="26" t="n">
        <v>1</v>
      </c>
      <c r="AV514" s="26" t="n">
        <f aca="false">SUM(AL514:AU514)</f>
        <v>4</v>
      </c>
      <c r="AW514" s="32" t="n">
        <f aca="false">IFERROR(AV514/R514*1000000,"")</f>
        <v>4020.10050251256</v>
      </c>
      <c r="AX514" s="33" t="n">
        <f aca="false">IFERROR((R514-AV514)/R514,"")</f>
        <v>0.995979899497487</v>
      </c>
      <c r="AY514" s="34" t="n">
        <f aca="false">IFERROR(AH514*AJ514*AX514,"")</f>
        <v>0.827105803800719</v>
      </c>
      <c r="AZ514" s="35"/>
    </row>
    <row r="515" customFormat="false" ht="12.75" hidden="false" customHeight="true" outlineLevel="0" collapsed="false">
      <c r="A515" s="24" t="n">
        <v>511</v>
      </c>
      <c r="B515" s="25" t="n">
        <v>46193</v>
      </c>
      <c r="C515" s="25" t="n">
        <v>12</v>
      </c>
      <c r="D515" s="26" t="s">
        <v>71</v>
      </c>
      <c r="E515" s="26" t="s">
        <v>72</v>
      </c>
      <c r="F515" s="26" t="s">
        <v>73</v>
      </c>
      <c r="G515" s="26" t="s">
        <v>8</v>
      </c>
      <c r="H515" s="27" t="n">
        <v>0.354166666666667</v>
      </c>
      <c r="I515" s="27" t="n">
        <v>0.854166666666667</v>
      </c>
      <c r="J515" s="26" t="n">
        <f aca="false">IFERROR((I515-H515)*24*60,"")</f>
        <v>720</v>
      </c>
      <c r="K515" s="26" t="s">
        <v>89</v>
      </c>
      <c r="L515" s="26" t="s">
        <v>83</v>
      </c>
      <c r="M515" s="26" t="s">
        <v>76</v>
      </c>
      <c r="N515" s="26" t="s">
        <v>77</v>
      </c>
      <c r="O515" s="26" t="n">
        <v>1</v>
      </c>
      <c r="P515" s="26" t="n">
        <v>56</v>
      </c>
      <c r="Q515" s="26" t="n">
        <f aca="false">IFERROR(3600/(P515/O515),"")</f>
        <v>64.2857142857143</v>
      </c>
      <c r="R515" s="26" t="n">
        <v>647</v>
      </c>
      <c r="S515" s="26" t="n">
        <v>33</v>
      </c>
      <c r="T515" s="26" t="n">
        <f aca="false">IFERROR(J515-S515,"")</f>
        <v>687</v>
      </c>
      <c r="U515" s="26"/>
      <c r="V515" s="26"/>
      <c r="W515" s="26"/>
      <c r="X515" s="26"/>
      <c r="Y515" s="26"/>
      <c r="Z515" s="26"/>
      <c r="AA515" s="26"/>
      <c r="AB515" s="26" t="n">
        <v>5</v>
      </c>
      <c r="AC515" s="26"/>
      <c r="AD515" s="26"/>
      <c r="AE515" s="26"/>
      <c r="AF515" s="26" t="n">
        <f aca="false">SUM(U515:AE515)</f>
        <v>5</v>
      </c>
      <c r="AG515" s="26" t="n">
        <f aca="false">T515-AF515</f>
        <v>682</v>
      </c>
      <c r="AH515" s="28" t="n">
        <f aca="false">IFERROR(AG515/T515,"")</f>
        <v>0.992721979621543</v>
      </c>
      <c r="AI515" s="29" t="n">
        <f aca="false">IFERROR(R515/AG515*60,"")</f>
        <v>56.9208211143695</v>
      </c>
      <c r="AJ515" s="30" t="n">
        <f aca="false">IFERROR(AI515/Q515,"")</f>
        <v>0.885434995112414</v>
      </c>
      <c r="AK515" s="31" t="n">
        <f aca="false">IFERROR(R515/(T515/60*Q515),"")</f>
        <v>0.878990781174187</v>
      </c>
      <c r="AL515" s="26"/>
      <c r="AM515" s="26"/>
      <c r="AN515" s="26" t="n">
        <v>2</v>
      </c>
      <c r="AO515" s="26"/>
      <c r="AP515" s="26"/>
      <c r="AQ515" s="26"/>
      <c r="AR515" s="26"/>
      <c r="AS515" s="26"/>
      <c r="AT515" s="26" t="n">
        <v>1</v>
      </c>
      <c r="AU515" s="26"/>
      <c r="AV515" s="26" t="n">
        <f aca="false">SUM(AL515:AU515)</f>
        <v>3</v>
      </c>
      <c r="AW515" s="32" t="n">
        <f aca="false">IFERROR(AV515/R515*1000000,"")</f>
        <v>4636.78516228748</v>
      </c>
      <c r="AX515" s="33" t="n">
        <f aca="false">IFERROR((R515-AV515)/R515,"")</f>
        <v>0.995363214837713</v>
      </c>
      <c r="AY515" s="34" t="n">
        <f aca="false">IFERROR(AH515*AJ515*AX515,"")</f>
        <v>0.874915089762251</v>
      </c>
      <c r="AZ515" s="35" t="s">
        <v>93</v>
      </c>
    </row>
    <row r="516" customFormat="false" ht="12.75" hidden="false" customHeight="true" outlineLevel="0" collapsed="false">
      <c r="A516" s="24" t="n">
        <v>512</v>
      </c>
      <c r="B516" s="25" t="n">
        <v>46193</v>
      </c>
      <c r="C516" s="25" t="n">
        <v>12</v>
      </c>
      <c r="D516" s="26" t="s">
        <v>79</v>
      </c>
      <c r="E516" s="26" t="s">
        <v>80</v>
      </c>
      <c r="F516" s="26" t="s">
        <v>81</v>
      </c>
      <c r="G516" s="26" t="s">
        <v>9</v>
      </c>
      <c r="H516" s="27" t="n">
        <v>0.354166666666667</v>
      </c>
      <c r="I516" s="27" t="n">
        <v>0.854166666666667</v>
      </c>
      <c r="J516" s="26" t="n">
        <f aca="false">IFERROR((I516-H516)*24*60,"")</f>
        <v>720</v>
      </c>
      <c r="K516" s="26" t="s">
        <v>82</v>
      </c>
      <c r="L516" s="26" t="s">
        <v>98</v>
      </c>
      <c r="M516" s="26" t="s">
        <v>84</v>
      </c>
      <c r="N516" s="26" t="s">
        <v>85</v>
      </c>
      <c r="O516" s="26" t="n">
        <v>4</v>
      </c>
      <c r="P516" s="26" t="n">
        <v>72</v>
      </c>
      <c r="Q516" s="26" t="n">
        <f aca="false">IFERROR(3600/(P516/O516),"")</f>
        <v>200</v>
      </c>
      <c r="R516" s="26" t="n">
        <v>2044</v>
      </c>
      <c r="S516" s="26" t="n">
        <v>49</v>
      </c>
      <c r="T516" s="26" t="n">
        <f aca="false">IFERROR(J516-S516,"")</f>
        <v>671</v>
      </c>
      <c r="U516" s="26"/>
      <c r="V516" s="26"/>
      <c r="W516" s="26"/>
      <c r="X516" s="26"/>
      <c r="Y516" s="26"/>
      <c r="Z516" s="26"/>
      <c r="AA516" s="26"/>
      <c r="AB516" s="26" t="n">
        <v>4</v>
      </c>
      <c r="AC516" s="26" t="n">
        <v>73</v>
      </c>
      <c r="AD516" s="26"/>
      <c r="AE516" s="26"/>
      <c r="AF516" s="26" t="n">
        <f aca="false">SUM(U516:AE516)</f>
        <v>77</v>
      </c>
      <c r="AG516" s="26" t="n">
        <f aca="false">T516-AF516</f>
        <v>594</v>
      </c>
      <c r="AH516" s="28" t="n">
        <f aca="false">IFERROR(AG516/T516,"")</f>
        <v>0.885245901639344</v>
      </c>
      <c r="AI516" s="29" t="n">
        <f aca="false">IFERROR(R516/AG516*60,"")</f>
        <v>206.464646464646</v>
      </c>
      <c r="AJ516" s="30" t="n">
        <f aca="false">IFERROR(AI516/Q516,"")</f>
        <v>1.03232323232323</v>
      </c>
      <c r="AK516" s="31" t="n">
        <f aca="false">IFERROR(R516/(T516/60*Q516),"")</f>
        <v>0.913859910581222</v>
      </c>
      <c r="AL516" s="26" t="n">
        <v>5</v>
      </c>
      <c r="AM516" s="26" t="n">
        <v>5</v>
      </c>
      <c r="AN516" s="26" t="n">
        <v>5</v>
      </c>
      <c r="AO516" s="26" t="n">
        <v>2</v>
      </c>
      <c r="AP516" s="26" t="n">
        <v>1</v>
      </c>
      <c r="AQ516" s="26" t="n">
        <v>1</v>
      </c>
      <c r="AR516" s="26" t="n">
        <v>6</v>
      </c>
      <c r="AS516" s="26" t="n">
        <v>3</v>
      </c>
      <c r="AT516" s="26" t="n">
        <v>3</v>
      </c>
      <c r="AU516" s="26" t="n">
        <v>4</v>
      </c>
      <c r="AV516" s="26" t="n">
        <f aca="false">SUM(AL516:AU516)</f>
        <v>35</v>
      </c>
      <c r="AW516" s="32" t="n">
        <f aca="false">IFERROR(AV516/R516*1000000,"")</f>
        <v>17123.2876712329</v>
      </c>
      <c r="AX516" s="33" t="n">
        <f aca="false">IFERROR((R516-AV516)/R516,"")</f>
        <v>0.982876712328767</v>
      </c>
      <c r="AY516" s="34" t="n">
        <f aca="false">IFERROR(AH516*AJ516*AX516,"")</f>
        <v>0.898211624441133</v>
      </c>
      <c r="AZ516" s="35" t="s">
        <v>93</v>
      </c>
    </row>
    <row r="517" customFormat="false" ht="12.75" hidden="false" customHeight="true" outlineLevel="0" collapsed="false">
      <c r="A517" s="24" t="n">
        <v>513</v>
      </c>
      <c r="B517" s="25" t="n">
        <v>46193</v>
      </c>
      <c r="C517" s="25" t="n">
        <v>12</v>
      </c>
      <c r="D517" s="26" t="s">
        <v>87</v>
      </c>
      <c r="E517" s="26" t="s">
        <v>88</v>
      </c>
      <c r="F517" s="26" t="s">
        <v>73</v>
      </c>
      <c r="G517" s="26" t="s">
        <v>10</v>
      </c>
      <c r="H517" s="27" t="n">
        <v>0.354166666666667</v>
      </c>
      <c r="I517" s="27" t="n">
        <v>0.854166666666667</v>
      </c>
      <c r="J517" s="26" t="n">
        <f aca="false">IFERROR((I517-H517)*24*60,"")</f>
        <v>720</v>
      </c>
      <c r="K517" s="26" t="s">
        <v>74</v>
      </c>
      <c r="L517" s="26" t="s">
        <v>83</v>
      </c>
      <c r="M517" s="26" t="s">
        <v>91</v>
      </c>
      <c r="N517" s="26" t="s">
        <v>92</v>
      </c>
      <c r="O517" s="26" t="n">
        <v>8</v>
      </c>
      <c r="P517" s="26" t="n">
        <v>64</v>
      </c>
      <c r="Q517" s="26" t="n">
        <f aca="false">IFERROR(3600/(P517/O517),"")</f>
        <v>450</v>
      </c>
      <c r="R517" s="26" t="n">
        <v>4388</v>
      </c>
      <c r="S517" s="26" t="n">
        <v>43</v>
      </c>
      <c r="T517" s="26" t="n">
        <f aca="false">IFERROR(J517-S517,"")</f>
        <v>677</v>
      </c>
      <c r="U517" s="26"/>
      <c r="V517" s="26"/>
      <c r="W517" s="26"/>
      <c r="X517" s="26"/>
      <c r="Y517" s="26"/>
      <c r="Z517" s="26" t="n">
        <v>11</v>
      </c>
      <c r="AA517" s="26"/>
      <c r="AB517" s="26" t="n">
        <v>21</v>
      </c>
      <c r="AC517" s="26"/>
      <c r="AD517" s="26"/>
      <c r="AE517" s="26" t="n">
        <v>19</v>
      </c>
      <c r="AF517" s="26" t="n">
        <f aca="false">SUM(U517:AE517)</f>
        <v>51</v>
      </c>
      <c r="AG517" s="26" t="n">
        <f aca="false">T517-AF517</f>
        <v>626</v>
      </c>
      <c r="AH517" s="28" t="n">
        <f aca="false">IFERROR(AG517/T517,"")</f>
        <v>0.92466765140325</v>
      </c>
      <c r="AI517" s="29" t="n">
        <f aca="false">IFERROR(R517/AG517*60,"")</f>
        <v>420.575079872204</v>
      </c>
      <c r="AJ517" s="30" t="n">
        <f aca="false">IFERROR(AI517/Q517,"")</f>
        <v>0.934611288604899</v>
      </c>
      <c r="AK517" s="31" t="n">
        <f aca="false">IFERROR(R517/(T517/60*Q517),"")</f>
        <v>0.864204825209257</v>
      </c>
      <c r="AL517" s="26" t="n">
        <v>9</v>
      </c>
      <c r="AM517" s="26" t="n">
        <v>5</v>
      </c>
      <c r="AN517" s="26" t="n">
        <v>14</v>
      </c>
      <c r="AO517" s="26" t="n">
        <v>10</v>
      </c>
      <c r="AP517" s="26" t="n">
        <v>12</v>
      </c>
      <c r="AQ517" s="26" t="n">
        <v>9</v>
      </c>
      <c r="AR517" s="26" t="n">
        <v>13</v>
      </c>
      <c r="AS517" s="26" t="n">
        <v>8</v>
      </c>
      <c r="AT517" s="26" t="n">
        <v>8</v>
      </c>
      <c r="AU517" s="26" t="n">
        <v>11</v>
      </c>
      <c r="AV517" s="26" t="n">
        <f aca="false">SUM(AL517:AU517)</f>
        <v>99</v>
      </c>
      <c r="AW517" s="32" t="n">
        <f aca="false">IFERROR(AV517/R517*1000000,"")</f>
        <v>22561.5314494075</v>
      </c>
      <c r="AX517" s="33" t="n">
        <f aca="false">IFERROR((R517-AV517)/R517,"")</f>
        <v>0.977438468550593</v>
      </c>
      <c r="AY517" s="34" t="n">
        <f aca="false">IFERROR(AH517*AJ517*AX517,"")</f>
        <v>0.844707040866568</v>
      </c>
      <c r="AZ517" s="35"/>
    </row>
    <row r="518" customFormat="false" ht="12.75" hidden="false" customHeight="true" outlineLevel="0" collapsed="false">
      <c r="A518" s="24" t="n">
        <v>514</v>
      </c>
      <c r="B518" s="25" t="n">
        <v>46194</v>
      </c>
      <c r="C518" s="25" t="n">
        <v>12</v>
      </c>
      <c r="D518" s="26" t="s">
        <v>71</v>
      </c>
      <c r="E518" s="26" t="s">
        <v>94</v>
      </c>
      <c r="F518" s="26" t="s">
        <v>81</v>
      </c>
      <c r="G518" s="26" t="s">
        <v>11</v>
      </c>
      <c r="H518" s="27" t="n">
        <v>0.354166666666667</v>
      </c>
      <c r="I518" s="27" t="n">
        <v>0.854166666666667</v>
      </c>
      <c r="J518" s="26" t="n">
        <f aca="false">IFERROR((I518-H518)*24*60,"")</f>
        <v>720</v>
      </c>
      <c r="K518" s="26" t="s">
        <v>74</v>
      </c>
      <c r="L518" s="26" t="s">
        <v>75</v>
      </c>
      <c r="M518" s="26" t="s">
        <v>95</v>
      </c>
      <c r="N518" s="26" t="s">
        <v>96</v>
      </c>
      <c r="O518" s="26" t="n">
        <v>1</v>
      </c>
      <c r="P518" s="26" t="n">
        <v>48</v>
      </c>
      <c r="Q518" s="26" t="n">
        <f aca="false">IFERROR(3600/(P518/O518),"")</f>
        <v>75</v>
      </c>
      <c r="R518" s="26" t="n">
        <v>673</v>
      </c>
      <c r="S518" s="26" t="n">
        <v>66</v>
      </c>
      <c r="T518" s="26" t="n">
        <f aca="false">IFERROR(J518-S518,"")</f>
        <v>654</v>
      </c>
      <c r="U518" s="26"/>
      <c r="V518" s="26"/>
      <c r="W518" s="26"/>
      <c r="X518" s="26"/>
      <c r="Y518" s="26"/>
      <c r="Z518" s="26"/>
      <c r="AA518" s="26"/>
      <c r="AB518" s="26"/>
      <c r="AC518" s="26"/>
      <c r="AD518" s="26" t="n">
        <v>10</v>
      </c>
      <c r="AE518" s="26"/>
      <c r="AF518" s="26" t="n">
        <f aca="false">SUM(U518:AE518)</f>
        <v>10</v>
      </c>
      <c r="AG518" s="26" t="n">
        <f aca="false">T518-AF518</f>
        <v>644</v>
      </c>
      <c r="AH518" s="28" t="n">
        <f aca="false">IFERROR(AG518/T518,"")</f>
        <v>0.984709480122324</v>
      </c>
      <c r="AI518" s="29" t="n">
        <f aca="false">IFERROR(R518/AG518*60,"")</f>
        <v>62.7018633540373</v>
      </c>
      <c r="AJ518" s="30" t="n">
        <f aca="false">IFERROR(AI518/Q518,"")</f>
        <v>0.836024844720497</v>
      </c>
      <c r="AK518" s="31" t="n">
        <f aca="false">IFERROR(R518/(T518/60*Q518),"")</f>
        <v>0.823241590214067</v>
      </c>
      <c r="AL518" s="26"/>
      <c r="AM518" s="26"/>
      <c r="AN518" s="26" t="n">
        <v>2</v>
      </c>
      <c r="AO518" s="26" t="n">
        <v>1</v>
      </c>
      <c r="AP518" s="26"/>
      <c r="AQ518" s="26" t="n">
        <v>1</v>
      </c>
      <c r="AR518" s="26" t="n">
        <v>1</v>
      </c>
      <c r="AS518" s="26"/>
      <c r="AT518" s="26"/>
      <c r="AU518" s="26" t="n">
        <v>5</v>
      </c>
      <c r="AV518" s="26" t="n">
        <f aca="false">SUM(AL518:AU518)</f>
        <v>10</v>
      </c>
      <c r="AW518" s="32" t="n">
        <f aca="false">IFERROR(AV518/R518*1000000,"")</f>
        <v>14858.8410104012</v>
      </c>
      <c r="AX518" s="33" t="n">
        <f aca="false">IFERROR((R518-AV518)/R518,"")</f>
        <v>0.985141158989599</v>
      </c>
      <c r="AY518" s="34" t="n">
        <f aca="false">IFERROR(AH518*AJ518*AX518,"")</f>
        <v>0.811009174311927</v>
      </c>
      <c r="AZ518" s="35" t="s">
        <v>93</v>
      </c>
    </row>
    <row r="519" customFormat="false" ht="12.75" hidden="false" customHeight="true" outlineLevel="0" collapsed="false">
      <c r="A519" s="24" t="n">
        <v>515</v>
      </c>
      <c r="B519" s="25" t="n">
        <v>46194</v>
      </c>
      <c r="C519" s="25" t="n">
        <v>12</v>
      </c>
      <c r="D519" s="26" t="s">
        <v>79</v>
      </c>
      <c r="E519" s="26" t="s">
        <v>97</v>
      </c>
      <c r="F519" s="26" t="s">
        <v>73</v>
      </c>
      <c r="G519" s="26" t="s">
        <v>12</v>
      </c>
      <c r="H519" s="27" t="n">
        <v>0.354166666666667</v>
      </c>
      <c r="I519" s="27" t="n">
        <v>0.854166666666667</v>
      </c>
      <c r="J519" s="26" t="n">
        <f aca="false">IFERROR((I519-H519)*24*60,"")</f>
        <v>720</v>
      </c>
      <c r="K519" s="26" t="s">
        <v>74</v>
      </c>
      <c r="L519" s="26" t="s">
        <v>107</v>
      </c>
      <c r="M519" s="26" t="s">
        <v>99</v>
      </c>
      <c r="N519" s="26" t="s">
        <v>100</v>
      </c>
      <c r="O519" s="26" t="n">
        <v>8</v>
      </c>
      <c r="P519" s="26" t="n">
        <v>59</v>
      </c>
      <c r="Q519" s="26" t="n">
        <f aca="false">IFERROR(3600/(P519/O519),"")</f>
        <v>488.135593220339</v>
      </c>
      <c r="R519" s="26" t="n">
        <v>4227</v>
      </c>
      <c r="S519" s="26" t="n">
        <v>65</v>
      </c>
      <c r="T519" s="26" t="n">
        <f aca="false">IFERROR(J519-S519,"")</f>
        <v>655</v>
      </c>
      <c r="U519" s="26"/>
      <c r="V519" s="26"/>
      <c r="W519" s="26"/>
      <c r="X519" s="26"/>
      <c r="Y519" s="26"/>
      <c r="Z519" s="26" t="n">
        <v>8</v>
      </c>
      <c r="AA519" s="26" t="n">
        <v>29</v>
      </c>
      <c r="AB519" s="26" t="n">
        <v>34</v>
      </c>
      <c r="AC519" s="26"/>
      <c r="AD519" s="26"/>
      <c r="AE519" s="26"/>
      <c r="AF519" s="26" t="n">
        <f aca="false">SUM(U519:AE519)</f>
        <v>71</v>
      </c>
      <c r="AG519" s="26" t="n">
        <f aca="false">T519-AF519</f>
        <v>584</v>
      </c>
      <c r="AH519" s="28" t="n">
        <f aca="false">IFERROR(AG519/T519,"")</f>
        <v>0.891603053435115</v>
      </c>
      <c r="AI519" s="29" t="n">
        <f aca="false">IFERROR(R519/AG519*60,"")</f>
        <v>434.280821917808</v>
      </c>
      <c r="AJ519" s="30" t="n">
        <f aca="false">IFERROR(AI519/Q519,"")</f>
        <v>0.889672517123288</v>
      </c>
      <c r="AK519" s="31" t="n">
        <f aca="false">IFERROR(R519/(T519/60*Q519),"")</f>
        <v>0.793234732824428</v>
      </c>
      <c r="AL519" s="26" t="n">
        <v>1</v>
      </c>
      <c r="AM519" s="26" t="n">
        <v>1</v>
      </c>
      <c r="AN519" s="26" t="n">
        <v>1</v>
      </c>
      <c r="AO519" s="26" t="n">
        <v>1</v>
      </c>
      <c r="AP519" s="26" t="n">
        <v>2</v>
      </c>
      <c r="AQ519" s="26"/>
      <c r="AR519" s="26"/>
      <c r="AS519" s="26"/>
      <c r="AT519" s="26" t="n">
        <v>2</v>
      </c>
      <c r="AU519" s="26" t="n">
        <v>1</v>
      </c>
      <c r="AV519" s="26" t="n">
        <f aca="false">SUM(AL519:AU519)</f>
        <v>9</v>
      </c>
      <c r="AW519" s="32" t="n">
        <f aca="false">IFERROR(AV519/R519*1000000,"")</f>
        <v>2129.1696238467</v>
      </c>
      <c r="AX519" s="33" t="n">
        <f aca="false">IFERROR((R519-AV519)/R519,"")</f>
        <v>0.997870830376153</v>
      </c>
      <c r="AY519" s="34" t="n">
        <f aca="false">IFERROR(AH519*AJ519*AX519,"")</f>
        <v>0.791545801526718</v>
      </c>
      <c r="AZ519" s="35" t="s">
        <v>93</v>
      </c>
    </row>
    <row r="520" customFormat="false" ht="12.75" hidden="false" customHeight="true" outlineLevel="0" collapsed="false">
      <c r="A520" s="24" t="n">
        <v>516</v>
      </c>
      <c r="B520" s="25" t="n">
        <v>46194</v>
      </c>
      <c r="C520" s="25" t="n">
        <v>12</v>
      </c>
      <c r="D520" s="26" t="s">
        <v>87</v>
      </c>
      <c r="E520" s="26" t="s">
        <v>101</v>
      </c>
      <c r="F520" s="26" t="s">
        <v>81</v>
      </c>
      <c r="G520" s="26" t="s">
        <v>13</v>
      </c>
      <c r="H520" s="27" t="n">
        <v>0.354166666666667</v>
      </c>
      <c r="I520" s="27" t="n">
        <v>0.854166666666667</v>
      </c>
      <c r="J520" s="26" t="n">
        <f aca="false">IFERROR((I520-H520)*24*60,"")</f>
        <v>720</v>
      </c>
      <c r="K520" s="26" t="s">
        <v>82</v>
      </c>
      <c r="L520" s="26" t="s">
        <v>98</v>
      </c>
      <c r="M520" s="26" t="s">
        <v>103</v>
      </c>
      <c r="N520" s="26" t="s">
        <v>104</v>
      </c>
      <c r="O520" s="26" t="n">
        <v>2</v>
      </c>
      <c r="P520" s="26" t="n">
        <v>72</v>
      </c>
      <c r="Q520" s="26" t="n">
        <f aca="false">IFERROR(3600/(P520/O520),"")</f>
        <v>100</v>
      </c>
      <c r="R520" s="26" t="n">
        <v>919</v>
      </c>
      <c r="S520" s="26" t="n">
        <v>42</v>
      </c>
      <c r="T520" s="26" t="n">
        <f aca="false">IFERROR(J520-S520,"")</f>
        <v>678</v>
      </c>
      <c r="U520" s="26"/>
      <c r="V520" s="26"/>
      <c r="W520" s="26"/>
      <c r="X520" s="26"/>
      <c r="Y520" s="26"/>
      <c r="Z520" s="26"/>
      <c r="AA520" s="26" t="n">
        <v>11</v>
      </c>
      <c r="AB520" s="26"/>
      <c r="AC520" s="26"/>
      <c r="AD520" s="26"/>
      <c r="AE520" s="26"/>
      <c r="AF520" s="26" t="n">
        <f aca="false">SUM(U520:AE520)</f>
        <v>11</v>
      </c>
      <c r="AG520" s="26" t="n">
        <f aca="false">T520-AF520</f>
        <v>667</v>
      </c>
      <c r="AH520" s="28" t="n">
        <f aca="false">IFERROR(AG520/T520,"")</f>
        <v>0.98377581120944</v>
      </c>
      <c r="AI520" s="29" t="n">
        <f aca="false">IFERROR(R520/AG520*60,"")</f>
        <v>82.6686656671664</v>
      </c>
      <c r="AJ520" s="30" t="n">
        <f aca="false">IFERROR(AI520/Q520,"")</f>
        <v>0.826686656671664</v>
      </c>
      <c r="AK520" s="31" t="n">
        <f aca="false">IFERROR(R520/(T520/60*Q520),"")</f>
        <v>0.813274336283186</v>
      </c>
      <c r="AL520" s="26" t="n">
        <v>1</v>
      </c>
      <c r="AM520" s="26" t="n">
        <v>1</v>
      </c>
      <c r="AN520" s="26"/>
      <c r="AO520" s="26"/>
      <c r="AP520" s="26"/>
      <c r="AQ520" s="26"/>
      <c r="AR520" s="26"/>
      <c r="AS520" s="26"/>
      <c r="AT520" s="26"/>
      <c r="AU520" s="26"/>
      <c r="AV520" s="26" t="n">
        <f aca="false">SUM(AL520:AU520)</f>
        <v>2</v>
      </c>
      <c r="AW520" s="32" t="n">
        <f aca="false">IFERROR(AV520/R520*1000000,"")</f>
        <v>2176.27856365615</v>
      </c>
      <c r="AX520" s="33" t="n">
        <f aca="false">IFERROR((R520-AV520)/R520,"")</f>
        <v>0.997823721436344</v>
      </c>
      <c r="AY520" s="34" t="n">
        <f aca="false">IFERROR(AH520*AJ520*AX520,"")</f>
        <v>0.811504424778761</v>
      </c>
      <c r="AZ520" s="35" t="s">
        <v>78</v>
      </c>
    </row>
    <row r="521" customFormat="false" ht="12.75" hidden="false" customHeight="true" outlineLevel="0" collapsed="false">
      <c r="A521" s="24" t="n">
        <v>517</v>
      </c>
      <c r="B521" s="25" t="n">
        <v>46195</v>
      </c>
      <c r="C521" s="25" t="n">
        <v>12</v>
      </c>
      <c r="D521" s="26" t="s">
        <v>71</v>
      </c>
      <c r="E521" s="26" t="s">
        <v>72</v>
      </c>
      <c r="F521" s="26" t="s">
        <v>73</v>
      </c>
      <c r="G521" s="26" t="s">
        <v>8</v>
      </c>
      <c r="H521" s="27" t="n">
        <v>0.354166666666667</v>
      </c>
      <c r="I521" s="27" t="n">
        <v>0.854166666666667</v>
      </c>
      <c r="J521" s="26" t="n">
        <f aca="false">IFERROR((I521-H521)*24*60,"")</f>
        <v>720</v>
      </c>
      <c r="K521" s="26" t="s">
        <v>89</v>
      </c>
      <c r="L521" s="26" t="s">
        <v>106</v>
      </c>
      <c r="M521" s="26" t="s">
        <v>76</v>
      </c>
      <c r="N521" s="26" t="s">
        <v>77</v>
      </c>
      <c r="O521" s="26" t="n">
        <v>8</v>
      </c>
      <c r="P521" s="26" t="n">
        <v>33</v>
      </c>
      <c r="Q521" s="26" t="n">
        <f aca="false">IFERROR(3600/(P521/O521),"")</f>
        <v>872.727272727273</v>
      </c>
      <c r="R521" s="26" t="n">
        <v>8412</v>
      </c>
      <c r="S521" s="26" t="n">
        <v>71</v>
      </c>
      <c r="T521" s="26" t="n">
        <f aca="false">IFERROR(J521-S521,"")</f>
        <v>649</v>
      </c>
      <c r="U521" s="26"/>
      <c r="V521" s="26"/>
      <c r="W521" s="26"/>
      <c r="X521" s="26"/>
      <c r="Y521" s="26" t="n">
        <v>7</v>
      </c>
      <c r="Z521" s="26"/>
      <c r="AA521" s="26"/>
      <c r="AB521" s="26"/>
      <c r="AC521" s="26"/>
      <c r="AD521" s="26"/>
      <c r="AE521" s="26" t="n">
        <v>62</v>
      </c>
      <c r="AF521" s="26" t="n">
        <f aca="false">SUM(U521:AE521)</f>
        <v>69</v>
      </c>
      <c r="AG521" s="26" t="n">
        <f aca="false">T521-AF521</f>
        <v>580</v>
      </c>
      <c r="AH521" s="28" t="n">
        <f aca="false">IFERROR(AG521/T521,"")</f>
        <v>0.893682588597843</v>
      </c>
      <c r="AI521" s="29" t="n">
        <f aca="false">IFERROR(R521/AG521*60,"")</f>
        <v>870.206896551724</v>
      </c>
      <c r="AJ521" s="30" t="n">
        <f aca="false">IFERROR(AI521/Q521,"")</f>
        <v>0.997112068965517</v>
      </c>
      <c r="AK521" s="31" t="n">
        <f aca="false">IFERROR(R521/(T521/60*Q521),"")</f>
        <v>0.891101694915254</v>
      </c>
      <c r="AL521" s="26" t="n">
        <v>8</v>
      </c>
      <c r="AM521" s="26" t="n">
        <v>4</v>
      </c>
      <c r="AN521" s="26" t="n">
        <v>8</v>
      </c>
      <c r="AO521" s="26" t="n">
        <v>4</v>
      </c>
      <c r="AP521" s="26" t="n">
        <v>5</v>
      </c>
      <c r="AQ521" s="26" t="n">
        <v>5</v>
      </c>
      <c r="AR521" s="26" t="n">
        <v>6</v>
      </c>
      <c r="AS521" s="26" t="n">
        <v>3</v>
      </c>
      <c r="AT521" s="26" t="n">
        <v>7</v>
      </c>
      <c r="AU521" s="26" t="n">
        <v>10</v>
      </c>
      <c r="AV521" s="26" t="n">
        <f aca="false">SUM(AL521:AU521)</f>
        <v>60</v>
      </c>
      <c r="AW521" s="32" t="n">
        <f aca="false">IFERROR(AV521/R521*1000000,"")</f>
        <v>7132.66761768902</v>
      </c>
      <c r="AX521" s="33" t="n">
        <f aca="false">IFERROR((R521-AV521)/R521,"")</f>
        <v>0.992867332382311</v>
      </c>
      <c r="AY521" s="34" t="n">
        <f aca="false">IFERROR(AH521*AJ521*AX521,"")</f>
        <v>0.884745762711865</v>
      </c>
      <c r="AZ521" s="35" t="s">
        <v>86</v>
      </c>
    </row>
    <row r="522" customFormat="false" ht="12.75" hidden="false" customHeight="true" outlineLevel="0" collapsed="false">
      <c r="A522" s="24" t="n">
        <v>518</v>
      </c>
      <c r="B522" s="25" t="n">
        <v>46195</v>
      </c>
      <c r="C522" s="25" t="n">
        <v>12</v>
      </c>
      <c r="D522" s="26" t="s">
        <v>79</v>
      </c>
      <c r="E522" s="26" t="s">
        <v>80</v>
      </c>
      <c r="F522" s="26" t="s">
        <v>81</v>
      </c>
      <c r="G522" s="26" t="s">
        <v>9</v>
      </c>
      <c r="H522" s="27" t="n">
        <v>0.354166666666667</v>
      </c>
      <c r="I522" s="27" t="n">
        <v>0.854166666666667</v>
      </c>
      <c r="J522" s="26" t="n">
        <f aca="false">IFERROR((I522-H522)*24*60,"")</f>
        <v>720</v>
      </c>
      <c r="K522" s="26" t="s">
        <v>89</v>
      </c>
      <c r="L522" s="26" t="s">
        <v>108</v>
      </c>
      <c r="M522" s="26" t="s">
        <v>84</v>
      </c>
      <c r="N522" s="26" t="s">
        <v>85</v>
      </c>
      <c r="O522" s="26" t="n">
        <v>8</v>
      </c>
      <c r="P522" s="26" t="n">
        <v>63</v>
      </c>
      <c r="Q522" s="26" t="n">
        <f aca="false">IFERROR(3600/(P522/O522),"")</f>
        <v>457.142857142857</v>
      </c>
      <c r="R522" s="26" t="n">
        <v>4168</v>
      </c>
      <c r="S522" s="26" t="n">
        <v>70</v>
      </c>
      <c r="T522" s="26" t="n">
        <f aca="false">IFERROR(J522-S522,"")</f>
        <v>650</v>
      </c>
      <c r="U522" s="26"/>
      <c r="V522" s="26"/>
      <c r="W522" s="26"/>
      <c r="X522" s="26"/>
      <c r="Y522" s="26"/>
      <c r="Z522" s="26"/>
      <c r="AA522" s="26" t="n">
        <v>5</v>
      </c>
      <c r="AB522" s="26"/>
      <c r="AC522" s="26"/>
      <c r="AD522" s="26"/>
      <c r="AE522" s="26"/>
      <c r="AF522" s="26" t="n">
        <f aca="false">SUM(U522:AE522)</f>
        <v>5</v>
      </c>
      <c r="AG522" s="26" t="n">
        <f aca="false">T522-AF522</f>
        <v>645</v>
      </c>
      <c r="AH522" s="28" t="n">
        <f aca="false">IFERROR(AG522/T522,"")</f>
        <v>0.992307692307692</v>
      </c>
      <c r="AI522" s="29" t="n">
        <f aca="false">IFERROR(R522/AG522*60,"")</f>
        <v>387.720930232558</v>
      </c>
      <c r="AJ522" s="30" t="n">
        <f aca="false">IFERROR(AI522/Q522,"")</f>
        <v>0.848139534883721</v>
      </c>
      <c r="AK522" s="31" t="n">
        <f aca="false">IFERROR(R522/(T522/60*Q522),"")</f>
        <v>0.841615384615384</v>
      </c>
      <c r="AL522" s="26" t="n">
        <v>7</v>
      </c>
      <c r="AM522" s="26" t="n">
        <v>6</v>
      </c>
      <c r="AN522" s="26" t="n">
        <v>6</v>
      </c>
      <c r="AO522" s="26" t="n">
        <v>9</v>
      </c>
      <c r="AP522" s="26" t="n">
        <v>10</v>
      </c>
      <c r="AQ522" s="26" t="n">
        <v>4</v>
      </c>
      <c r="AR522" s="26" t="n">
        <v>2</v>
      </c>
      <c r="AS522" s="26" t="n">
        <v>10</v>
      </c>
      <c r="AT522" s="26" t="n">
        <v>2</v>
      </c>
      <c r="AU522" s="26" t="n">
        <v>7</v>
      </c>
      <c r="AV522" s="26" t="n">
        <f aca="false">SUM(AL522:AU522)</f>
        <v>63</v>
      </c>
      <c r="AW522" s="32" t="n">
        <f aca="false">IFERROR(AV522/R522*1000000,"")</f>
        <v>15115.1631477927</v>
      </c>
      <c r="AX522" s="33" t="n">
        <f aca="false">IFERROR((R522-AV522)/R522,"")</f>
        <v>0.984884836852207</v>
      </c>
      <c r="AY522" s="34" t="n">
        <f aca="false">IFERROR(AH522*AJ522*AX522,"")</f>
        <v>0.828894230769231</v>
      </c>
      <c r="AZ522" s="35" t="s">
        <v>78</v>
      </c>
    </row>
    <row r="523" customFormat="false" ht="12.75" hidden="false" customHeight="true" outlineLevel="0" collapsed="false">
      <c r="A523" s="24" t="n">
        <v>519</v>
      </c>
      <c r="B523" s="25" t="n">
        <v>46195</v>
      </c>
      <c r="C523" s="25" t="n">
        <v>12</v>
      </c>
      <c r="D523" s="26" t="s">
        <v>87</v>
      </c>
      <c r="E523" s="26" t="s">
        <v>88</v>
      </c>
      <c r="F523" s="26" t="s">
        <v>73</v>
      </c>
      <c r="G523" s="26" t="s">
        <v>10</v>
      </c>
      <c r="H523" s="27" t="n">
        <v>0.354166666666667</v>
      </c>
      <c r="I523" s="27" t="n">
        <v>0.854166666666667</v>
      </c>
      <c r="J523" s="26" t="n">
        <f aca="false">IFERROR((I523-H523)*24*60,"")</f>
        <v>720</v>
      </c>
      <c r="K523" s="26" t="s">
        <v>105</v>
      </c>
      <c r="L523" s="26" t="s">
        <v>102</v>
      </c>
      <c r="M523" s="26" t="s">
        <v>91</v>
      </c>
      <c r="N523" s="26" t="s">
        <v>92</v>
      </c>
      <c r="O523" s="26" t="n">
        <v>8</v>
      </c>
      <c r="P523" s="26" t="n">
        <v>32</v>
      </c>
      <c r="Q523" s="26" t="n">
        <f aca="false">IFERROR(3600/(P523/O523),"")</f>
        <v>900</v>
      </c>
      <c r="R523" s="26" t="n">
        <v>8546</v>
      </c>
      <c r="S523" s="26" t="n">
        <v>58</v>
      </c>
      <c r="T523" s="26" t="n">
        <f aca="false">IFERROR(J523-S523,"")</f>
        <v>662</v>
      </c>
      <c r="U523" s="26" t="n">
        <v>7</v>
      </c>
      <c r="V523" s="26"/>
      <c r="W523" s="26"/>
      <c r="X523" s="26"/>
      <c r="Y523" s="26"/>
      <c r="Z523" s="26"/>
      <c r="AA523" s="26" t="n">
        <v>33</v>
      </c>
      <c r="AB523" s="26"/>
      <c r="AC523" s="26"/>
      <c r="AD523" s="26"/>
      <c r="AE523" s="26"/>
      <c r="AF523" s="26" t="n">
        <f aca="false">SUM(U523:AE523)</f>
        <v>40</v>
      </c>
      <c r="AG523" s="26" t="n">
        <f aca="false">T523-AF523</f>
        <v>622</v>
      </c>
      <c r="AH523" s="28" t="n">
        <f aca="false">IFERROR(AG523/T523,"")</f>
        <v>0.939577039274924</v>
      </c>
      <c r="AI523" s="29" t="n">
        <f aca="false">IFERROR(R523/AG523*60,"")</f>
        <v>824.372990353698</v>
      </c>
      <c r="AJ523" s="30" t="n">
        <f aca="false">IFERROR(AI523/Q523,"")</f>
        <v>0.915969989281886</v>
      </c>
      <c r="AK523" s="31" t="n">
        <f aca="false">IFERROR(R523/(T523/60*Q523),"")</f>
        <v>0.860624370594159</v>
      </c>
      <c r="AL523" s="26" t="n">
        <v>11</v>
      </c>
      <c r="AM523" s="26" t="n">
        <v>9</v>
      </c>
      <c r="AN523" s="26" t="n">
        <v>4</v>
      </c>
      <c r="AO523" s="26" t="n">
        <v>7</v>
      </c>
      <c r="AP523" s="26" t="n">
        <v>9</v>
      </c>
      <c r="AQ523" s="26" t="n">
        <v>10</v>
      </c>
      <c r="AR523" s="26" t="n">
        <v>6</v>
      </c>
      <c r="AS523" s="26" t="n">
        <v>5</v>
      </c>
      <c r="AT523" s="26" t="n">
        <v>11</v>
      </c>
      <c r="AU523" s="26" t="n">
        <v>8</v>
      </c>
      <c r="AV523" s="26" t="n">
        <f aca="false">SUM(AL523:AU523)</f>
        <v>80</v>
      </c>
      <c r="AW523" s="32" t="n">
        <f aca="false">IFERROR(AV523/R523*1000000,"")</f>
        <v>9361.10461034402</v>
      </c>
      <c r="AX523" s="33" t="n">
        <f aca="false">IFERROR((R523-AV523)/R523,"")</f>
        <v>0.990638895389656</v>
      </c>
      <c r="AY523" s="34" t="n">
        <f aca="false">IFERROR(AH523*AJ523*AX523,"")</f>
        <v>0.852567975830816</v>
      </c>
      <c r="AZ523" s="35" t="s">
        <v>78</v>
      </c>
    </row>
    <row r="524" customFormat="false" ht="12.75" hidden="false" customHeight="true" outlineLevel="0" collapsed="false">
      <c r="A524" s="24" t="n">
        <v>520</v>
      </c>
      <c r="B524" s="25" t="n">
        <v>46196</v>
      </c>
      <c r="C524" s="25" t="n">
        <v>12</v>
      </c>
      <c r="D524" s="26" t="s">
        <v>71</v>
      </c>
      <c r="E524" s="26" t="s">
        <v>94</v>
      </c>
      <c r="F524" s="26" t="s">
        <v>81</v>
      </c>
      <c r="G524" s="26" t="s">
        <v>11</v>
      </c>
      <c r="H524" s="27" t="n">
        <v>0.354166666666667</v>
      </c>
      <c r="I524" s="27" t="n">
        <v>0.854166666666667</v>
      </c>
      <c r="J524" s="26" t="n">
        <f aca="false">IFERROR((I524-H524)*24*60,"")</f>
        <v>720</v>
      </c>
      <c r="K524" s="26" t="s">
        <v>82</v>
      </c>
      <c r="L524" s="26" t="s">
        <v>98</v>
      </c>
      <c r="M524" s="26" t="s">
        <v>95</v>
      </c>
      <c r="N524" s="26" t="s">
        <v>96</v>
      </c>
      <c r="O524" s="26" t="n">
        <v>4</v>
      </c>
      <c r="P524" s="26" t="n">
        <v>34</v>
      </c>
      <c r="Q524" s="26" t="n">
        <f aca="false">IFERROR(3600/(P524/O524),"")</f>
        <v>423.529411764706</v>
      </c>
      <c r="R524" s="26" t="n">
        <v>4035</v>
      </c>
      <c r="S524" s="26" t="n">
        <v>39</v>
      </c>
      <c r="T524" s="26" t="n">
        <f aca="false">IFERROR(J524-S524,"")</f>
        <v>681</v>
      </c>
      <c r="U524" s="26"/>
      <c r="V524" s="26"/>
      <c r="W524" s="26"/>
      <c r="X524" s="26"/>
      <c r="Y524" s="26"/>
      <c r="Z524" s="26"/>
      <c r="AA524" s="26" t="n">
        <v>17</v>
      </c>
      <c r="AB524" s="26"/>
      <c r="AC524" s="26"/>
      <c r="AD524" s="26"/>
      <c r="AE524" s="26"/>
      <c r="AF524" s="26" t="n">
        <f aca="false">SUM(U524:AE524)</f>
        <v>17</v>
      </c>
      <c r="AG524" s="26" t="n">
        <f aca="false">T524-AF524</f>
        <v>664</v>
      </c>
      <c r="AH524" s="28" t="n">
        <f aca="false">IFERROR(AG524/T524,"")</f>
        <v>0.97503671071953</v>
      </c>
      <c r="AI524" s="29" t="n">
        <f aca="false">IFERROR(R524/AG524*60,"")</f>
        <v>364.60843373494</v>
      </c>
      <c r="AJ524" s="30" t="n">
        <f aca="false">IFERROR(AI524/Q524,"")</f>
        <v>0.860881024096386</v>
      </c>
      <c r="AK524" s="31" t="n">
        <f aca="false">IFERROR(R524/(T524/60*Q524),"")</f>
        <v>0.8393906020558</v>
      </c>
      <c r="AL524" s="26" t="n">
        <v>10</v>
      </c>
      <c r="AM524" s="26" t="n">
        <v>8</v>
      </c>
      <c r="AN524" s="26" t="n">
        <v>7</v>
      </c>
      <c r="AO524" s="26" t="n">
        <v>9</v>
      </c>
      <c r="AP524" s="26" t="n">
        <v>6</v>
      </c>
      <c r="AQ524" s="26" t="n">
        <v>5</v>
      </c>
      <c r="AR524" s="26" t="n">
        <v>6</v>
      </c>
      <c r="AS524" s="26" t="n">
        <v>7</v>
      </c>
      <c r="AT524" s="26" t="n">
        <v>8</v>
      </c>
      <c r="AU524" s="26" t="n">
        <v>7</v>
      </c>
      <c r="AV524" s="26" t="n">
        <f aca="false">SUM(AL524:AU524)</f>
        <v>73</v>
      </c>
      <c r="AW524" s="32" t="n">
        <f aca="false">IFERROR(AV524/R524*1000000,"")</f>
        <v>18091.697645601</v>
      </c>
      <c r="AX524" s="33" t="n">
        <f aca="false">IFERROR((R524-AV524)/R524,"")</f>
        <v>0.981908302354399</v>
      </c>
      <c r="AY524" s="34" t="n">
        <f aca="false">IFERROR(AH524*AJ524*AX524,"")</f>
        <v>0.824204601076848</v>
      </c>
      <c r="AZ524" s="35" t="s">
        <v>93</v>
      </c>
    </row>
    <row r="525" customFormat="false" ht="12.75" hidden="false" customHeight="true" outlineLevel="0" collapsed="false">
      <c r="A525" s="24" t="n">
        <v>521</v>
      </c>
      <c r="B525" s="25" t="n">
        <v>46196</v>
      </c>
      <c r="C525" s="25" t="n">
        <v>12</v>
      </c>
      <c r="D525" s="26" t="s">
        <v>79</v>
      </c>
      <c r="E525" s="26" t="s">
        <v>97</v>
      </c>
      <c r="F525" s="26" t="s">
        <v>73</v>
      </c>
      <c r="G525" s="26" t="s">
        <v>12</v>
      </c>
      <c r="H525" s="27" t="n">
        <v>0.354166666666667</v>
      </c>
      <c r="I525" s="27" t="n">
        <v>0.854166666666667</v>
      </c>
      <c r="J525" s="26" t="n">
        <f aca="false">IFERROR((I525-H525)*24*60,"")</f>
        <v>720</v>
      </c>
      <c r="K525" s="26" t="s">
        <v>89</v>
      </c>
      <c r="L525" s="26" t="s">
        <v>83</v>
      </c>
      <c r="M525" s="26" t="s">
        <v>99</v>
      </c>
      <c r="N525" s="26" t="s">
        <v>100</v>
      </c>
      <c r="O525" s="26" t="n">
        <v>2</v>
      </c>
      <c r="P525" s="26" t="n">
        <v>64</v>
      </c>
      <c r="Q525" s="26" t="n">
        <f aca="false">IFERROR(3600/(P525/O525),"")</f>
        <v>112.5</v>
      </c>
      <c r="R525" s="26" t="n">
        <v>1224</v>
      </c>
      <c r="S525" s="26" t="n">
        <v>60</v>
      </c>
      <c r="T525" s="26" t="n">
        <f aca="false">IFERROR(J525-S525,"")</f>
        <v>660</v>
      </c>
      <c r="U525" s="26"/>
      <c r="V525" s="26" t="n">
        <v>6</v>
      </c>
      <c r="W525" s="26"/>
      <c r="X525" s="26"/>
      <c r="Y525" s="26"/>
      <c r="Z525" s="26"/>
      <c r="AA525" s="26"/>
      <c r="AB525" s="26"/>
      <c r="AC525" s="26"/>
      <c r="AD525" s="26"/>
      <c r="AE525" s="26"/>
      <c r="AF525" s="26" t="n">
        <f aca="false">SUM(U525:AE525)</f>
        <v>6</v>
      </c>
      <c r="AG525" s="26" t="n">
        <f aca="false">T525-AF525</f>
        <v>654</v>
      </c>
      <c r="AH525" s="28" t="n">
        <f aca="false">IFERROR(AG525/T525,"")</f>
        <v>0.990909090909091</v>
      </c>
      <c r="AI525" s="29" t="n">
        <f aca="false">IFERROR(R525/AG525*60,"")</f>
        <v>112.293577981651</v>
      </c>
      <c r="AJ525" s="30" t="n">
        <f aca="false">IFERROR(AI525/Q525,"")</f>
        <v>0.998165137614679</v>
      </c>
      <c r="AK525" s="31" t="n">
        <f aca="false">IFERROR(R525/(T525/60*Q525),"")</f>
        <v>0.989090909090909</v>
      </c>
      <c r="AL525" s="26"/>
      <c r="AM525" s="26" t="n">
        <v>1</v>
      </c>
      <c r="AN525" s="26"/>
      <c r="AO525" s="26" t="n">
        <v>1</v>
      </c>
      <c r="AP525" s="26" t="n">
        <v>1</v>
      </c>
      <c r="AQ525" s="26" t="n">
        <v>1</v>
      </c>
      <c r="AR525" s="26" t="n">
        <v>2</v>
      </c>
      <c r="AS525" s="26" t="n">
        <v>1</v>
      </c>
      <c r="AT525" s="26"/>
      <c r="AU525" s="26" t="n">
        <v>3</v>
      </c>
      <c r="AV525" s="26" t="n">
        <f aca="false">SUM(AL525:AU525)</f>
        <v>10</v>
      </c>
      <c r="AW525" s="32" t="n">
        <f aca="false">IFERROR(AV525/R525*1000000,"")</f>
        <v>8169.93464052288</v>
      </c>
      <c r="AX525" s="33" t="n">
        <f aca="false">IFERROR((R525-AV525)/R525,"")</f>
        <v>0.991830065359477</v>
      </c>
      <c r="AY525" s="34" t="n">
        <f aca="false">IFERROR(AH525*AJ525*AX525,"")</f>
        <v>0.981010101010101</v>
      </c>
      <c r="AZ525" s="35"/>
    </row>
    <row r="526" customFormat="false" ht="12.75" hidden="false" customHeight="true" outlineLevel="0" collapsed="false">
      <c r="A526" s="24" t="n">
        <v>522</v>
      </c>
      <c r="B526" s="25" t="n">
        <v>46196</v>
      </c>
      <c r="C526" s="25" t="n">
        <v>12</v>
      </c>
      <c r="D526" s="26" t="s">
        <v>87</v>
      </c>
      <c r="E526" s="26" t="s">
        <v>101</v>
      </c>
      <c r="F526" s="26" t="s">
        <v>81</v>
      </c>
      <c r="G526" s="26" t="s">
        <v>13</v>
      </c>
      <c r="H526" s="27" t="n">
        <v>0.354166666666667</v>
      </c>
      <c r="I526" s="27" t="n">
        <v>0.854166666666667</v>
      </c>
      <c r="J526" s="26" t="n">
        <f aca="false">IFERROR((I526-H526)*24*60,"")</f>
        <v>720</v>
      </c>
      <c r="K526" s="26" t="s">
        <v>74</v>
      </c>
      <c r="L526" s="26" t="s">
        <v>108</v>
      </c>
      <c r="M526" s="26" t="s">
        <v>103</v>
      </c>
      <c r="N526" s="26" t="s">
        <v>104</v>
      </c>
      <c r="O526" s="26" t="n">
        <v>4</v>
      </c>
      <c r="P526" s="26" t="n">
        <v>68</v>
      </c>
      <c r="Q526" s="26" t="n">
        <f aca="false">IFERROR(3600/(P526/O526),"")</f>
        <v>211.764705882353</v>
      </c>
      <c r="R526" s="26" t="n">
        <v>2185</v>
      </c>
      <c r="S526" s="26" t="n">
        <v>41</v>
      </c>
      <c r="T526" s="26" t="n">
        <f aca="false">IFERROR(J526-S526,"")</f>
        <v>679</v>
      </c>
      <c r="U526" s="26" t="n">
        <v>10</v>
      </c>
      <c r="V526" s="26"/>
      <c r="W526" s="26"/>
      <c r="X526" s="26"/>
      <c r="Y526" s="26"/>
      <c r="Z526" s="26" t="n">
        <v>3</v>
      </c>
      <c r="AA526" s="26"/>
      <c r="AB526" s="26"/>
      <c r="AC526" s="26"/>
      <c r="AD526" s="26"/>
      <c r="AE526" s="26"/>
      <c r="AF526" s="26" t="n">
        <f aca="false">SUM(U526:AE526)</f>
        <v>13</v>
      </c>
      <c r="AG526" s="26" t="n">
        <f aca="false">T526-AF526</f>
        <v>666</v>
      </c>
      <c r="AH526" s="28" t="n">
        <f aca="false">IFERROR(AG526/T526,"")</f>
        <v>0.980854197349043</v>
      </c>
      <c r="AI526" s="29" t="n">
        <f aca="false">IFERROR(R526/AG526*60,"")</f>
        <v>196.846846846847</v>
      </c>
      <c r="AJ526" s="30" t="n">
        <f aca="false">IFERROR(AI526/Q526,"")</f>
        <v>0.929554554554555</v>
      </c>
      <c r="AK526" s="31" t="n">
        <f aca="false">IFERROR(R526/(T526/60*Q526),"")</f>
        <v>0.911757486499755</v>
      </c>
      <c r="AL526" s="26" t="n">
        <v>2</v>
      </c>
      <c r="AM526" s="26" t="n">
        <v>1</v>
      </c>
      <c r="AN526" s="26" t="n">
        <v>1</v>
      </c>
      <c r="AO526" s="26"/>
      <c r="AP526" s="26" t="n">
        <v>1</v>
      </c>
      <c r="AQ526" s="26" t="n">
        <v>1</v>
      </c>
      <c r="AR526" s="26" t="n">
        <v>1</v>
      </c>
      <c r="AS526" s="26" t="n">
        <v>2</v>
      </c>
      <c r="AT526" s="26" t="n">
        <v>2</v>
      </c>
      <c r="AU526" s="26"/>
      <c r="AV526" s="26" t="n">
        <f aca="false">SUM(AL526:AU526)</f>
        <v>11</v>
      </c>
      <c r="AW526" s="32" t="n">
        <f aca="false">IFERROR(AV526/R526*1000000,"")</f>
        <v>5034.32494279176</v>
      </c>
      <c r="AX526" s="33" t="n">
        <f aca="false">IFERROR((R526-AV526)/R526,"")</f>
        <v>0.994965675057208</v>
      </c>
      <c r="AY526" s="34" t="n">
        <f aca="false">IFERROR(AH526*AJ526*AX526,"")</f>
        <v>0.907167403043692</v>
      </c>
      <c r="AZ526" s="35"/>
    </row>
    <row r="527" customFormat="false" ht="12.75" hidden="false" customHeight="true" outlineLevel="0" collapsed="false">
      <c r="A527" s="24" t="n">
        <v>523</v>
      </c>
      <c r="B527" s="25" t="n">
        <v>46197</v>
      </c>
      <c r="C527" s="25" t="n">
        <v>12</v>
      </c>
      <c r="D527" s="26" t="s">
        <v>71</v>
      </c>
      <c r="E527" s="26" t="s">
        <v>72</v>
      </c>
      <c r="F527" s="26" t="s">
        <v>73</v>
      </c>
      <c r="G527" s="26" t="s">
        <v>8</v>
      </c>
      <c r="H527" s="27" t="n">
        <v>0.354166666666667</v>
      </c>
      <c r="I527" s="27" t="n">
        <v>0.854166666666667</v>
      </c>
      <c r="J527" s="26" t="n">
        <f aca="false">IFERROR((I527-H527)*24*60,"")</f>
        <v>720</v>
      </c>
      <c r="K527" s="26" t="s">
        <v>105</v>
      </c>
      <c r="L527" s="26" t="s">
        <v>90</v>
      </c>
      <c r="M527" s="26" t="s">
        <v>76</v>
      </c>
      <c r="N527" s="26" t="s">
        <v>77</v>
      </c>
      <c r="O527" s="26" t="n">
        <v>1</v>
      </c>
      <c r="P527" s="26" t="n">
        <v>49</v>
      </c>
      <c r="Q527" s="26" t="n">
        <f aca="false">IFERROR(3600/(P527/O527),"")</f>
        <v>73.4693877551021</v>
      </c>
      <c r="R527" s="26" t="n">
        <v>620</v>
      </c>
      <c r="S527" s="26" t="n">
        <v>33</v>
      </c>
      <c r="T527" s="26" t="n">
        <f aca="false">IFERROR(J527-S527,"")</f>
        <v>687</v>
      </c>
      <c r="U527" s="26" t="n">
        <v>16</v>
      </c>
      <c r="V527" s="26"/>
      <c r="W527" s="26"/>
      <c r="X527" s="26" t="n">
        <v>15</v>
      </c>
      <c r="Y527" s="26"/>
      <c r="Z527" s="26"/>
      <c r="AA527" s="26"/>
      <c r="AB527" s="26"/>
      <c r="AC527" s="26"/>
      <c r="AD527" s="26"/>
      <c r="AE527" s="26"/>
      <c r="AF527" s="26" t="n">
        <f aca="false">SUM(U527:AE527)</f>
        <v>31</v>
      </c>
      <c r="AG527" s="26" t="n">
        <f aca="false">T527-AF527</f>
        <v>656</v>
      </c>
      <c r="AH527" s="28" t="n">
        <f aca="false">IFERROR(AG527/T527,"")</f>
        <v>0.954876273653566</v>
      </c>
      <c r="AI527" s="29" t="n">
        <f aca="false">IFERROR(R527/AG527*60,"")</f>
        <v>56.7073170731707</v>
      </c>
      <c r="AJ527" s="30" t="n">
        <f aca="false">IFERROR(AI527/Q527,"")</f>
        <v>0.771849593495935</v>
      </c>
      <c r="AK527" s="31" t="n">
        <f aca="false">IFERROR(R527/(T527/60*Q527),"")</f>
        <v>0.737020863658418</v>
      </c>
      <c r="AL527" s="26" t="n">
        <v>1</v>
      </c>
      <c r="AM527" s="26" t="n">
        <v>1</v>
      </c>
      <c r="AN527" s="26" t="n">
        <v>1</v>
      </c>
      <c r="AO527" s="26"/>
      <c r="AP527" s="26" t="n">
        <v>1</v>
      </c>
      <c r="AQ527" s="26"/>
      <c r="AR527" s="26" t="n">
        <v>1</v>
      </c>
      <c r="AS527" s="26"/>
      <c r="AT527" s="26" t="n">
        <v>1</v>
      </c>
      <c r="AU527" s="26"/>
      <c r="AV527" s="26" t="n">
        <f aca="false">SUM(AL527:AU527)</f>
        <v>6</v>
      </c>
      <c r="AW527" s="32" t="n">
        <f aca="false">IFERROR(AV527/R527*1000000,"")</f>
        <v>9677.41935483871</v>
      </c>
      <c r="AX527" s="33" t="n">
        <f aca="false">IFERROR((R527-AV527)/R527,"")</f>
        <v>0.990322580645161</v>
      </c>
      <c r="AY527" s="34" t="n">
        <f aca="false">IFERROR(AH527*AJ527*AX527,"")</f>
        <v>0.72988840368753</v>
      </c>
      <c r="AZ527" s="35" t="s">
        <v>86</v>
      </c>
    </row>
    <row r="528" customFormat="false" ht="12.75" hidden="false" customHeight="true" outlineLevel="0" collapsed="false">
      <c r="A528" s="24" t="n">
        <v>524</v>
      </c>
      <c r="B528" s="25" t="n">
        <v>46197</v>
      </c>
      <c r="C528" s="25" t="n">
        <v>12</v>
      </c>
      <c r="D528" s="26" t="s">
        <v>79</v>
      </c>
      <c r="E528" s="26" t="s">
        <v>80</v>
      </c>
      <c r="F528" s="26" t="s">
        <v>81</v>
      </c>
      <c r="G528" s="26" t="s">
        <v>9</v>
      </c>
      <c r="H528" s="27" t="n">
        <v>0.354166666666667</v>
      </c>
      <c r="I528" s="27" t="n">
        <v>0.854166666666667</v>
      </c>
      <c r="J528" s="26" t="n">
        <f aca="false">IFERROR((I528-H528)*24*60,"")</f>
        <v>720</v>
      </c>
      <c r="K528" s="26" t="s">
        <v>74</v>
      </c>
      <c r="L528" s="26" t="s">
        <v>102</v>
      </c>
      <c r="M528" s="26" t="s">
        <v>84</v>
      </c>
      <c r="N528" s="26" t="s">
        <v>85</v>
      </c>
      <c r="O528" s="26" t="n">
        <v>1</v>
      </c>
      <c r="P528" s="26" t="n">
        <v>34</v>
      </c>
      <c r="Q528" s="26" t="n">
        <f aca="false">IFERROR(3600/(P528/O528),"")</f>
        <v>105.882352941176</v>
      </c>
      <c r="R528" s="26" t="n">
        <v>832</v>
      </c>
      <c r="S528" s="26" t="n">
        <v>67</v>
      </c>
      <c r="T528" s="26" t="n">
        <f aca="false">IFERROR(J528-S528,"")</f>
        <v>653</v>
      </c>
      <c r="U528" s="26"/>
      <c r="V528" s="26"/>
      <c r="W528" s="26" t="n">
        <v>3</v>
      </c>
      <c r="X528" s="26"/>
      <c r="Y528" s="26"/>
      <c r="Z528" s="26" t="n">
        <v>8</v>
      </c>
      <c r="AA528" s="26"/>
      <c r="AB528" s="26"/>
      <c r="AC528" s="26"/>
      <c r="AD528" s="26"/>
      <c r="AE528" s="26" t="n">
        <v>4</v>
      </c>
      <c r="AF528" s="26" t="n">
        <f aca="false">SUM(U528:AE528)</f>
        <v>15</v>
      </c>
      <c r="AG528" s="26" t="n">
        <f aca="false">T528-AF528</f>
        <v>638</v>
      </c>
      <c r="AH528" s="28" t="n">
        <f aca="false">IFERROR(AG528/T528,"")</f>
        <v>0.977029096477795</v>
      </c>
      <c r="AI528" s="29" t="n">
        <f aca="false">IFERROR(R528/AG528*60,"")</f>
        <v>78.2445141065831</v>
      </c>
      <c r="AJ528" s="30" t="n">
        <f aca="false">IFERROR(AI528/Q528,"")</f>
        <v>0.738975966562174</v>
      </c>
      <c r="AK528" s="31" t="n">
        <f aca="false">IFERROR(R528/(T528/60*Q528),"")</f>
        <v>0.722001020929046</v>
      </c>
      <c r="AL528" s="26"/>
      <c r="AM528" s="26"/>
      <c r="AN528" s="26" t="n">
        <v>1</v>
      </c>
      <c r="AO528" s="26"/>
      <c r="AP528" s="26" t="n">
        <v>1</v>
      </c>
      <c r="AQ528" s="26" t="n">
        <v>1</v>
      </c>
      <c r="AR528" s="26"/>
      <c r="AS528" s="26"/>
      <c r="AT528" s="26"/>
      <c r="AU528" s="26" t="n">
        <v>1</v>
      </c>
      <c r="AV528" s="26" t="n">
        <f aca="false">SUM(AL528:AU528)</f>
        <v>4</v>
      </c>
      <c r="AW528" s="32" t="n">
        <f aca="false">IFERROR(AV528/R528*1000000,"")</f>
        <v>4807.69230769231</v>
      </c>
      <c r="AX528" s="33" t="n">
        <f aca="false">IFERROR((R528-AV528)/R528,"")</f>
        <v>0.995192307692308</v>
      </c>
      <c r="AY528" s="34" t="n">
        <f aca="false">IFERROR(AH528*AJ528*AX528,"")</f>
        <v>0.718529862174579</v>
      </c>
      <c r="AZ528" s="35" t="s">
        <v>93</v>
      </c>
    </row>
    <row r="529" customFormat="false" ht="12.75" hidden="false" customHeight="true" outlineLevel="0" collapsed="false">
      <c r="A529" s="24" t="n">
        <v>525</v>
      </c>
      <c r="B529" s="25" t="n">
        <v>46197</v>
      </c>
      <c r="C529" s="25" t="n">
        <v>12</v>
      </c>
      <c r="D529" s="26" t="s">
        <v>87</v>
      </c>
      <c r="E529" s="26" t="s">
        <v>88</v>
      </c>
      <c r="F529" s="26" t="s">
        <v>73</v>
      </c>
      <c r="G529" s="26" t="s">
        <v>10</v>
      </c>
      <c r="H529" s="27" t="n">
        <v>0.354166666666667</v>
      </c>
      <c r="I529" s="27" t="n">
        <v>0.854166666666667</v>
      </c>
      <c r="J529" s="26" t="n">
        <f aca="false">IFERROR((I529-H529)*24*60,"")</f>
        <v>720</v>
      </c>
      <c r="K529" s="26" t="s">
        <v>89</v>
      </c>
      <c r="L529" s="26" t="s">
        <v>108</v>
      </c>
      <c r="M529" s="26" t="s">
        <v>91</v>
      </c>
      <c r="N529" s="26" t="s">
        <v>92</v>
      </c>
      <c r="O529" s="26" t="n">
        <v>4</v>
      </c>
      <c r="P529" s="26" t="n">
        <v>38</v>
      </c>
      <c r="Q529" s="26" t="n">
        <f aca="false">IFERROR(3600/(P529/O529),"")</f>
        <v>378.947368421053</v>
      </c>
      <c r="R529" s="26" t="n">
        <v>3705</v>
      </c>
      <c r="S529" s="26" t="n">
        <v>66</v>
      </c>
      <c r="T529" s="26" t="n">
        <f aca="false">IFERROR(J529-S529,"")</f>
        <v>654</v>
      </c>
      <c r="U529" s="26" t="n">
        <v>4</v>
      </c>
      <c r="V529" s="26"/>
      <c r="W529" s="26"/>
      <c r="X529" s="26"/>
      <c r="Y529" s="26"/>
      <c r="Z529" s="26"/>
      <c r="AA529" s="26" t="n">
        <v>14</v>
      </c>
      <c r="AB529" s="26"/>
      <c r="AC529" s="26"/>
      <c r="AD529" s="26" t="n">
        <v>51</v>
      </c>
      <c r="AE529" s="26"/>
      <c r="AF529" s="26" t="n">
        <f aca="false">SUM(U529:AE529)</f>
        <v>69</v>
      </c>
      <c r="AG529" s="26" t="n">
        <f aca="false">T529-AF529</f>
        <v>585</v>
      </c>
      <c r="AH529" s="28" t="n">
        <f aca="false">IFERROR(AG529/T529,"")</f>
        <v>0.894495412844037</v>
      </c>
      <c r="AI529" s="29" t="n">
        <f aca="false">IFERROR(R529/AG529*60,"")</f>
        <v>380</v>
      </c>
      <c r="AJ529" s="30" t="n">
        <f aca="false">IFERROR(AI529/Q529,"")</f>
        <v>1.00277777777778</v>
      </c>
      <c r="AK529" s="31" t="n">
        <f aca="false">IFERROR(R529/(T529/60*Q529),"")</f>
        <v>0.896980122324159</v>
      </c>
      <c r="AL529" s="26" t="n">
        <v>7</v>
      </c>
      <c r="AM529" s="26" t="n">
        <v>5</v>
      </c>
      <c r="AN529" s="26" t="n">
        <v>7</v>
      </c>
      <c r="AO529" s="26" t="n">
        <v>3</v>
      </c>
      <c r="AP529" s="26" t="n">
        <v>10</v>
      </c>
      <c r="AQ529" s="26" t="n">
        <v>9</v>
      </c>
      <c r="AR529" s="26" t="n">
        <v>9</v>
      </c>
      <c r="AS529" s="26" t="n">
        <v>6</v>
      </c>
      <c r="AT529" s="26" t="n">
        <v>7</v>
      </c>
      <c r="AU529" s="26" t="n">
        <v>5</v>
      </c>
      <c r="AV529" s="26" t="n">
        <f aca="false">SUM(AL529:AU529)</f>
        <v>68</v>
      </c>
      <c r="AW529" s="32" t="n">
        <f aca="false">IFERROR(AV529/R529*1000000,"")</f>
        <v>18353.5762483131</v>
      </c>
      <c r="AX529" s="33" t="n">
        <f aca="false">IFERROR((R529-AV529)/R529,"")</f>
        <v>0.981646423751687</v>
      </c>
      <c r="AY529" s="34" t="n">
        <f aca="false">IFERROR(AH529*AJ529*AX529,"")</f>
        <v>0.880517329255861</v>
      </c>
      <c r="AZ529" s="35" t="s">
        <v>78</v>
      </c>
    </row>
    <row r="530" customFormat="false" ht="12.75" hidden="false" customHeight="true" outlineLevel="0" collapsed="false">
      <c r="A530" s="24" t="n">
        <v>526</v>
      </c>
      <c r="B530" s="25" t="n">
        <v>46198</v>
      </c>
      <c r="C530" s="25" t="n">
        <v>12</v>
      </c>
      <c r="D530" s="26" t="s">
        <v>71</v>
      </c>
      <c r="E530" s="26" t="s">
        <v>94</v>
      </c>
      <c r="F530" s="26" t="s">
        <v>81</v>
      </c>
      <c r="G530" s="26" t="s">
        <v>11</v>
      </c>
      <c r="H530" s="27" t="n">
        <v>0.354166666666667</v>
      </c>
      <c r="I530" s="27" t="n">
        <v>0.854166666666667</v>
      </c>
      <c r="J530" s="26" t="n">
        <f aca="false">IFERROR((I530-H530)*24*60,"")</f>
        <v>720</v>
      </c>
      <c r="K530" s="26" t="s">
        <v>74</v>
      </c>
      <c r="L530" s="26" t="s">
        <v>75</v>
      </c>
      <c r="M530" s="26" t="s">
        <v>95</v>
      </c>
      <c r="N530" s="26" t="s">
        <v>96</v>
      </c>
      <c r="O530" s="26" t="n">
        <v>4</v>
      </c>
      <c r="P530" s="26" t="n">
        <v>75</v>
      </c>
      <c r="Q530" s="26" t="n">
        <f aca="false">IFERROR(3600/(P530/O530),"")</f>
        <v>192</v>
      </c>
      <c r="R530" s="26" t="n">
        <v>2170</v>
      </c>
      <c r="S530" s="26" t="n">
        <v>38</v>
      </c>
      <c r="T530" s="26" t="n">
        <f aca="false">IFERROR(J530-S530,"")</f>
        <v>682</v>
      </c>
      <c r="U530" s="26"/>
      <c r="V530" s="26" t="n">
        <v>3</v>
      </c>
      <c r="W530" s="26"/>
      <c r="X530" s="26"/>
      <c r="Y530" s="26"/>
      <c r="Z530" s="26" t="n">
        <v>11</v>
      </c>
      <c r="AA530" s="26"/>
      <c r="AB530" s="26"/>
      <c r="AC530" s="26"/>
      <c r="AD530" s="26"/>
      <c r="AE530" s="26"/>
      <c r="AF530" s="26" t="n">
        <f aca="false">SUM(U530:AE530)</f>
        <v>14</v>
      </c>
      <c r="AG530" s="26" t="n">
        <f aca="false">T530-AF530</f>
        <v>668</v>
      </c>
      <c r="AH530" s="28" t="n">
        <f aca="false">IFERROR(AG530/T530,"")</f>
        <v>0.979472140762463</v>
      </c>
      <c r="AI530" s="29" t="n">
        <f aca="false">IFERROR(R530/AG530*60,"")</f>
        <v>194.910179640719</v>
      </c>
      <c r="AJ530" s="30" t="n">
        <f aca="false">IFERROR(AI530/Q530,"")</f>
        <v>1.01515718562874</v>
      </c>
      <c r="AK530" s="31" t="n">
        <f aca="false">IFERROR(R530/(T530/60*Q530),"")</f>
        <v>0.994318181818182</v>
      </c>
      <c r="AL530" s="26" t="n">
        <v>3</v>
      </c>
      <c r="AM530" s="26" t="n">
        <v>4</v>
      </c>
      <c r="AN530" s="26" t="n">
        <v>2</v>
      </c>
      <c r="AO530" s="26" t="n">
        <v>2</v>
      </c>
      <c r="AP530" s="26" t="n">
        <v>2</v>
      </c>
      <c r="AQ530" s="26" t="n">
        <v>3</v>
      </c>
      <c r="AR530" s="26" t="n">
        <v>2</v>
      </c>
      <c r="AS530" s="26" t="n">
        <v>3</v>
      </c>
      <c r="AT530" s="26" t="n">
        <v>1</v>
      </c>
      <c r="AU530" s="26" t="n">
        <v>1</v>
      </c>
      <c r="AV530" s="26" t="n">
        <f aca="false">SUM(AL530:AU530)</f>
        <v>23</v>
      </c>
      <c r="AW530" s="32" t="n">
        <f aca="false">IFERROR(AV530/R530*1000000,"")</f>
        <v>10599.0783410138</v>
      </c>
      <c r="AX530" s="33" t="n">
        <f aca="false">IFERROR((R530-AV530)/R530,"")</f>
        <v>0.989400921658986</v>
      </c>
      <c r="AY530" s="34" t="n">
        <f aca="false">IFERROR(AH530*AJ530*AX530,"")</f>
        <v>0.983779325513197</v>
      </c>
      <c r="AZ530" s="35" t="s">
        <v>93</v>
      </c>
    </row>
    <row r="531" customFormat="false" ht="12.75" hidden="false" customHeight="true" outlineLevel="0" collapsed="false">
      <c r="A531" s="24" t="n">
        <v>527</v>
      </c>
      <c r="B531" s="25" t="n">
        <v>46198</v>
      </c>
      <c r="C531" s="25" t="n">
        <v>12</v>
      </c>
      <c r="D531" s="26" t="s">
        <v>79</v>
      </c>
      <c r="E531" s="26" t="s">
        <v>97</v>
      </c>
      <c r="F531" s="26" t="s">
        <v>73</v>
      </c>
      <c r="G531" s="26" t="s">
        <v>12</v>
      </c>
      <c r="H531" s="27" t="n">
        <v>0.354166666666667</v>
      </c>
      <c r="I531" s="27" t="n">
        <v>0.854166666666667</v>
      </c>
      <c r="J531" s="26" t="n">
        <f aca="false">IFERROR((I531-H531)*24*60,"")</f>
        <v>720</v>
      </c>
      <c r="K531" s="26" t="s">
        <v>82</v>
      </c>
      <c r="L531" s="26" t="s">
        <v>83</v>
      </c>
      <c r="M531" s="26" t="s">
        <v>99</v>
      </c>
      <c r="N531" s="26" t="s">
        <v>100</v>
      </c>
      <c r="O531" s="26" t="n">
        <v>4</v>
      </c>
      <c r="P531" s="26" t="n">
        <v>27</v>
      </c>
      <c r="Q531" s="26" t="n">
        <f aca="false">IFERROR(3600/(P531/O531),"")</f>
        <v>533.333333333333</v>
      </c>
      <c r="R531" s="26" t="n">
        <v>5131</v>
      </c>
      <c r="S531" s="26" t="n">
        <v>49</v>
      </c>
      <c r="T531" s="26" t="n">
        <f aca="false">IFERROR(J531-S531,"")</f>
        <v>671</v>
      </c>
      <c r="U531" s="26"/>
      <c r="V531" s="26" t="n">
        <v>9</v>
      </c>
      <c r="W531" s="26"/>
      <c r="X531" s="26"/>
      <c r="Y531" s="26"/>
      <c r="Z531" s="26" t="n">
        <v>26</v>
      </c>
      <c r="AA531" s="26"/>
      <c r="AB531" s="26"/>
      <c r="AC531" s="26"/>
      <c r="AD531" s="26"/>
      <c r="AE531" s="26"/>
      <c r="AF531" s="26" t="n">
        <f aca="false">SUM(U531:AE531)</f>
        <v>35</v>
      </c>
      <c r="AG531" s="26" t="n">
        <f aca="false">T531-AF531</f>
        <v>636</v>
      </c>
      <c r="AH531" s="28" t="n">
        <f aca="false">IFERROR(AG531/T531,"")</f>
        <v>0.947839046199702</v>
      </c>
      <c r="AI531" s="29" t="n">
        <f aca="false">IFERROR(R531/AG531*60,"")</f>
        <v>484.056603773585</v>
      </c>
      <c r="AJ531" s="30" t="n">
        <f aca="false">IFERROR(AI531/Q531,"")</f>
        <v>0.907606132075472</v>
      </c>
      <c r="AK531" s="31" t="n">
        <f aca="false">IFERROR(R531/(T531/60*Q531),"")</f>
        <v>0.860264530551416</v>
      </c>
      <c r="AL531" s="26" t="n">
        <v>6</v>
      </c>
      <c r="AM531" s="26" t="n">
        <v>5</v>
      </c>
      <c r="AN531" s="26" t="n">
        <v>11</v>
      </c>
      <c r="AO531" s="26" t="n">
        <v>13</v>
      </c>
      <c r="AP531" s="26" t="n">
        <v>6</v>
      </c>
      <c r="AQ531" s="26" t="n">
        <v>7</v>
      </c>
      <c r="AR531" s="26" t="n">
        <v>10</v>
      </c>
      <c r="AS531" s="26" t="n">
        <v>12</v>
      </c>
      <c r="AT531" s="26" t="n">
        <v>8</v>
      </c>
      <c r="AU531" s="26" t="n">
        <v>12</v>
      </c>
      <c r="AV531" s="26" t="n">
        <f aca="false">SUM(AL531:AU531)</f>
        <v>90</v>
      </c>
      <c r="AW531" s="32" t="n">
        <f aca="false">IFERROR(AV531/R531*1000000,"")</f>
        <v>17540.4404599493</v>
      </c>
      <c r="AX531" s="33" t="n">
        <f aca="false">IFERROR((R531-AV531)/R531,"")</f>
        <v>0.982459559540051</v>
      </c>
      <c r="AY531" s="34" t="n">
        <f aca="false">IFERROR(AH531*AJ531*AX531,"")</f>
        <v>0.845175111773472</v>
      </c>
      <c r="AZ531" s="35" t="s">
        <v>78</v>
      </c>
    </row>
    <row r="532" customFormat="false" ht="12.75" hidden="false" customHeight="true" outlineLevel="0" collapsed="false">
      <c r="A532" s="24" t="n">
        <v>528</v>
      </c>
      <c r="B532" s="25" t="n">
        <v>46198</v>
      </c>
      <c r="C532" s="25" t="n">
        <v>12</v>
      </c>
      <c r="D532" s="26" t="s">
        <v>87</v>
      </c>
      <c r="E532" s="26" t="s">
        <v>101</v>
      </c>
      <c r="F532" s="26" t="s">
        <v>81</v>
      </c>
      <c r="G532" s="26" t="s">
        <v>13</v>
      </c>
      <c r="H532" s="27" t="n">
        <v>0.354166666666667</v>
      </c>
      <c r="I532" s="27" t="n">
        <v>0.854166666666667</v>
      </c>
      <c r="J532" s="26" t="n">
        <f aca="false">IFERROR((I532-H532)*24*60,"")</f>
        <v>720</v>
      </c>
      <c r="K532" s="26" t="s">
        <v>82</v>
      </c>
      <c r="L532" s="26" t="s">
        <v>107</v>
      </c>
      <c r="M532" s="26" t="s">
        <v>103</v>
      </c>
      <c r="N532" s="26" t="s">
        <v>104</v>
      </c>
      <c r="O532" s="26" t="n">
        <v>2</v>
      </c>
      <c r="P532" s="26" t="n">
        <v>25</v>
      </c>
      <c r="Q532" s="26" t="n">
        <f aca="false">IFERROR(3600/(P532/O532),"")</f>
        <v>288</v>
      </c>
      <c r="R532" s="26" t="n">
        <v>2803</v>
      </c>
      <c r="S532" s="26" t="n">
        <v>38</v>
      </c>
      <c r="T532" s="26" t="n">
        <f aca="false">IFERROR(J532-S532,"")</f>
        <v>682</v>
      </c>
      <c r="U532" s="26"/>
      <c r="V532" s="26" t="n">
        <v>3</v>
      </c>
      <c r="W532" s="26"/>
      <c r="X532" s="26"/>
      <c r="Y532" s="26"/>
      <c r="Z532" s="26"/>
      <c r="AA532" s="26"/>
      <c r="AB532" s="26"/>
      <c r="AC532" s="26"/>
      <c r="AD532" s="26" t="n">
        <v>16</v>
      </c>
      <c r="AE532" s="26"/>
      <c r="AF532" s="26" t="n">
        <f aca="false">SUM(U532:AE532)</f>
        <v>19</v>
      </c>
      <c r="AG532" s="26" t="n">
        <f aca="false">T532-AF532</f>
        <v>663</v>
      </c>
      <c r="AH532" s="28" t="n">
        <f aca="false">IFERROR(AG532/T532,"")</f>
        <v>0.972140762463343</v>
      </c>
      <c r="AI532" s="29" t="n">
        <f aca="false">IFERROR(R532/AG532*60,"")</f>
        <v>253.665158371041</v>
      </c>
      <c r="AJ532" s="30" t="n">
        <f aca="false">IFERROR(AI532/Q532,"")</f>
        <v>0.880781799899447</v>
      </c>
      <c r="AK532" s="31" t="n">
        <f aca="false">IFERROR(R532/(T532/60*Q532),"")</f>
        <v>0.856243890518084</v>
      </c>
      <c r="AL532" s="26" t="n">
        <v>1</v>
      </c>
      <c r="AM532" s="26" t="n">
        <v>1</v>
      </c>
      <c r="AN532" s="26" t="n">
        <v>3</v>
      </c>
      <c r="AO532" s="26" t="n">
        <v>1</v>
      </c>
      <c r="AP532" s="26" t="n">
        <v>3</v>
      </c>
      <c r="AQ532" s="26" t="n">
        <v>1</v>
      </c>
      <c r="AR532" s="26"/>
      <c r="AS532" s="26" t="n">
        <v>2</v>
      </c>
      <c r="AT532" s="26" t="n">
        <v>2</v>
      </c>
      <c r="AU532" s="26" t="n">
        <v>3</v>
      </c>
      <c r="AV532" s="26" t="n">
        <f aca="false">SUM(AL532:AU532)</f>
        <v>17</v>
      </c>
      <c r="AW532" s="32" t="n">
        <f aca="false">IFERROR(AV532/R532*1000000,"")</f>
        <v>6064.93043168034</v>
      </c>
      <c r="AX532" s="33" t="n">
        <f aca="false">IFERROR((R532-AV532)/R532,"")</f>
        <v>0.99393506956832</v>
      </c>
      <c r="AY532" s="34" t="n">
        <f aca="false">IFERROR(AH532*AJ532*AX532,"")</f>
        <v>0.851050830889541</v>
      </c>
      <c r="AZ532" s="35" t="s">
        <v>93</v>
      </c>
    </row>
    <row r="533" customFormat="false" ht="12.75" hidden="false" customHeight="true" outlineLevel="0" collapsed="false">
      <c r="A533" s="24" t="n">
        <v>529</v>
      </c>
      <c r="B533" s="25" t="n">
        <v>46199</v>
      </c>
      <c r="C533" s="25" t="n">
        <v>12</v>
      </c>
      <c r="D533" s="26" t="s">
        <v>71</v>
      </c>
      <c r="E533" s="26" t="s">
        <v>72</v>
      </c>
      <c r="F533" s="26" t="s">
        <v>73</v>
      </c>
      <c r="G533" s="26" t="s">
        <v>8</v>
      </c>
      <c r="H533" s="27" t="n">
        <v>0.354166666666667</v>
      </c>
      <c r="I533" s="27" t="n">
        <v>0.854166666666667</v>
      </c>
      <c r="J533" s="26" t="n">
        <f aca="false">IFERROR((I533-H533)*24*60,"")</f>
        <v>720</v>
      </c>
      <c r="K533" s="26" t="s">
        <v>89</v>
      </c>
      <c r="L533" s="26" t="s">
        <v>75</v>
      </c>
      <c r="M533" s="26" t="s">
        <v>76</v>
      </c>
      <c r="N533" s="26" t="s">
        <v>77</v>
      </c>
      <c r="O533" s="26" t="n">
        <v>2</v>
      </c>
      <c r="P533" s="26" t="n">
        <v>48</v>
      </c>
      <c r="Q533" s="26" t="n">
        <f aca="false">IFERROR(3600/(P533/O533),"")</f>
        <v>150</v>
      </c>
      <c r="R533" s="26" t="n">
        <v>1145</v>
      </c>
      <c r="S533" s="26" t="n">
        <v>47</v>
      </c>
      <c r="T533" s="26" t="n">
        <f aca="false">IFERROR(J533-S533,"")</f>
        <v>673</v>
      </c>
      <c r="U533" s="26"/>
      <c r="V533" s="26"/>
      <c r="W533" s="26"/>
      <c r="X533" s="26" t="n">
        <v>5</v>
      </c>
      <c r="Y533" s="26"/>
      <c r="Z533" s="26"/>
      <c r="AA533" s="26" t="n">
        <v>13</v>
      </c>
      <c r="AB533" s="26"/>
      <c r="AC533" s="26"/>
      <c r="AD533" s="26"/>
      <c r="AE533" s="26"/>
      <c r="AF533" s="26" t="n">
        <f aca="false">SUM(U533:AE533)</f>
        <v>18</v>
      </c>
      <c r="AG533" s="26" t="n">
        <f aca="false">T533-AF533</f>
        <v>655</v>
      </c>
      <c r="AH533" s="28" t="n">
        <f aca="false">IFERROR(AG533/T533,"")</f>
        <v>0.973254086181278</v>
      </c>
      <c r="AI533" s="29" t="n">
        <f aca="false">IFERROR(R533/AG533*60,"")</f>
        <v>104.885496183206</v>
      </c>
      <c r="AJ533" s="30" t="n">
        <f aca="false">IFERROR(AI533/Q533,"")</f>
        <v>0.699236641221374</v>
      </c>
      <c r="AK533" s="31" t="n">
        <f aca="false">IFERROR(R533/(T533/60*Q533),"")</f>
        <v>0.680534918276375</v>
      </c>
      <c r="AL533" s="26" t="n">
        <v>2</v>
      </c>
      <c r="AM533" s="26" t="n">
        <v>1</v>
      </c>
      <c r="AN533" s="26" t="n">
        <v>4</v>
      </c>
      <c r="AO533" s="26" t="n">
        <v>3</v>
      </c>
      <c r="AP533" s="26" t="n">
        <v>1</v>
      </c>
      <c r="AQ533" s="26"/>
      <c r="AR533" s="26" t="n">
        <v>2</v>
      </c>
      <c r="AS533" s="26" t="n">
        <v>3</v>
      </c>
      <c r="AT533" s="26"/>
      <c r="AU533" s="26"/>
      <c r="AV533" s="26" t="n">
        <f aca="false">SUM(AL533:AU533)</f>
        <v>16</v>
      </c>
      <c r="AW533" s="32" t="n">
        <f aca="false">IFERROR(AV533/R533*1000000,"")</f>
        <v>13973.7991266376</v>
      </c>
      <c r="AX533" s="33" t="n">
        <f aca="false">IFERROR((R533-AV533)/R533,"")</f>
        <v>0.986026200873363</v>
      </c>
      <c r="AY533" s="34" t="n">
        <f aca="false">IFERROR(AH533*AJ533*AX533,"")</f>
        <v>0.671025260029718</v>
      </c>
      <c r="AZ533" s="35" t="s">
        <v>86</v>
      </c>
    </row>
    <row r="534" customFormat="false" ht="12.75" hidden="false" customHeight="true" outlineLevel="0" collapsed="false">
      <c r="A534" s="24" t="n">
        <v>530</v>
      </c>
      <c r="B534" s="25" t="n">
        <v>46199</v>
      </c>
      <c r="C534" s="25" t="n">
        <v>12</v>
      </c>
      <c r="D534" s="26" t="s">
        <v>79</v>
      </c>
      <c r="E534" s="26" t="s">
        <v>80</v>
      </c>
      <c r="F534" s="26" t="s">
        <v>81</v>
      </c>
      <c r="G534" s="26" t="s">
        <v>9</v>
      </c>
      <c r="H534" s="27" t="n">
        <v>0.354166666666667</v>
      </c>
      <c r="I534" s="27" t="n">
        <v>0.854166666666667</v>
      </c>
      <c r="J534" s="26" t="n">
        <f aca="false">IFERROR((I534-H534)*24*60,"")</f>
        <v>720</v>
      </c>
      <c r="K534" s="26" t="s">
        <v>82</v>
      </c>
      <c r="L534" s="26" t="s">
        <v>90</v>
      </c>
      <c r="M534" s="26" t="s">
        <v>84</v>
      </c>
      <c r="N534" s="26" t="s">
        <v>85</v>
      </c>
      <c r="O534" s="26" t="n">
        <v>1</v>
      </c>
      <c r="P534" s="26" t="n">
        <v>49</v>
      </c>
      <c r="Q534" s="26" t="n">
        <f aca="false">IFERROR(3600/(P534/O534),"")</f>
        <v>73.4693877551021</v>
      </c>
      <c r="R534" s="26" t="n">
        <v>650</v>
      </c>
      <c r="S534" s="26" t="n">
        <v>34</v>
      </c>
      <c r="T534" s="26" t="n">
        <f aca="false">IFERROR(J534-S534,"")</f>
        <v>686</v>
      </c>
      <c r="U534" s="26"/>
      <c r="V534" s="26"/>
      <c r="W534" s="26"/>
      <c r="X534" s="26"/>
      <c r="Y534" s="26"/>
      <c r="Z534" s="26"/>
      <c r="AA534" s="26"/>
      <c r="AB534" s="26" t="n">
        <v>29</v>
      </c>
      <c r="AC534" s="26"/>
      <c r="AD534" s="26"/>
      <c r="AE534" s="26"/>
      <c r="AF534" s="26" t="n">
        <f aca="false">SUM(U534:AE534)</f>
        <v>29</v>
      </c>
      <c r="AG534" s="26" t="n">
        <f aca="false">T534-AF534</f>
        <v>657</v>
      </c>
      <c r="AH534" s="28" t="n">
        <f aca="false">IFERROR(AG534/T534,"")</f>
        <v>0.957725947521866</v>
      </c>
      <c r="AI534" s="29" t="n">
        <f aca="false">IFERROR(R534/AG534*60,"")</f>
        <v>59.3607305936073</v>
      </c>
      <c r="AJ534" s="30" t="n">
        <f aca="false">IFERROR(AI534/Q534,"")</f>
        <v>0.807965499746322</v>
      </c>
      <c r="AK534" s="31" t="n">
        <f aca="false">IFERROR(R534/(T534/60*Q534),"")</f>
        <v>0.773809523809524</v>
      </c>
      <c r="AL534" s="26"/>
      <c r="AM534" s="26"/>
      <c r="AN534" s="26"/>
      <c r="AO534" s="26"/>
      <c r="AP534" s="26"/>
      <c r="AQ534" s="26"/>
      <c r="AR534" s="26"/>
      <c r="AS534" s="26"/>
      <c r="AT534" s="26" t="n">
        <v>1</v>
      </c>
      <c r="AU534" s="26"/>
      <c r="AV534" s="26" t="n">
        <f aca="false">SUM(AL534:AU534)</f>
        <v>1</v>
      </c>
      <c r="AW534" s="32" t="n">
        <f aca="false">IFERROR(AV534/R534*1000000,"")</f>
        <v>1538.46153846154</v>
      </c>
      <c r="AX534" s="33" t="n">
        <f aca="false">IFERROR((R534-AV534)/R534,"")</f>
        <v>0.998461538461539</v>
      </c>
      <c r="AY534" s="34" t="n">
        <f aca="false">IFERROR(AH534*AJ534*AX534,"")</f>
        <v>0.772619047619047</v>
      </c>
      <c r="AZ534" s="35" t="s">
        <v>86</v>
      </c>
    </row>
    <row r="535" customFormat="false" ht="12.75" hidden="false" customHeight="true" outlineLevel="0" collapsed="false">
      <c r="A535" s="24" t="n">
        <v>531</v>
      </c>
      <c r="B535" s="25" t="n">
        <v>46199</v>
      </c>
      <c r="C535" s="25" t="n">
        <v>12</v>
      </c>
      <c r="D535" s="26" t="s">
        <v>87</v>
      </c>
      <c r="E535" s="26" t="s">
        <v>88</v>
      </c>
      <c r="F535" s="26" t="s">
        <v>73</v>
      </c>
      <c r="G535" s="26" t="s">
        <v>10</v>
      </c>
      <c r="H535" s="27" t="n">
        <v>0.354166666666667</v>
      </c>
      <c r="I535" s="27" t="n">
        <v>0.854166666666667</v>
      </c>
      <c r="J535" s="26" t="n">
        <f aca="false">IFERROR((I535-H535)*24*60,"")</f>
        <v>720</v>
      </c>
      <c r="K535" s="26" t="s">
        <v>89</v>
      </c>
      <c r="L535" s="26" t="s">
        <v>102</v>
      </c>
      <c r="M535" s="26" t="s">
        <v>91</v>
      </c>
      <c r="N535" s="26" t="s">
        <v>92</v>
      </c>
      <c r="O535" s="26" t="n">
        <v>4</v>
      </c>
      <c r="P535" s="26" t="n">
        <v>63</v>
      </c>
      <c r="Q535" s="26" t="n">
        <f aca="false">IFERROR(3600/(P535/O535),"")</f>
        <v>228.571428571429</v>
      </c>
      <c r="R535" s="26" t="n">
        <v>2045</v>
      </c>
      <c r="S535" s="26" t="n">
        <v>54</v>
      </c>
      <c r="T535" s="26" t="n">
        <f aca="false">IFERROR(J535-S535,"")</f>
        <v>666</v>
      </c>
      <c r="U535" s="26"/>
      <c r="V535" s="26"/>
      <c r="W535" s="26"/>
      <c r="X535" s="26"/>
      <c r="Y535" s="26" t="n">
        <v>11</v>
      </c>
      <c r="Z535" s="26"/>
      <c r="AA535" s="26"/>
      <c r="AB535" s="26"/>
      <c r="AC535" s="26"/>
      <c r="AD535" s="26"/>
      <c r="AE535" s="26" t="n">
        <v>3</v>
      </c>
      <c r="AF535" s="26" t="n">
        <f aca="false">SUM(U535:AE535)</f>
        <v>14</v>
      </c>
      <c r="AG535" s="26" t="n">
        <f aca="false">T535-AF535</f>
        <v>652</v>
      </c>
      <c r="AH535" s="28" t="n">
        <f aca="false">IFERROR(AG535/T535,"")</f>
        <v>0.978978978978979</v>
      </c>
      <c r="AI535" s="29" t="n">
        <f aca="false">IFERROR(R535/AG535*60,"")</f>
        <v>188.19018404908</v>
      </c>
      <c r="AJ535" s="30" t="n">
        <f aca="false">IFERROR(AI535/Q535,"")</f>
        <v>0.823332055214724</v>
      </c>
      <c r="AK535" s="31" t="n">
        <f aca="false">IFERROR(R535/(T535/60*Q535),"")</f>
        <v>0.806024774774775</v>
      </c>
      <c r="AL535" s="26" t="n">
        <v>3</v>
      </c>
      <c r="AM535" s="26"/>
      <c r="AN535" s="26" t="n">
        <v>1</v>
      </c>
      <c r="AO535" s="26"/>
      <c r="AP535" s="26" t="n">
        <v>2</v>
      </c>
      <c r="AQ535" s="26"/>
      <c r="AR535" s="26"/>
      <c r="AS535" s="26" t="n">
        <v>2</v>
      </c>
      <c r="AT535" s="26"/>
      <c r="AU535" s="26"/>
      <c r="AV535" s="26" t="n">
        <f aca="false">SUM(AL535:AU535)</f>
        <v>8</v>
      </c>
      <c r="AW535" s="32" t="n">
        <f aca="false">IFERROR(AV535/R535*1000000,"")</f>
        <v>3911.9804400978</v>
      </c>
      <c r="AX535" s="33" t="n">
        <f aca="false">IFERROR((R535-AV535)/R535,"")</f>
        <v>0.996088019559902</v>
      </c>
      <c r="AY535" s="34" t="n">
        <f aca="false">IFERROR(AH535*AJ535*AX535,"")</f>
        <v>0.802871621621622</v>
      </c>
      <c r="AZ535" s="35" t="s">
        <v>93</v>
      </c>
    </row>
    <row r="536" customFormat="false" ht="12.75" hidden="false" customHeight="true" outlineLevel="0" collapsed="false">
      <c r="A536" s="24" t="n">
        <v>532</v>
      </c>
      <c r="B536" s="25" t="n">
        <v>46200</v>
      </c>
      <c r="C536" s="25" t="n">
        <v>12</v>
      </c>
      <c r="D536" s="26" t="s">
        <v>71</v>
      </c>
      <c r="E536" s="26" t="s">
        <v>94</v>
      </c>
      <c r="F536" s="26" t="s">
        <v>81</v>
      </c>
      <c r="G536" s="26" t="s">
        <v>11</v>
      </c>
      <c r="H536" s="27" t="n">
        <v>0.354166666666667</v>
      </c>
      <c r="I536" s="27" t="n">
        <v>0.854166666666667</v>
      </c>
      <c r="J536" s="26" t="n">
        <f aca="false">IFERROR((I536-H536)*24*60,"")</f>
        <v>720</v>
      </c>
      <c r="K536" s="26" t="s">
        <v>89</v>
      </c>
      <c r="L536" s="26" t="s">
        <v>90</v>
      </c>
      <c r="M536" s="26" t="s">
        <v>95</v>
      </c>
      <c r="N536" s="26" t="s">
        <v>96</v>
      </c>
      <c r="O536" s="26" t="n">
        <v>8</v>
      </c>
      <c r="P536" s="26" t="n">
        <v>53</v>
      </c>
      <c r="Q536" s="26" t="n">
        <f aca="false">IFERROR(3600/(P536/O536),"")</f>
        <v>543.396226415094</v>
      </c>
      <c r="R536" s="26" t="n">
        <v>4876</v>
      </c>
      <c r="S536" s="26" t="n">
        <v>62</v>
      </c>
      <c r="T536" s="26" t="n">
        <f aca="false">IFERROR(J536-S536,"")</f>
        <v>658</v>
      </c>
      <c r="U536" s="26" t="n">
        <v>12</v>
      </c>
      <c r="V536" s="26"/>
      <c r="W536" s="26"/>
      <c r="X536" s="26"/>
      <c r="Y536" s="26"/>
      <c r="Z536" s="26"/>
      <c r="AA536" s="26" t="n">
        <v>9</v>
      </c>
      <c r="AB536" s="26"/>
      <c r="AC536" s="26"/>
      <c r="AD536" s="26"/>
      <c r="AE536" s="26"/>
      <c r="AF536" s="26" t="n">
        <f aca="false">SUM(U536:AE536)</f>
        <v>21</v>
      </c>
      <c r="AG536" s="26" t="n">
        <f aca="false">T536-AF536</f>
        <v>637</v>
      </c>
      <c r="AH536" s="28" t="n">
        <f aca="false">IFERROR(AG536/T536,"")</f>
        <v>0.968085106382979</v>
      </c>
      <c r="AI536" s="29" t="n">
        <f aca="false">IFERROR(R536/AG536*60,"")</f>
        <v>459.277864992151</v>
      </c>
      <c r="AJ536" s="30" t="n">
        <f aca="false">IFERROR(AI536/Q536,"")</f>
        <v>0.845198848770277</v>
      </c>
      <c r="AK536" s="31" t="n">
        <f aca="false">IFERROR(R536/(T536/60*Q536),"")</f>
        <v>0.818224417426545</v>
      </c>
      <c r="AL536" s="26" t="n">
        <v>6</v>
      </c>
      <c r="AM536" s="26" t="n">
        <v>9</v>
      </c>
      <c r="AN536" s="26" t="n">
        <v>12</v>
      </c>
      <c r="AO536" s="26" t="n">
        <v>10</v>
      </c>
      <c r="AP536" s="26" t="n">
        <v>12</v>
      </c>
      <c r="AQ536" s="26" t="n">
        <v>7</v>
      </c>
      <c r="AR536" s="26" t="n">
        <v>9</v>
      </c>
      <c r="AS536" s="26" t="n">
        <v>8</v>
      </c>
      <c r="AT536" s="26" t="n">
        <v>14</v>
      </c>
      <c r="AU536" s="26" t="n">
        <v>15</v>
      </c>
      <c r="AV536" s="26" t="n">
        <f aca="false">SUM(AL536:AU536)</f>
        <v>102</v>
      </c>
      <c r="AW536" s="32" t="n">
        <f aca="false">IFERROR(AV536/R536*1000000,"")</f>
        <v>20918.7858900738</v>
      </c>
      <c r="AX536" s="33" t="n">
        <f aca="false">IFERROR((R536-AV536)/R536,"")</f>
        <v>0.979081214109926</v>
      </c>
      <c r="AY536" s="34" t="n">
        <f aca="false">IFERROR(AH536*AJ536*AX536,"")</f>
        <v>0.801108156028369</v>
      </c>
      <c r="AZ536" s="35" t="s">
        <v>93</v>
      </c>
    </row>
    <row r="537" customFormat="false" ht="12.75" hidden="false" customHeight="true" outlineLevel="0" collapsed="false">
      <c r="A537" s="24" t="n">
        <v>533</v>
      </c>
      <c r="B537" s="25" t="n">
        <v>46200</v>
      </c>
      <c r="C537" s="25" t="n">
        <v>12</v>
      </c>
      <c r="D537" s="26" t="s">
        <v>79</v>
      </c>
      <c r="E537" s="26" t="s">
        <v>97</v>
      </c>
      <c r="F537" s="26" t="s">
        <v>73</v>
      </c>
      <c r="G537" s="26" t="s">
        <v>12</v>
      </c>
      <c r="H537" s="27" t="n">
        <v>0.354166666666667</v>
      </c>
      <c r="I537" s="27" t="n">
        <v>0.854166666666667</v>
      </c>
      <c r="J537" s="26" t="n">
        <f aca="false">IFERROR((I537-H537)*24*60,"")</f>
        <v>720</v>
      </c>
      <c r="K537" s="26" t="s">
        <v>89</v>
      </c>
      <c r="L537" s="26" t="s">
        <v>108</v>
      </c>
      <c r="M537" s="26" t="s">
        <v>99</v>
      </c>
      <c r="N537" s="26" t="s">
        <v>100</v>
      </c>
      <c r="O537" s="26" t="n">
        <v>4</v>
      </c>
      <c r="P537" s="26" t="n">
        <v>28</v>
      </c>
      <c r="Q537" s="26" t="n">
        <f aca="false">IFERROR(3600/(P537/O537),"")</f>
        <v>514.285714285714</v>
      </c>
      <c r="R537" s="26" t="n">
        <v>4135</v>
      </c>
      <c r="S537" s="26" t="n">
        <v>72</v>
      </c>
      <c r="T537" s="26" t="n">
        <f aca="false">IFERROR(J537-S537,"")</f>
        <v>648</v>
      </c>
      <c r="U537" s="26"/>
      <c r="V537" s="26" t="n">
        <v>27</v>
      </c>
      <c r="W537" s="26"/>
      <c r="X537" s="26"/>
      <c r="Y537" s="26"/>
      <c r="Z537" s="26"/>
      <c r="AA537" s="26"/>
      <c r="AB537" s="26"/>
      <c r="AC537" s="26"/>
      <c r="AD537" s="26"/>
      <c r="AE537" s="26"/>
      <c r="AF537" s="26" t="n">
        <f aca="false">SUM(U537:AE537)</f>
        <v>27</v>
      </c>
      <c r="AG537" s="26" t="n">
        <f aca="false">T537-AF537</f>
        <v>621</v>
      </c>
      <c r="AH537" s="28" t="n">
        <f aca="false">IFERROR(AG537/T537,"")</f>
        <v>0.958333333333333</v>
      </c>
      <c r="AI537" s="29" t="n">
        <f aca="false">IFERROR(R537/AG537*60,"")</f>
        <v>399.51690821256</v>
      </c>
      <c r="AJ537" s="30" t="n">
        <f aca="false">IFERROR(AI537/Q537,"")</f>
        <v>0.776838432635534</v>
      </c>
      <c r="AK537" s="31" t="n">
        <f aca="false">IFERROR(R537/(T537/60*Q537),"")</f>
        <v>0.744470164609053</v>
      </c>
      <c r="AL537" s="26" t="n">
        <v>10</v>
      </c>
      <c r="AM537" s="26" t="n">
        <v>7</v>
      </c>
      <c r="AN537" s="26" t="n">
        <v>8</v>
      </c>
      <c r="AO537" s="26" t="n">
        <v>6</v>
      </c>
      <c r="AP537" s="26" t="n">
        <v>13</v>
      </c>
      <c r="AQ537" s="26" t="n">
        <v>14</v>
      </c>
      <c r="AR537" s="26" t="n">
        <v>16</v>
      </c>
      <c r="AS537" s="26" t="n">
        <v>9</v>
      </c>
      <c r="AT537" s="26" t="n">
        <v>10</v>
      </c>
      <c r="AU537" s="26" t="n">
        <v>9</v>
      </c>
      <c r="AV537" s="26" t="n">
        <f aca="false">SUM(AL537:AU537)</f>
        <v>102</v>
      </c>
      <c r="AW537" s="32" t="n">
        <f aca="false">IFERROR(AV537/R537*1000000,"")</f>
        <v>24667.4727932285</v>
      </c>
      <c r="AX537" s="33" t="n">
        <f aca="false">IFERROR((R537-AV537)/R537,"")</f>
        <v>0.975332527206771</v>
      </c>
      <c r="AY537" s="34" t="n">
        <f aca="false">IFERROR(AH537*AJ537*AX537,"")</f>
        <v>0.726105967078189</v>
      </c>
      <c r="AZ537" s="35" t="s">
        <v>78</v>
      </c>
    </row>
    <row r="538" customFormat="false" ht="12.75" hidden="false" customHeight="true" outlineLevel="0" collapsed="false">
      <c r="A538" s="24" t="n">
        <v>534</v>
      </c>
      <c r="B538" s="25" t="n">
        <v>46200</v>
      </c>
      <c r="C538" s="25" t="n">
        <v>12</v>
      </c>
      <c r="D538" s="26" t="s">
        <v>87</v>
      </c>
      <c r="E538" s="26" t="s">
        <v>101</v>
      </c>
      <c r="F538" s="26" t="s">
        <v>81</v>
      </c>
      <c r="G538" s="26" t="s">
        <v>13</v>
      </c>
      <c r="H538" s="27" t="n">
        <v>0.354166666666667</v>
      </c>
      <c r="I538" s="27" t="n">
        <v>0.854166666666667</v>
      </c>
      <c r="J538" s="26" t="n">
        <f aca="false">IFERROR((I538-H538)*24*60,"")</f>
        <v>720</v>
      </c>
      <c r="K538" s="26" t="s">
        <v>82</v>
      </c>
      <c r="L538" s="26" t="s">
        <v>107</v>
      </c>
      <c r="M538" s="26" t="s">
        <v>103</v>
      </c>
      <c r="N538" s="26" t="s">
        <v>104</v>
      </c>
      <c r="O538" s="26" t="n">
        <v>4</v>
      </c>
      <c r="P538" s="26" t="n">
        <v>54</v>
      </c>
      <c r="Q538" s="26" t="n">
        <f aca="false">IFERROR(3600/(P538/O538),"")</f>
        <v>266.666666666667</v>
      </c>
      <c r="R538" s="26" t="n">
        <v>2768</v>
      </c>
      <c r="S538" s="26" t="n">
        <v>62</v>
      </c>
      <c r="T538" s="26" t="n">
        <f aca="false">IFERROR(J538-S538,"")</f>
        <v>658</v>
      </c>
      <c r="U538" s="26"/>
      <c r="V538" s="26"/>
      <c r="W538" s="26"/>
      <c r="X538" s="26" t="n">
        <v>3</v>
      </c>
      <c r="Y538" s="26"/>
      <c r="Z538" s="26"/>
      <c r="AA538" s="26" t="n">
        <v>31</v>
      </c>
      <c r="AB538" s="26" t="n">
        <v>5</v>
      </c>
      <c r="AC538" s="26"/>
      <c r="AD538" s="26"/>
      <c r="AE538" s="26"/>
      <c r="AF538" s="26" t="n">
        <f aca="false">SUM(U538:AE538)</f>
        <v>39</v>
      </c>
      <c r="AG538" s="26" t="n">
        <f aca="false">T538-AF538</f>
        <v>619</v>
      </c>
      <c r="AH538" s="28" t="n">
        <f aca="false">IFERROR(AG538/T538,"")</f>
        <v>0.940729483282675</v>
      </c>
      <c r="AI538" s="29" t="n">
        <f aca="false">IFERROR(R538/AG538*60,"")</f>
        <v>268.303715670436</v>
      </c>
      <c r="AJ538" s="30" t="n">
        <f aca="false">IFERROR(AI538/Q538,"")</f>
        <v>1.00613893376414</v>
      </c>
      <c r="AK538" s="31" t="n">
        <f aca="false">IFERROR(R538/(T538/60*Q538),"")</f>
        <v>0.946504559270517</v>
      </c>
      <c r="AL538" s="26" t="n">
        <v>4</v>
      </c>
      <c r="AM538" s="26"/>
      <c r="AN538" s="26" t="n">
        <v>2</v>
      </c>
      <c r="AO538" s="26" t="n">
        <v>2</v>
      </c>
      <c r="AP538" s="26" t="n">
        <v>2</v>
      </c>
      <c r="AQ538" s="26" t="n">
        <v>1</v>
      </c>
      <c r="AR538" s="26" t="n">
        <v>1</v>
      </c>
      <c r="AS538" s="26"/>
      <c r="AT538" s="26" t="n">
        <v>3</v>
      </c>
      <c r="AU538" s="26" t="n">
        <v>2</v>
      </c>
      <c r="AV538" s="26" t="n">
        <f aca="false">SUM(AL538:AU538)</f>
        <v>17</v>
      </c>
      <c r="AW538" s="32" t="n">
        <f aca="false">IFERROR(AV538/R538*1000000,"")</f>
        <v>6141.61849710983</v>
      </c>
      <c r="AX538" s="33" t="n">
        <f aca="false">IFERROR((R538-AV538)/R538,"")</f>
        <v>0.99385838150289</v>
      </c>
      <c r="AY538" s="34" t="n">
        <f aca="false">IFERROR(AH538*AJ538*AX538,"")</f>
        <v>0.940691489361702</v>
      </c>
      <c r="AZ538" s="35" t="s">
        <v>86</v>
      </c>
    </row>
    <row r="539" customFormat="false" ht="12.75" hidden="false" customHeight="true" outlineLevel="0" collapsed="false">
      <c r="A539" s="24" t="n">
        <v>535</v>
      </c>
      <c r="B539" s="25" t="n">
        <v>46201</v>
      </c>
      <c r="C539" s="25" t="n">
        <v>12</v>
      </c>
      <c r="D539" s="26" t="s">
        <v>71</v>
      </c>
      <c r="E539" s="26" t="s">
        <v>72</v>
      </c>
      <c r="F539" s="26" t="s">
        <v>73</v>
      </c>
      <c r="G539" s="26" t="s">
        <v>8</v>
      </c>
      <c r="H539" s="27" t="n">
        <v>0.354166666666667</v>
      </c>
      <c r="I539" s="27" t="n">
        <v>0.854166666666667</v>
      </c>
      <c r="J539" s="26" t="n">
        <f aca="false">IFERROR((I539-H539)*24*60,"")</f>
        <v>720</v>
      </c>
      <c r="K539" s="26" t="s">
        <v>82</v>
      </c>
      <c r="L539" s="26" t="s">
        <v>108</v>
      </c>
      <c r="M539" s="26" t="s">
        <v>76</v>
      </c>
      <c r="N539" s="26" t="s">
        <v>77</v>
      </c>
      <c r="O539" s="26" t="n">
        <v>8</v>
      </c>
      <c r="P539" s="26" t="n">
        <v>64</v>
      </c>
      <c r="Q539" s="26" t="n">
        <f aca="false">IFERROR(3600/(P539/O539),"")</f>
        <v>450</v>
      </c>
      <c r="R539" s="26" t="n">
        <v>3683</v>
      </c>
      <c r="S539" s="26" t="n">
        <v>47</v>
      </c>
      <c r="T539" s="26" t="n">
        <f aca="false">IFERROR(J539-S539,"")</f>
        <v>673</v>
      </c>
      <c r="U539" s="26"/>
      <c r="V539" s="26"/>
      <c r="W539" s="26"/>
      <c r="X539" s="26"/>
      <c r="Y539" s="26"/>
      <c r="Z539" s="26"/>
      <c r="AA539" s="26"/>
      <c r="AB539" s="26" t="n">
        <v>4</v>
      </c>
      <c r="AC539" s="26"/>
      <c r="AD539" s="26" t="n">
        <v>7</v>
      </c>
      <c r="AE539" s="26"/>
      <c r="AF539" s="26" t="n">
        <f aca="false">SUM(U539:AE539)</f>
        <v>11</v>
      </c>
      <c r="AG539" s="26" t="n">
        <f aca="false">T539-AF539</f>
        <v>662</v>
      </c>
      <c r="AH539" s="28" t="n">
        <f aca="false">IFERROR(AG539/T539,"")</f>
        <v>0.983655274888559</v>
      </c>
      <c r="AI539" s="29" t="n">
        <f aca="false">IFERROR(R539/AG539*60,"")</f>
        <v>333.80664652568</v>
      </c>
      <c r="AJ539" s="30" t="n">
        <f aca="false">IFERROR(AI539/Q539,"")</f>
        <v>0.741792547834844</v>
      </c>
      <c r="AK539" s="31" t="n">
        <f aca="false">IFERROR(R539/(T539/60*Q539),"")</f>
        <v>0.729668152550768</v>
      </c>
      <c r="AL539" s="26" t="n">
        <v>2</v>
      </c>
      <c r="AM539" s="26" t="n">
        <v>1</v>
      </c>
      <c r="AN539" s="26" t="n">
        <v>1</v>
      </c>
      <c r="AO539" s="26" t="n">
        <v>2</v>
      </c>
      <c r="AP539" s="26" t="n">
        <v>4</v>
      </c>
      <c r="AQ539" s="26" t="n">
        <v>3</v>
      </c>
      <c r="AR539" s="26" t="n">
        <v>1</v>
      </c>
      <c r="AS539" s="26" t="n">
        <v>1</v>
      </c>
      <c r="AT539" s="26" t="n">
        <v>2</v>
      </c>
      <c r="AU539" s="26" t="n">
        <v>1</v>
      </c>
      <c r="AV539" s="26" t="n">
        <f aca="false">SUM(AL539:AU539)</f>
        <v>18</v>
      </c>
      <c r="AW539" s="32" t="n">
        <f aca="false">IFERROR(AV539/R539*1000000,"")</f>
        <v>4887.32011946783</v>
      </c>
      <c r="AX539" s="33" t="n">
        <f aca="false">IFERROR((R539-AV539)/R539,"")</f>
        <v>0.995112679880532</v>
      </c>
      <c r="AY539" s="34" t="n">
        <f aca="false">IFERROR(AH539*AJ539*AX539,"")</f>
        <v>0.726102030708271</v>
      </c>
      <c r="AZ539" s="35"/>
    </row>
    <row r="540" customFormat="false" ht="12.75" hidden="false" customHeight="true" outlineLevel="0" collapsed="false">
      <c r="A540" s="24" t="n">
        <v>536</v>
      </c>
      <c r="B540" s="25" t="n">
        <v>46201</v>
      </c>
      <c r="C540" s="25" t="n">
        <v>12</v>
      </c>
      <c r="D540" s="26" t="s">
        <v>79</v>
      </c>
      <c r="E540" s="26" t="s">
        <v>80</v>
      </c>
      <c r="F540" s="26" t="s">
        <v>81</v>
      </c>
      <c r="G540" s="26" t="s">
        <v>9</v>
      </c>
      <c r="H540" s="27" t="n">
        <v>0.354166666666667</v>
      </c>
      <c r="I540" s="27" t="n">
        <v>0.854166666666667</v>
      </c>
      <c r="J540" s="26" t="n">
        <f aca="false">IFERROR((I540-H540)*24*60,"")</f>
        <v>720</v>
      </c>
      <c r="K540" s="26" t="s">
        <v>105</v>
      </c>
      <c r="L540" s="26" t="s">
        <v>75</v>
      </c>
      <c r="M540" s="26" t="s">
        <v>84</v>
      </c>
      <c r="N540" s="26" t="s">
        <v>85</v>
      </c>
      <c r="O540" s="26" t="n">
        <v>1</v>
      </c>
      <c r="P540" s="26" t="n">
        <v>60</v>
      </c>
      <c r="Q540" s="26" t="n">
        <f aca="false">IFERROR(3600/(P540/O540),"")</f>
        <v>60</v>
      </c>
      <c r="R540" s="26" t="n">
        <v>492</v>
      </c>
      <c r="S540" s="26" t="n">
        <v>49</v>
      </c>
      <c r="T540" s="26" t="n">
        <f aca="false">IFERROR(J540-S540,"")</f>
        <v>671</v>
      </c>
      <c r="U540" s="26" t="n">
        <v>47</v>
      </c>
      <c r="V540" s="26"/>
      <c r="W540" s="26"/>
      <c r="X540" s="26"/>
      <c r="Y540" s="26"/>
      <c r="Z540" s="26"/>
      <c r="AA540" s="26"/>
      <c r="AB540" s="26"/>
      <c r="AC540" s="26"/>
      <c r="AD540" s="26" t="n">
        <v>17</v>
      </c>
      <c r="AE540" s="26" t="n">
        <v>11</v>
      </c>
      <c r="AF540" s="26" t="n">
        <f aca="false">SUM(U540:AE540)</f>
        <v>75</v>
      </c>
      <c r="AG540" s="26" t="n">
        <f aca="false">T540-AF540</f>
        <v>596</v>
      </c>
      <c r="AH540" s="28" t="n">
        <f aca="false">IFERROR(AG540/T540,"")</f>
        <v>0.88822652757079</v>
      </c>
      <c r="AI540" s="29" t="n">
        <f aca="false">IFERROR(R540/AG540*60,"")</f>
        <v>49.5302013422819</v>
      </c>
      <c r="AJ540" s="30" t="n">
        <f aca="false">IFERROR(AI540/Q540,"")</f>
        <v>0.825503355704698</v>
      </c>
      <c r="AK540" s="31" t="n">
        <f aca="false">IFERROR(R540/(T540/60*Q540),"")</f>
        <v>0.733233979135619</v>
      </c>
      <c r="AL540" s="26" t="n">
        <v>2</v>
      </c>
      <c r="AM540" s="26"/>
      <c r="AN540" s="26" t="n">
        <v>3</v>
      </c>
      <c r="AO540" s="26"/>
      <c r="AP540" s="26" t="n">
        <v>2</v>
      </c>
      <c r="AQ540" s="26"/>
      <c r="AR540" s="26" t="n">
        <v>1</v>
      </c>
      <c r="AS540" s="26"/>
      <c r="AT540" s="26" t="n">
        <v>1</v>
      </c>
      <c r="AU540" s="26" t="n">
        <v>2</v>
      </c>
      <c r="AV540" s="26" t="n">
        <f aca="false">SUM(AL540:AU540)</f>
        <v>11</v>
      </c>
      <c r="AW540" s="32" t="n">
        <f aca="false">IFERROR(AV540/R540*1000000,"")</f>
        <v>22357.7235772358</v>
      </c>
      <c r="AX540" s="33" t="n">
        <f aca="false">IFERROR((R540-AV540)/R540,"")</f>
        <v>0.977642276422764</v>
      </c>
      <c r="AY540" s="34" t="n">
        <f aca="false">IFERROR(AH540*AJ540*AX540,"")</f>
        <v>0.716840536512668</v>
      </c>
      <c r="AZ540" s="35" t="s">
        <v>78</v>
      </c>
    </row>
    <row r="541" customFormat="false" ht="12.75" hidden="false" customHeight="true" outlineLevel="0" collapsed="false">
      <c r="A541" s="24" t="n">
        <v>537</v>
      </c>
      <c r="B541" s="25" t="n">
        <v>46201</v>
      </c>
      <c r="C541" s="25" t="n">
        <v>12</v>
      </c>
      <c r="D541" s="26" t="s">
        <v>87</v>
      </c>
      <c r="E541" s="26" t="s">
        <v>88</v>
      </c>
      <c r="F541" s="26" t="s">
        <v>73</v>
      </c>
      <c r="G541" s="26" t="s">
        <v>10</v>
      </c>
      <c r="H541" s="27" t="n">
        <v>0.354166666666667</v>
      </c>
      <c r="I541" s="27" t="n">
        <v>0.854166666666667</v>
      </c>
      <c r="J541" s="26" t="n">
        <f aca="false">IFERROR((I541-H541)*24*60,"")</f>
        <v>720</v>
      </c>
      <c r="K541" s="26" t="s">
        <v>89</v>
      </c>
      <c r="L541" s="26" t="s">
        <v>98</v>
      </c>
      <c r="M541" s="26" t="s">
        <v>91</v>
      </c>
      <c r="N541" s="26" t="s">
        <v>92</v>
      </c>
      <c r="O541" s="26" t="n">
        <v>2</v>
      </c>
      <c r="P541" s="26" t="n">
        <v>45</v>
      </c>
      <c r="Q541" s="26" t="n">
        <f aca="false">IFERROR(3600/(P541/O541),"")</f>
        <v>160</v>
      </c>
      <c r="R541" s="26" t="n">
        <v>1405</v>
      </c>
      <c r="S541" s="26" t="n">
        <v>52</v>
      </c>
      <c r="T541" s="26" t="n">
        <f aca="false">IFERROR(J541-S541,"")</f>
        <v>668</v>
      </c>
      <c r="U541" s="26"/>
      <c r="V541" s="26"/>
      <c r="W541" s="26" t="n">
        <v>58</v>
      </c>
      <c r="X541" s="26"/>
      <c r="Y541" s="26" t="n">
        <v>15</v>
      </c>
      <c r="Z541" s="26"/>
      <c r="AA541" s="26"/>
      <c r="AB541" s="26" t="n">
        <v>4</v>
      </c>
      <c r="AC541" s="26"/>
      <c r="AD541" s="26"/>
      <c r="AE541" s="26"/>
      <c r="AF541" s="26" t="n">
        <f aca="false">SUM(U541:AE541)</f>
        <v>77</v>
      </c>
      <c r="AG541" s="26" t="n">
        <f aca="false">T541-AF541</f>
        <v>591</v>
      </c>
      <c r="AH541" s="28" t="n">
        <f aca="false">IFERROR(AG541/T541,"")</f>
        <v>0.884730538922156</v>
      </c>
      <c r="AI541" s="29" t="n">
        <f aca="false">IFERROR(R541/AG541*60,"")</f>
        <v>142.639593908629</v>
      </c>
      <c r="AJ541" s="30" t="n">
        <f aca="false">IFERROR(AI541/Q541,"")</f>
        <v>0.891497461928934</v>
      </c>
      <c r="AK541" s="31" t="n">
        <f aca="false">IFERROR(R541/(T541/60*Q541),"")</f>
        <v>0.78873502994012</v>
      </c>
      <c r="AL541" s="26"/>
      <c r="AM541" s="26" t="n">
        <v>1</v>
      </c>
      <c r="AN541" s="26"/>
      <c r="AO541" s="26"/>
      <c r="AP541" s="26"/>
      <c r="AQ541" s="26"/>
      <c r="AR541" s="26"/>
      <c r="AS541" s="26" t="n">
        <v>2</v>
      </c>
      <c r="AT541" s="26"/>
      <c r="AU541" s="26" t="n">
        <v>1</v>
      </c>
      <c r="AV541" s="26" t="n">
        <f aca="false">SUM(AL541:AU541)</f>
        <v>4</v>
      </c>
      <c r="AW541" s="32" t="n">
        <f aca="false">IFERROR(AV541/R541*1000000,"")</f>
        <v>2846.97508896797</v>
      </c>
      <c r="AX541" s="33" t="n">
        <f aca="false">IFERROR((R541-AV541)/R541,"")</f>
        <v>0.997153024911032</v>
      </c>
      <c r="AY541" s="34" t="n">
        <f aca="false">IFERROR(AH541*AJ541*AX541,"")</f>
        <v>0.786489520958084</v>
      </c>
      <c r="AZ541" s="35"/>
    </row>
    <row r="542" customFormat="false" ht="12.75" hidden="false" customHeight="true" outlineLevel="0" collapsed="false">
      <c r="A542" s="24" t="n">
        <v>538</v>
      </c>
      <c r="B542" s="25" t="n">
        <v>46202</v>
      </c>
      <c r="C542" s="25" t="n">
        <v>12</v>
      </c>
      <c r="D542" s="26" t="s">
        <v>71</v>
      </c>
      <c r="E542" s="26" t="s">
        <v>94</v>
      </c>
      <c r="F542" s="26" t="s">
        <v>81</v>
      </c>
      <c r="G542" s="26" t="s">
        <v>11</v>
      </c>
      <c r="H542" s="27" t="n">
        <v>0.354166666666667</v>
      </c>
      <c r="I542" s="27" t="n">
        <v>0.854166666666667</v>
      </c>
      <c r="J542" s="26" t="n">
        <f aca="false">IFERROR((I542-H542)*24*60,"")</f>
        <v>720</v>
      </c>
      <c r="K542" s="26" t="s">
        <v>105</v>
      </c>
      <c r="L542" s="26" t="s">
        <v>90</v>
      </c>
      <c r="M542" s="26" t="s">
        <v>95</v>
      </c>
      <c r="N542" s="26" t="s">
        <v>96</v>
      </c>
      <c r="O542" s="26" t="n">
        <v>4</v>
      </c>
      <c r="P542" s="26" t="n">
        <v>31</v>
      </c>
      <c r="Q542" s="26" t="n">
        <f aca="false">IFERROR(3600/(P542/O542),"")</f>
        <v>464.516129032258</v>
      </c>
      <c r="R542" s="26" t="n">
        <v>4386</v>
      </c>
      <c r="S542" s="26" t="n">
        <v>59</v>
      </c>
      <c r="T542" s="26" t="n">
        <f aca="false">IFERROR(J542-S542,"")</f>
        <v>661</v>
      </c>
      <c r="U542" s="26"/>
      <c r="V542" s="26"/>
      <c r="W542" s="26"/>
      <c r="X542" s="26"/>
      <c r="Y542" s="26"/>
      <c r="Z542" s="26"/>
      <c r="AA542" s="26" t="n">
        <v>19</v>
      </c>
      <c r="AB542" s="26"/>
      <c r="AC542" s="26"/>
      <c r="AD542" s="26"/>
      <c r="AE542" s="26"/>
      <c r="AF542" s="26" t="n">
        <f aca="false">SUM(U542:AE542)</f>
        <v>19</v>
      </c>
      <c r="AG542" s="26" t="n">
        <f aca="false">T542-AF542</f>
        <v>642</v>
      </c>
      <c r="AH542" s="28" t="n">
        <f aca="false">IFERROR(AG542/T542,"")</f>
        <v>0.97125567322239</v>
      </c>
      <c r="AI542" s="29" t="n">
        <f aca="false">IFERROR(R542/AG542*60,"")</f>
        <v>409.906542056075</v>
      </c>
      <c r="AJ542" s="30" t="n">
        <f aca="false">IFERROR(AI542/Q542,"")</f>
        <v>0.88243769470405</v>
      </c>
      <c r="AK542" s="31" t="n">
        <f aca="false">IFERROR(R542/(T542/60*Q542),"")</f>
        <v>0.857072617246596</v>
      </c>
      <c r="AL542" s="26" t="n">
        <v>5</v>
      </c>
      <c r="AM542" s="26" t="n">
        <v>6</v>
      </c>
      <c r="AN542" s="26" t="n">
        <v>13</v>
      </c>
      <c r="AO542" s="26" t="n">
        <v>9</v>
      </c>
      <c r="AP542" s="26" t="n">
        <v>5</v>
      </c>
      <c r="AQ542" s="26" t="n">
        <v>5</v>
      </c>
      <c r="AR542" s="26" t="n">
        <v>10</v>
      </c>
      <c r="AS542" s="26" t="n">
        <v>8</v>
      </c>
      <c r="AT542" s="26" t="n">
        <v>12</v>
      </c>
      <c r="AU542" s="26" t="n">
        <v>10</v>
      </c>
      <c r="AV542" s="26" t="n">
        <f aca="false">SUM(AL542:AU542)</f>
        <v>83</v>
      </c>
      <c r="AW542" s="32" t="n">
        <f aca="false">IFERROR(AV542/R542*1000000,"")</f>
        <v>18923.8486092111</v>
      </c>
      <c r="AX542" s="33" t="n">
        <f aca="false">IFERROR((R542-AV542)/R542,"")</f>
        <v>0.981076151390789</v>
      </c>
      <c r="AY542" s="34" t="n">
        <f aca="false">IFERROR(AH542*AJ542*AX542,"")</f>
        <v>0.840853504790721</v>
      </c>
      <c r="AZ542" s="35"/>
    </row>
    <row r="543" customFormat="false" ht="12.75" hidden="false" customHeight="true" outlineLevel="0" collapsed="false">
      <c r="A543" s="24" t="n">
        <v>539</v>
      </c>
      <c r="B543" s="25" t="n">
        <v>46202</v>
      </c>
      <c r="C543" s="25" t="n">
        <v>12</v>
      </c>
      <c r="D543" s="26" t="s">
        <v>79</v>
      </c>
      <c r="E543" s="26" t="s">
        <v>97</v>
      </c>
      <c r="F543" s="26" t="s">
        <v>73</v>
      </c>
      <c r="G543" s="26" t="s">
        <v>12</v>
      </c>
      <c r="H543" s="27" t="n">
        <v>0.354166666666667</v>
      </c>
      <c r="I543" s="27" t="n">
        <v>0.854166666666667</v>
      </c>
      <c r="J543" s="26" t="n">
        <f aca="false">IFERROR((I543-H543)*24*60,"")</f>
        <v>720</v>
      </c>
      <c r="K543" s="26" t="s">
        <v>82</v>
      </c>
      <c r="L543" s="26" t="s">
        <v>108</v>
      </c>
      <c r="M543" s="26" t="s">
        <v>99</v>
      </c>
      <c r="N543" s="26" t="s">
        <v>100</v>
      </c>
      <c r="O543" s="26" t="n">
        <v>8</v>
      </c>
      <c r="P543" s="26" t="n">
        <v>27</v>
      </c>
      <c r="Q543" s="26" t="n">
        <f aca="false">IFERROR(3600/(P543/O543),"")</f>
        <v>1066.66666666667</v>
      </c>
      <c r="R543" s="26" t="n">
        <v>10477</v>
      </c>
      <c r="S543" s="26" t="n">
        <v>50</v>
      </c>
      <c r="T543" s="26" t="n">
        <f aca="false">IFERROR(J543-S543,"")</f>
        <v>670</v>
      </c>
      <c r="U543" s="26"/>
      <c r="V543" s="26"/>
      <c r="W543" s="26"/>
      <c r="X543" s="26"/>
      <c r="Y543" s="26"/>
      <c r="Z543" s="26" t="n">
        <v>23</v>
      </c>
      <c r="AA543" s="26"/>
      <c r="AB543" s="26" t="n">
        <v>11</v>
      </c>
      <c r="AC543" s="26"/>
      <c r="AD543" s="26" t="n">
        <v>10</v>
      </c>
      <c r="AE543" s="26"/>
      <c r="AF543" s="26" t="n">
        <f aca="false">SUM(U543:AE543)</f>
        <v>44</v>
      </c>
      <c r="AG543" s="26" t="n">
        <f aca="false">T543-AF543</f>
        <v>626</v>
      </c>
      <c r="AH543" s="28" t="n">
        <f aca="false">IFERROR(AG543/T543,"")</f>
        <v>0.934328358208955</v>
      </c>
      <c r="AI543" s="29" t="n">
        <f aca="false">IFERROR(R543/AG543*60,"")</f>
        <v>1004.18530351438</v>
      </c>
      <c r="AJ543" s="30" t="n">
        <f aca="false">IFERROR(AI543/Q543,"")</f>
        <v>0.941423722044728</v>
      </c>
      <c r="AK543" s="31" t="n">
        <f aca="false">IFERROR(R543/(T543/60*Q543),"")</f>
        <v>0.879598880597015</v>
      </c>
      <c r="AL543" s="26" t="n">
        <v>19</v>
      </c>
      <c r="AM543" s="26" t="n">
        <v>20</v>
      </c>
      <c r="AN543" s="26" t="n">
        <v>13</v>
      </c>
      <c r="AO543" s="26" t="n">
        <v>18</v>
      </c>
      <c r="AP543" s="26" t="n">
        <v>13</v>
      </c>
      <c r="AQ543" s="26" t="n">
        <v>19</v>
      </c>
      <c r="AR543" s="26" t="n">
        <v>16</v>
      </c>
      <c r="AS543" s="26" t="n">
        <v>23</v>
      </c>
      <c r="AT543" s="26" t="n">
        <v>29</v>
      </c>
      <c r="AU543" s="26" t="n">
        <v>20</v>
      </c>
      <c r="AV543" s="26" t="n">
        <f aca="false">SUM(AL543:AU543)</f>
        <v>190</v>
      </c>
      <c r="AW543" s="32" t="n">
        <f aca="false">IFERROR(AV543/R543*1000000,"")</f>
        <v>18134.9622983679</v>
      </c>
      <c r="AX543" s="33" t="n">
        <f aca="false">IFERROR((R543-AV543)/R543,"")</f>
        <v>0.981865037701632</v>
      </c>
      <c r="AY543" s="34" t="n">
        <f aca="false">IFERROR(AH543*AJ543*AX543,"")</f>
        <v>0.863647388059701</v>
      </c>
      <c r="AZ543" s="35"/>
    </row>
    <row r="544" customFormat="false" ht="12.75" hidden="false" customHeight="true" outlineLevel="0" collapsed="false">
      <c r="A544" s="24" t="n">
        <v>540</v>
      </c>
      <c r="B544" s="25" t="n">
        <v>46202</v>
      </c>
      <c r="C544" s="25" t="n">
        <v>12</v>
      </c>
      <c r="D544" s="26" t="s">
        <v>87</v>
      </c>
      <c r="E544" s="26" t="s">
        <v>101</v>
      </c>
      <c r="F544" s="26" t="s">
        <v>81</v>
      </c>
      <c r="G544" s="26" t="s">
        <v>13</v>
      </c>
      <c r="H544" s="27" t="n">
        <v>0.354166666666667</v>
      </c>
      <c r="I544" s="27" t="n">
        <v>0.854166666666667</v>
      </c>
      <c r="J544" s="26" t="n">
        <f aca="false">IFERROR((I544-H544)*24*60,"")</f>
        <v>720</v>
      </c>
      <c r="K544" s="26" t="s">
        <v>74</v>
      </c>
      <c r="L544" s="26" t="s">
        <v>107</v>
      </c>
      <c r="M544" s="26" t="s">
        <v>103</v>
      </c>
      <c r="N544" s="26" t="s">
        <v>104</v>
      </c>
      <c r="O544" s="26" t="n">
        <v>1</v>
      </c>
      <c r="P544" s="26" t="n">
        <v>72</v>
      </c>
      <c r="Q544" s="26" t="n">
        <f aca="false">IFERROR(3600/(P544/O544),"")</f>
        <v>50</v>
      </c>
      <c r="R544" s="26" t="n">
        <v>529</v>
      </c>
      <c r="S544" s="26" t="n">
        <v>66</v>
      </c>
      <c r="T544" s="26" t="n">
        <f aca="false">IFERROR(J544-S544,"")</f>
        <v>654</v>
      </c>
      <c r="U544" s="26"/>
      <c r="V544" s="26" t="n">
        <v>3</v>
      </c>
      <c r="W544" s="26"/>
      <c r="X544" s="26"/>
      <c r="Y544" s="26" t="n">
        <v>16</v>
      </c>
      <c r="Z544" s="26"/>
      <c r="AA544" s="26"/>
      <c r="AB544" s="26"/>
      <c r="AC544" s="26"/>
      <c r="AD544" s="26"/>
      <c r="AE544" s="26"/>
      <c r="AF544" s="26" t="n">
        <f aca="false">SUM(U544:AE544)</f>
        <v>19</v>
      </c>
      <c r="AG544" s="26" t="n">
        <f aca="false">T544-AF544</f>
        <v>635</v>
      </c>
      <c r="AH544" s="28" t="n">
        <f aca="false">IFERROR(AG544/T544,"")</f>
        <v>0.970948012232416</v>
      </c>
      <c r="AI544" s="29" t="n">
        <f aca="false">IFERROR(R544/AG544*60,"")</f>
        <v>49.9842519685039</v>
      </c>
      <c r="AJ544" s="30" t="n">
        <f aca="false">IFERROR(AI544/Q544,"")</f>
        <v>0.999685039370079</v>
      </c>
      <c r="AK544" s="31" t="n">
        <f aca="false">IFERROR(R544/(T544/60*Q544),"")</f>
        <v>0.970642201834862</v>
      </c>
      <c r="AL544" s="26"/>
      <c r="AM544" s="26"/>
      <c r="AN544" s="26" t="n">
        <v>1</v>
      </c>
      <c r="AO544" s="26" t="n">
        <v>1</v>
      </c>
      <c r="AP544" s="26"/>
      <c r="AQ544" s="26" t="n">
        <v>1</v>
      </c>
      <c r="AR544" s="26"/>
      <c r="AS544" s="26" t="n">
        <v>2</v>
      </c>
      <c r="AT544" s="26"/>
      <c r="AU544" s="26" t="n">
        <v>1</v>
      </c>
      <c r="AV544" s="26" t="n">
        <f aca="false">SUM(AL544:AU544)</f>
        <v>6</v>
      </c>
      <c r="AW544" s="32" t="n">
        <f aca="false">IFERROR(AV544/R544*1000000,"")</f>
        <v>11342.1550094518</v>
      </c>
      <c r="AX544" s="33" t="n">
        <f aca="false">IFERROR((R544-AV544)/R544,"")</f>
        <v>0.988657844990548</v>
      </c>
      <c r="AY544" s="34" t="n">
        <f aca="false">IFERROR(AH544*AJ544*AX544,"")</f>
        <v>0.959633027522936</v>
      </c>
      <c r="AZ544" s="35" t="s">
        <v>93</v>
      </c>
    </row>
    <row r="545" customFormat="false" ht="12.75" hidden="false" customHeight="true" outlineLevel="0" collapsed="false">
      <c r="A545" s="24" t="n">
        <v>541</v>
      </c>
      <c r="B545" s="25" t="n">
        <v>46203</v>
      </c>
      <c r="C545" s="25" t="n">
        <v>12</v>
      </c>
      <c r="D545" s="26" t="s">
        <v>71</v>
      </c>
      <c r="E545" s="26" t="s">
        <v>72</v>
      </c>
      <c r="F545" s="26" t="s">
        <v>73</v>
      </c>
      <c r="G545" s="26" t="s">
        <v>8</v>
      </c>
      <c r="H545" s="27" t="n">
        <v>0.354166666666667</v>
      </c>
      <c r="I545" s="27" t="n">
        <v>0.854166666666667</v>
      </c>
      <c r="J545" s="26" t="n">
        <f aca="false">IFERROR((I545-H545)*24*60,"")</f>
        <v>720</v>
      </c>
      <c r="K545" s="26" t="s">
        <v>105</v>
      </c>
      <c r="L545" s="26" t="s">
        <v>102</v>
      </c>
      <c r="M545" s="26" t="s">
        <v>76</v>
      </c>
      <c r="N545" s="26" t="s">
        <v>77</v>
      </c>
      <c r="O545" s="26" t="n">
        <v>4</v>
      </c>
      <c r="P545" s="26" t="n">
        <v>52</v>
      </c>
      <c r="Q545" s="26" t="n">
        <f aca="false">IFERROR(3600/(P545/O545),"")</f>
        <v>276.923076923077</v>
      </c>
      <c r="R545" s="26" t="n">
        <v>2551</v>
      </c>
      <c r="S545" s="26" t="n">
        <v>67</v>
      </c>
      <c r="T545" s="26" t="n">
        <f aca="false">IFERROR(J545-S545,"")</f>
        <v>653</v>
      </c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 t="n">
        <v>12</v>
      </c>
      <c r="AF545" s="26" t="n">
        <f aca="false">SUM(U545:AE545)</f>
        <v>12</v>
      </c>
      <c r="AG545" s="26" t="n">
        <f aca="false">T545-AF545</f>
        <v>641</v>
      </c>
      <c r="AH545" s="28" t="n">
        <f aca="false">IFERROR(AG545/T545,"")</f>
        <v>0.981623277182236</v>
      </c>
      <c r="AI545" s="29" t="n">
        <f aca="false">IFERROR(R545/AG545*60,"")</f>
        <v>238.783151326053</v>
      </c>
      <c r="AJ545" s="30" t="n">
        <f aca="false">IFERROR(AI545/Q545,"")</f>
        <v>0.862272490899636</v>
      </c>
      <c r="AK545" s="31" t="n">
        <f aca="false">IFERROR(R545/(T545/60*Q545),"")</f>
        <v>0.84642674834099</v>
      </c>
      <c r="AL545" s="26" t="n">
        <v>1</v>
      </c>
      <c r="AM545" s="26" t="n">
        <v>4</v>
      </c>
      <c r="AN545" s="26" t="n">
        <v>3</v>
      </c>
      <c r="AO545" s="26" t="n">
        <v>4</v>
      </c>
      <c r="AP545" s="26" t="n">
        <v>3</v>
      </c>
      <c r="AQ545" s="26" t="n">
        <v>4</v>
      </c>
      <c r="AR545" s="26" t="n">
        <v>4</v>
      </c>
      <c r="AS545" s="26"/>
      <c r="AT545" s="26" t="n">
        <v>5</v>
      </c>
      <c r="AU545" s="26" t="n">
        <v>2</v>
      </c>
      <c r="AV545" s="26" t="n">
        <f aca="false">SUM(AL545:AU545)</f>
        <v>30</v>
      </c>
      <c r="AW545" s="32" t="n">
        <f aca="false">IFERROR(AV545/R545*1000000,"")</f>
        <v>11760.0940807526</v>
      </c>
      <c r="AX545" s="33" t="n">
        <f aca="false">IFERROR((R545-AV545)/R545,"")</f>
        <v>0.988239905919247</v>
      </c>
      <c r="AY545" s="34" t="n">
        <f aca="false">IFERROR(AH545*AJ545*AX545,"")</f>
        <v>0.836472690148035</v>
      </c>
      <c r="AZ545" s="35" t="s">
        <v>86</v>
      </c>
    </row>
    <row r="546" customFormat="false" ht="12.75" hidden="false" customHeight="true" outlineLevel="0" collapsed="false">
      <c r="A546" s="24" t="n">
        <v>542</v>
      </c>
      <c r="B546" s="25" t="n">
        <v>46203</v>
      </c>
      <c r="C546" s="25" t="n">
        <v>12</v>
      </c>
      <c r="D546" s="26" t="s">
        <v>79</v>
      </c>
      <c r="E546" s="26" t="s">
        <v>80</v>
      </c>
      <c r="F546" s="26" t="s">
        <v>81</v>
      </c>
      <c r="G546" s="26" t="s">
        <v>9</v>
      </c>
      <c r="H546" s="27" t="n">
        <v>0.354166666666667</v>
      </c>
      <c r="I546" s="27" t="n">
        <v>0.854166666666667</v>
      </c>
      <c r="J546" s="26" t="n">
        <f aca="false">IFERROR((I546-H546)*24*60,"")</f>
        <v>720</v>
      </c>
      <c r="K546" s="26" t="s">
        <v>74</v>
      </c>
      <c r="L546" s="26" t="s">
        <v>98</v>
      </c>
      <c r="M546" s="26" t="s">
        <v>84</v>
      </c>
      <c r="N546" s="26" t="s">
        <v>85</v>
      </c>
      <c r="O546" s="26" t="n">
        <v>8</v>
      </c>
      <c r="P546" s="26" t="n">
        <v>54</v>
      </c>
      <c r="Q546" s="26" t="n">
        <f aca="false">IFERROR(3600/(P546/O546),"")</f>
        <v>533.333333333333</v>
      </c>
      <c r="R546" s="26" t="n">
        <v>5291</v>
      </c>
      <c r="S546" s="26" t="n">
        <v>49</v>
      </c>
      <c r="T546" s="26" t="n">
        <f aca="false">IFERROR(J546-S546,"")</f>
        <v>671</v>
      </c>
      <c r="U546" s="26"/>
      <c r="V546" s="26" t="n">
        <v>8</v>
      </c>
      <c r="W546" s="26"/>
      <c r="X546" s="26"/>
      <c r="Y546" s="26"/>
      <c r="Z546" s="26"/>
      <c r="AA546" s="26"/>
      <c r="AB546" s="26"/>
      <c r="AC546" s="26"/>
      <c r="AD546" s="26"/>
      <c r="AE546" s="26" t="n">
        <v>14</v>
      </c>
      <c r="AF546" s="26" t="n">
        <f aca="false">SUM(U546:AE546)</f>
        <v>22</v>
      </c>
      <c r="AG546" s="26" t="n">
        <f aca="false">T546-AF546</f>
        <v>649</v>
      </c>
      <c r="AH546" s="28" t="n">
        <f aca="false">IFERROR(AG546/T546,"")</f>
        <v>0.967213114754098</v>
      </c>
      <c r="AI546" s="29" t="n">
        <f aca="false">IFERROR(R546/AG546*60,"")</f>
        <v>489.152542372881</v>
      </c>
      <c r="AJ546" s="30" t="n">
        <f aca="false">IFERROR(AI546/Q546,"")</f>
        <v>0.917161016949153</v>
      </c>
      <c r="AK546" s="31" t="n">
        <f aca="false">IFERROR(R546/(T546/60*Q546),"")</f>
        <v>0.887090163934426</v>
      </c>
      <c r="AL546" s="26" t="n">
        <v>8</v>
      </c>
      <c r="AM546" s="26" t="n">
        <v>10</v>
      </c>
      <c r="AN546" s="26" t="n">
        <v>11</v>
      </c>
      <c r="AO546" s="26" t="n">
        <v>6</v>
      </c>
      <c r="AP546" s="26" t="n">
        <v>9</v>
      </c>
      <c r="AQ546" s="26" t="n">
        <v>3</v>
      </c>
      <c r="AR546" s="26" t="n">
        <v>13</v>
      </c>
      <c r="AS546" s="26" t="n">
        <v>7</v>
      </c>
      <c r="AT546" s="26" t="n">
        <v>6</v>
      </c>
      <c r="AU546" s="26" t="n">
        <v>7</v>
      </c>
      <c r="AV546" s="26" t="n">
        <f aca="false">SUM(AL546:AU546)</f>
        <v>80</v>
      </c>
      <c r="AW546" s="32" t="n">
        <f aca="false">IFERROR(AV546/R546*1000000,"")</f>
        <v>15120.0151200151</v>
      </c>
      <c r="AX546" s="33" t="n">
        <f aca="false">IFERROR((R546-AV546)/R546,"")</f>
        <v>0.984879984879985</v>
      </c>
      <c r="AY546" s="34" t="n">
        <f aca="false">IFERROR(AH546*AJ546*AX546,"")</f>
        <v>0.873677347242921</v>
      </c>
      <c r="AZ546" s="35" t="s">
        <v>78</v>
      </c>
    </row>
    <row r="547" customFormat="false" ht="12.75" hidden="false" customHeight="true" outlineLevel="0" collapsed="false">
      <c r="A547" s="24" t="n">
        <v>543</v>
      </c>
      <c r="B547" s="25" t="n">
        <v>46203</v>
      </c>
      <c r="C547" s="25" t="n">
        <v>12</v>
      </c>
      <c r="D547" s="26" t="s">
        <v>87</v>
      </c>
      <c r="E547" s="26" t="s">
        <v>88</v>
      </c>
      <c r="F547" s="26" t="s">
        <v>73</v>
      </c>
      <c r="G547" s="26" t="s">
        <v>10</v>
      </c>
      <c r="H547" s="27" t="n">
        <v>0.354166666666667</v>
      </c>
      <c r="I547" s="27" t="n">
        <v>0.854166666666667</v>
      </c>
      <c r="J547" s="26" t="n">
        <f aca="false">IFERROR((I547-H547)*24*60,"")</f>
        <v>720</v>
      </c>
      <c r="K547" s="26" t="s">
        <v>89</v>
      </c>
      <c r="L547" s="26" t="s">
        <v>98</v>
      </c>
      <c r="M547" s="26" t="s">
        <v>91</v>
      </c>
      <c r="N547" s="26" t="s">
        <v>92</v>
      </c>
      <c r="O547" s="26" t="n">
        <v>8</v>
      </c>
      <c r="P547" s="26" t="n">
        <v>51</v>
      </c>
      <c r="Q547" s="26" t="n">
        <f aca="false">IFERROR(3600/(P547/O547),"")</f>
        <v>564.705882352941</v>
      </c>
      <c r="R547" s="26" t="n">
        <v>5522</v>
      </c>
      <c r="S547" s="26" t="n">
        <v>34</v>
      </c>
      <c r="T547" s="26" t="n">
        <f aca="false">IFERROR(J547-S547,"")</f>
        <v>686</v>
      </c>
      <c r="U547" s="26" t="n">
        <v>7</v>
      </c>
      <c r="V547" s="26"/>
      <c r="W547" s="26"/>
      <c r="X547" s="26"/>
      <c r="Y547" s="26"/>
      <c r="Z547" s="26" t="n">
        <v>18</v>
      </c>
      <c r="AA547" s="26"/>
      <c r="AB547" s="26"/>
      <c r="AC547" s="26"/>
      <c r="AD547" s="26"/>
      <c r="AE547" s="26"/>
      <c r="AF547" s="26" t="n">
        <f aca="false">SUM(U547:AE547)</f>
        <v>25</v>
      </c>
      <c r="AG547" s="26" t="n">
        <f aca="false">T547-AF547</f>
        <v>661</v>
      </c>
      <c r="AH547" s="28" t="n">
        <f aca="false">IFERROR(AG547/T547,"")</f>
        <v>0.963556851311953</v>
      </c>
      <c r="AI547" s="29" t="n">
        <f aca="false">IFERROR(R547/AG547*60,"")</f>
        <v>501.24054462935</v>
      </c>
      <c r="AJ547" s="30" t="n">
        <f aca="false">IFERROR(AI547/Q547,"")</f>
        <v>0.887613464447806</v>
      </c>
      <c r="AK547" s="31" t="n">
        <f aca="false">IFERROR(R547/(T547/60*Q547),"")</f>
        <v>0.855266034985423</v>
      </c>
      <c r="AL547" s="26" t="n">
        <v>1</v>
      </c>
      <c r="AM547" s="26" t="n">
        <v>3</v>
      </c>
      <c r="AN547" s="26" t="n">
        <v>2</v>
      </c>
      <c r="AO547" s="26" t="n">
        <v>2</v>
      </c>
      <c r="AP547" s="26" t="n">
        <v>5</v>
      </c>
      <c r="AQ547" s="26" t="n">
        <v>3</v>
      </c>
      <c r="AR547" s="26" t="n">
        <v>2</v>
      </c>
      <c r="AS547" s="26" t="n">
        <v>2</v>
      </c>
      <c r="AT547" s="26"/>
      <c r="AU547" s="26" t="n">
        <v>2</v>
      </c>
      <c r="AV547" s="26" t="n">
        <f aca="false">SUM(AL547:AU547)</f>
        <v>22</v>
      </c>
      <c r="AW547" s="32" t="n">
        <f aca="false">IFERROR(AV547/R547*1000000,"")</f>
        <v>3984.06374501992</v>
      </c>
      <c r="AX547" s="33" t="n">
        <f aca="false">IFERROR((R547-AV547)/R547,"")</f>
        <v>0.99601593625498</v>
      </c>
      <c r="AY547" s="34" t="n">
        <f aca="false">IFERROR(AH547*AJ547*AX547,"")</f>
        <v>0.85185860058309</v>
      </c>
      <c r="AZ547" s="35" t="s">
        <v>86</v>
      </c>
    </row>
    <row r="548" customFormat="false" ht="12.75" hidden="false" customHeight="true" outlineLevel="0" collapsed="false">
      <c r="A548" s="24" t="n">
        <v>544</v>
      </c>
      <c r="B548" s="25" t="n">
        <v>46204</v>
      </c>
      <c r="C548" s="25" t="n">
        <v>12</v>
      </c>
      <c r="D548" s="26" t="s">
        <v>71</v>
      </c>
      <c r="E548" s="26" t="s">
        <v>94</v>
      </c>
      <c r="F548" s="26" t="s">
        <v>81</v>
      </c>
      <c r="G548" s="26" t="s">
        <v>11</v>
      </c>
      <c r="H548" s="27" t="n">
        <v>0.354166666666667</v>
      </c>
      <c r="I548" s="27" t="n">
        <v>0.854166666666667</v>
      </c>
      <c r="J548" s="26" t="n">
        <f aca="false">IFERROR((I548-H548)*24*60,"")</f>
        <v>720</v>
      </c>
      <c r="K548" s="26" t="s">
        <v>89</v>
      </c>
      <c r="L548" s="26" t="s">
        <v>102</v>
      </c>
      <c r="M548" s="26" t="s">
        <v>95</v>
      </c>
      <c r="N548" s="26" t="s">
        <v>96</v>
      </c>
      <c r="O548" s="26" t="n">
        <v>1</v>
      </c>
      <c r="P548" s="26" t="n">
        <v>59</v>
      </c>
      <c r="Q548" s="26" t="n">
        <f aca="false">IFERROR(3600/(P548/O548),"")</f>
        <v>61.0169491525424</v>
      </c>
      <c r="R548" s="26" t="n">
        <v>559</v>
      </c>
      <c r="S548" s="26" t="n">
        <v>54</v>
      </c>
      <c r="T548" s="26" t="n">
        <f aca="false">IFERROR(J548-S548,"")</f>
        <v>666</v>
      </c>
      <c r="U548" s="26"/>
      <c r="V548" s="26" t="n">
        <v>4</v>
      </c>
      <c r="W548" s="26"/>
      <c r="X548" s="26"/>
      <c r="Y548" s="26"/>
      <c r="Z548" s="26"/>
      <c r="AA548" s="26" t="n">
        <v>4</v>
      </c>
      <c r="AB548" s="26"/>
      <c r="AC548" s="26"/>
      <c r="AD548" s="26"/>
      <c r="AE548" s="26"/>
      <c r="AF548" s="26" t="n">
        <f aca="false">SUM(U548:AE548)</f>
        <v>8</v>
      </c>
      <c r="AG548" s="26" t="n">
        <f aca="false">T548-AF548</f>
        <v>658</v>
      </c>
      <c r="AH548" s="28" t="n">
        <f aca="false">IFERROR(AG548/T548,"")</f>
        <v>0.987987987987988</v>
      </c>
      <c r="AI548" s="29" t="n">
        <f aca="false">IFERROR(R548/AG548*60,"")</f>
        <v>50.9726443768997</v>
      </c>
      <c r="AJ548" s="30" t="n">
        <f aca="false">IFERROR(AI548/Q548,"")</f>
        <v>0.835385005065856</v>
      </c>
      <c r="AK548" s="31" t="n">
        <f aca="false">IFERROR(R548/(T548/60*Q548),"")</f>
        <v>0.82535035035035</v>
      </c>
      <c r="AL548" s="26"/>
      <c r="AM548" s="26"/>
      <c r="AN548" s="26" t="n">
        <v>2</v>
      </c>
      <c r="AO548" s="26"/>
      <c r="AP548" s="26"/>
      <c r="AQ548" s="26" t="n">
        <v>3</v>
      </c>
      <c r="AR548" s="26" t="n">
        <v>1</v>
      </c>
      <c r="AS548" s="26"/>
      <c r="AT548" s="26"/>
      <c r="AU548" s="26" t="n">
        <v>2</v>
      </c>
      <c r="AV548" s="26" t="n">
        <f aca="false">SUM(AL548:AU548)</f>
        <v>8</v>
      </c>
      <c r="AW548" s="32" t="n">
        <f aca="false">IFERROR(AV548/R548*1000000,"")</f>
        <v>14311.2701252236</v>
      </c>
      <c r="AX548" s="33" t="n">
        <f aca="false">IFERROR((R548-AV548)/R548,"")</f>
        <v>0.985688729874776</v>
      </c>
      <c r="AY548" s="34" t="n">
        <f aca="false">IFERROR(AH548*AJ548*AX548,"")</f>
        <v>0.813538538538539</v>
      </c>
      <c r="AZ548" s="35"/>
    </row>
    <row r="549" customFormat="false" ht="12.75" hidden="false" customHeight="true" outlineLevel="0" collapsed="false">
      <c r="A549" s="24" t="n">
        <v>545</v>
      </c>
      <c r="B549" s="25" t="n">
        <v>46204</v>
      </c>
      <c r="C549" s="25" t="n">
        <v>12</v>
      </c>
      <c r="D549" s="26" t="s">
        <v>79</v>
      </c>
      <c r="E549" s="26" t="s">
        <v>97</v>
      </c>
      <c r="F549" s="26" t="s">
        <v>73</v>
      </c>
      <c r="G549" s="26" t="s">
        <v>12</v>
      </c>
      <c r="H549" s="27" t="n">
        <v>0.354166666666667</v>
      </c>
      <c r="I549" s="27" t="n">
        <v>0.854166666666667</v>
      </c>
      <c r="J549" s="26" t="n">
        <f aca="false">IFERROR((I549-H549)*24*60,"")</f>
        <v>720</v>
      </c>
      <c r="K549" s="26" t="s">
        <v>105</v>
      </c>
      <c r="L549" s="26" t="s">
        <v>83</v>
      </c>
      <c r="M549" s="26" t="s">
        <v>99</v>
      </c>
      <c r="N549" s="26" t="s">
        <v>100</v>
      </c>
      <c r="O549" s="26" t="n">
        <v>4</v>
      </c>
      <c r="P549" s="26" t="n">
        <v>62</v>
      </c>
      <c r="Q549" s="26" t="n">
        <f aca="false">IFERROR(3600/(P549/O549),"")</f>
        <v>232.258064516129</v>
      </c>
      <c r="R549" s="26" t="n">
        <v>1857</v>
      </c>
      <c r="S549" s="26" t="n">
        <v>46</v>
      </c>
      <c r="T549" s="26" t="n">
        <f aca="false">IFERROR(J549-S549,"")</f>
        <v>674</v>
      </c>
      <c r="U549" s="26" t="n">
        <v>8</v>
      </c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 t="n">
        <f aca="false">SUM(U549:AE549)</f>
        <v>8</v>
      </c>
      <c r="AG549" s="26" t="n">
        <f aca="false">T549-AF549</f>
        <v>666</v>
      </c>
      <c r="AH549" s="28" t="n">
        <f aca="false">IFERROR(AG549/T549,"")</f>
        <v>0.98813056379822</v>
      </c>
      <c r="AI549" s="29" t="n">
        <f aca="false">IFERROR(R549/AG549*60,"")</f>
        <v>167.297297297297</v>
      </c>
      <c r="AJ549" s="30" t="n">
        <f aca="false">IFERROR(AI549/Q549,"")</f>
        <v>0.720307807807808</v>
      </c>
      <c r="AK549" s="31" t="n">
        <f aca="false">IFERROR(R549/(T549/60*Q549),"")</f>
        <v>0.711758160237389</v>
      </c>
      <c r="AL549" s="26" t="n">
        <v>1</v>
      </c>
      <c r="AM549" s="26" t="n">
        <v>5</v>
      </c>
      <c r="AN549" s="26" t="n">
        <v>3</v>
      </c>
      <c r="AO549" s="26" t="n">
        <v>6</v>
      </c>
      <c r="AP549" s="26" t="n">
        <v>8</v>
      </c>
      <c r="AQ549" s="26" t="n">
        <v>6</v>
      </c>
      <c r="AR549" s="26" t="n">
        <v>2</v>
      </c>
      <c r="AS549" s="26" t="n">
        <v>5</v>
      </c>
      <c r="AT549" s="26" t="n">
        <v>5</v>
      </c>
      <c r="AU549" s="26" t="n">
        <v>4</v>
      </c>
      <c r="AV549" s="26" t="n">
        <f aca="false">SUM(AL549:AU549)</f>
        <v>45</v>
      </c>
      <c r="AW549" s="32" t="n">
        <f aca="false">IFERROR(AV549/R549*1000000,"")</f>
        <v>24232.633279483</v>
      </c>
      <c r="AX549" s="33" t="n">
        <f aca="false">IFERROR((R549-AV549)/R549,"")</f>
        <v>0.975767366720517</v>
      </c>
      <c r="AY549" s="34" t="n">
        <f aca="false">IFERROR(AH549*AJ549*AX549,"")</f>
        <v>0.694510385756677</v>
      </c>
      <c r="AZ549" s="35" t="s">
        <v>78</v>
      </c>
    </row>
    <row r="550" customFormat="false" ht="12.75" hidden="false" customHeight="true" outlineLevel="0" collapsed="false">
      <c r="A550" s="24" t="n">
        <v>546</v>
      </c>
      <c r="B550" s="25" t="n">
        <v>46204</v>
      </c>
      <c r="C550" s="25" t="n">
        <v>12</v>
      </c>
      <c r="D550" s="26" t="s">
        <v>87</v>
      </c>
      <c r="E550" s="26" t="s">
        <v>101</v>
      </c>
      <c r="F550" s="26" t="s">
        <v>81</v>
      </c>
      <c r="G550" s="26" t="s">
        <v>13</v>
      </c>
      <c r="H550" s="27" t="n">
        <v>0.354166666666667</v>
      </c>
      <c r="I550" s="27" t="n">
        <v>0.854166666666667</v>
      </c>
      <c r="J550" s="26" t="n">
        <f aca="false">IFERROR((I550-H550)*24*60,"")</f>
        <v>720</v>
      </c>
      <c r="K550" s="26" t="s">
        <v>82</v>
      </c>
      <c r="L550" s="26" t="s">
        <v>102</v>
      </c>
      <c r="M550" s="26" t="s">
        <v>103</v>
      </c>
      <c r="N550" s="26" t="s">
        <v>104</v>
      </c>
      <c r="O550" s="26" t="n">
        <v>4</v>
      </c>
      <c r="P550" s="26" t="n">
        <v>42</v>
      </c>
      <c r="Q550" s="26" t="n">
        <f aca="false">IFERROR(3600/(P550/O550),"")</f>
        <v>342.857142857143</v>
      </c>
      <c r="R550" s="26" t="n">
        <v>3023</v>
      </c>
      <c r="S550" s="26" t="n">
        <v>48</v>
      </c>
      <c r="T550" s="26" t="n">
        <f aca="false">IFERROR(J550-S550,"")</f>
        <v>672</v>
      </c>
      <c r="U550" s="26"/>
      <c r="V550" s="26" t="n">
        <v>3</v>
      </c>
      <c r="W550" s="26"/>
      <c r="X550" s="26"/>
      <c r="Y550" s="26"/>
      <c r="Z550" s="26"/>
      <c r="AA550" s="26" t="n">
        <v>5</v>
      </c>
      <c r="AB550" s="26"/>
      <c r="AC550" s="26"/>
      <c r="AD550" s="26"/>
      <c r="AE550" s="26"/>
      <c r="AF550" s="26" t="n">
        <f aca="false">SUM(U550:AE550)</f>
        <v>8</v>
      </c>
      <c r="AG550" s="26" t="n">
        <f aca="false">T550-AF550</f>
        <v>664</v>
      </c>
      <c r="AH550" s="28" t="n">
        <f aca="false">IFERROR(AG550/T550,"")</f>
        <v>0.988095238095238</v>
      </c>
      <c r="AI550" s="29" t="n">
        <f aca="false">IFERROR(R550/AG550*60,"")</f>
        <v>273.16265060241</v>
      </c>
      <c r="AJ550" s="30" t="n">
        <f aca="false">IFERROR(AI550/Q550,"")</f>
        <v>0.796724397590362</v>
      </c>
      <c r="AK550" s="31" t="n">
        <f aca="false">IFERROR(R550/(T550/60*Q550),"")</f>
        <v>0.787239583333333</v>
      </c>
      <c r="AL550" s="26" t="n">
        <v>5</v>
      </c>
      <c r="AM550" s="26" t="n">
        <v>8</v>
      </c>
      <c r="AN550" s="26" t="n">
        <v>2</v>
      </c>
      <c r="AO550" s="26" t="n">
        <v>3</v>
      </c>
      <c r="AP550" s="26" t="n">
        <v>3</v>
      </c>
      <c r="AQ550" s="26" t="n">
        <v>3</v>
      </c>
      <c r="AR550" s="26" t="n">
        <v>4</v>
      </c>
      <c r="AS550" s="26" t="n">
        <v>4</v>
      </c>
      <c r="AT550" s="26" t="n">
        <v>7</v>
      </c>
      <c r="AU550" s="26" t="n">
        <v>2</v>
      </c>
      <c r="AV550" s="26" t="n">
        <f aca="false">SUM(AL550:AU550)</f>
        <v>41</v>
      </c>
      <c r="AW550" s="32" t="n">
        <f aca="false">IFERROR(AV550/R550*1000000,"")</f>
        <v>13562.686073437</v>
      </c>
      <c r="AX550" s="33" t="n">
        <f aca="false">IFERROR((R550-AV550)/R550,"")</f>
        <v>0.986437313926563</v>
      </c>
      <c r="AY550" s="34" t="n">
        <f aca="false">IFERROR(AH550*AJ550*AX550,"")</f>
        <v>0.7765625</v>
      </c>
      <c r="AZ550" s="35" t="s">
        <v>78</v>
      </c>
    </row>
    <row r="551" customFormat="false" ht="12.75" hidden="false" customHeight="true" outlineLevel="0" collapsed="false">
      <c r="A551" s="24" t="n">
        <v>547</v>
      </c>
      <c r="B551" s="25" t="n">
        <v>46205</v>
      </c>
      <c r="C551" s="25" t="n">
        <v>12</v>
      </c>
      <c r="D551" s="26" t="s">
        <v>71</v>
      </c>
      <c r="E551" s="26" t="s">
        <v>72</v>
      </c>
      <c r="F551" s="26" t="s">
        <v>73</v>
      </c>
      <c r="G551" s="26" t="s">
        <v>8</v>
      </c>
      <c r="H551" s="27" t="n">
        <v>0.354166666666667</v>
      </c>
      <c r="I551" s="27" t="n">
        <v>0.854166666666667</v>
      </c>
      <c r="J551" s="26" t="n">
        <f aca="false">IFERROR((I551-H551)*24*60,"")</f>
        <v>720</v>
      </c>
      <c r="K551" s="26" t="s">
        <v>89</v>
      </c>
      <c r="L551" s="26" t="s">
        <v>102</v>
      </c>
      <c r="M551" s="26" t="s">
        <v>76</v>
      </c>
      <c r="N551" s="26" t="s">
        <v>77</v>
      </c>
      <c r="O551" s="26" t="n">
        <v>1</v>
      </c>
      <c r="P551" s="26" t="n">
        <v>33</v>
      </c>
      <c r="Q551" s="26" t="n">
        <f aca="false">IFERROR(3600/(P551/O551),"")</f>
        <v>109.090909090909</v>
      </c>
      <c r="R551" s="26" t="n">
        <v>1067</v>
      </c>
      <c r="S551" s="26" t="n">
        <v>56</v>
      </c>
      <c r="T551" s="26" t="n">
        <f aca="false">IFERROR(J551-S551,"")</f>
        <v>664</v>
      </c>
      <c r="U551" s="26"/>
      <c r="V551" s="26" t="n">
        <v>32</v>
      </c>
      <c r="W551" s="26"/>
      <c r="X551" s="26" t="n">
        <v>15</v>
      </c>
      <c r="Y551" s="26"/>
      <c r="Z551" s="26" t="n">
        <v>33</v>
      </c>
      <c r="AA551" s="26"/>
      <c r="AB551" s="26"/>
      <c r="AC551" s="26"/>
      <c r="AD551" s="26"/>
      <c r="AE551" s="26"/>
      <c r="AF551" s="26" t="n">
        <f aca="false">SUM(U551:AE551)</f>
        <v>80</v>
      </c>
      <c r="AG551" s="26" t="n">
        <f aca="false">T551-AF551</f>
        <v>584</v>
      </c>
      <c r="AH551" s="28" t="n">
        <f aca="false">IFERROR(AG551/T551,"")</f>
        <v>0.879518072289157</v>
      </c>
      <c r="AI551" s="29" t="n">
        <f aca="false">IFERROR(R551/AG551*60,"")</f>
        <v>109.623287671233</v>
      </c>
      <c r="AJ551" s="30" t="n">
        <f aca="false">IFERROR(AI551/Q551,"")</f>
        <v>1.0048801369863</v>
      </c>
      <c r="AK551" s="31" t="n">
        <f aca="false">IFERROR(R551/(T551/60*Q551),"")</f>
        <v>0.883810240963855</v>
      </c>
      <c r="AL551" s="26" t="n">
        <v>6</v>
      </c>
      <c r="AM551" s="26" t="n">
        <v>2</v>
      </c>
      <c r="AN551" s="26" t="n">
        <v>6</v>
      </c>
      <c r="AO551" s="26" t="n">
        <v>2</v>
      </c>
      <c r="AP551" s="26" t="n">
        <v>2</v>
      </c>
      <c r="AQ551" s="26" t="n">
        <v>3</v>
      </c>
      <c r="AR551" s="26" t="n">
        <v>3</v>
      </c>
      <c r="AS551" s="26"/>
      <c r="AT551" s="26" t="n">
        <v>1</v>
      </c>
      <c r="AU551" s="26"/>
      <c r="AV551" s="26" t="n">
        <f aca="false">SUM(AL551:AU551)</f>
        <v>25</v>
      </c>
      <c r="AW551" s="32" t="n">
        <f aca="false">IFERROR(AV551/R551*1000000,"")</f>
        <v>23430.1780693533</v>
      </c>
      <c r="AX551" s="33" t="n">
        <f aca="false">IFERROR((R551-AV551)/R551,"")</f>
        <v>0.976569821930647</v>
      </c>
      <c r="AY551" s="34" t="n">
        <f aca="false">IFERROR(AH551*AJ551*AX551,"")</f>
        <v>0.863102409638554</v>
      </c>
      <c r="AZ551" s="35" t="s">
        <v>78</v>
      </c>
    </row>
    <row r="552" customFormat="false" ht="12.75" hidden="false" customHeight="true" outlineLevel="0" collapsed="false">
      <c r="A552" s="24" t="n">
        <v>548</v>
      </c>
      <c r="B552" s="25" t="n">
        <v>46205</v>
      </c>
      <c r="C552" s="25" t="n">
        <v>12</v>
      </c>
      <c r="D552" s="26" t="s">
        <v>79</v>
      </c>
      <c r="E552" s="26" t="s">
        <v>80</v>
      </c>
      <c r="F552" s="26" t="s">
        <v>81</v>
      </c>
      <c r="G552" s="26" t="s">
        <v>9</v>
      </c>
      <c r="H552" s="27" t="n">
        <v>0.354166666666667</v>
      </c>
      <c r="I552" s="27" t="n">
        <v>0.854166666666667</v>
      </c>
      <c r="J552" s="26" t="n">
        <f aca="false">IFERROR((I552-H552)*24*60,"")</f>
        <v>720</v>
      </c>
      <c r="K552" s="26" t="s">
        <v>105</v>
      </c>
      <c r="L552" s="26" t="s">
        <v>106</v>
      </c>
      <c r="M552" s="26" t="s">
        <v>84</v>
      </c>
      <c r="N552" s="26" t="s">
        <v>85</v>
      </c>
      <c r="O552" s="26" t="n">
        <v>1</v>
      </c>
      <c r="P552" s="26" t="n">
        <v>40</v>
      </c>
      <c r="Q552" s="26" t="n">
        <f aca="false">IFERROR(3600/(P552/O552),"")</f>
        <v>90</v>
      </c>
      <c r="R552" s="26" t="n">
        <v>785</v>
      </c>
      <c r="S552" s="26" t="n">
        <v>36</v>
      </c>
      <c r="T552" s="26" t="n">
        <f aca="false">IFERROR(J552-S552,"")</f>
        <v>684</v>
      </c>
      <c r="U552" s="26"/>
      <c r="V552" s="26" t="n">
        <v>3</v>
      </c>
      <c r="W552" s="26" t="n">
        <v>21</v>
      </c>
      <c r="X552" s="26"/>
      <c r="Y552" s="26"/>
      <c r="Z552" s="26"/>
      <c r="AA552" s="26" t="n">
        <v>26</v>
      </c>
      <c r="AB552" s="26"/>
      <c r="AC552" s="26"/>
      <c r="AD552" s="26"/>
      <c r="AE552" s="26"/>
      <c r="AF552" s="26" t="n">
        <f aca="false">SUM(U552:AE552)</f>
        <v>50</v>
      </c>
      <c r="AG552" s="26" t="n">
        <f aca="false">T552-AF552</f>
        <v>634</v>
      </c>
      <c r="AH552" s="28" t="n">
        <f aca="false">IFERROR(AG552/T552,"")</f>
        <v>0.926900584795322</v>
      </c>
      <c r="AI552" s="29" t="n">
        <f aca="false">IFERROR(R552/AG552*60,"")</f>
        <v>74.2902208201893</v>
      </c>
      <c r="AJ552" s="30" t="n">
        <f aca="false">IFERROR(AI552/Q552,"")</f>
        <v>0.825446898002103</v>
      </c>
      <c r="AK552" s="31" t="n">
        <f aca="false">IFERROR(R552/(T552/60*Q552),"")</f>
        <v>0.765107212475634</v>
      </c>
      <c r="AL552" s="26" t="n">
        <v>1</v>
      </c>
      <c r="AM552" s="26"/>
      <c r="AN552" s="26" t="n">
        <v>4</v>
      </c>
      <c r="AO552" s="26" t="n">
        <v>2</v>
      </c>
      <c r="AP552" s="26" t="n">
        <v>1</v>
      </c>
      <c r="AQ552" s="26"/>
      <c r="AR552" s="26"/>
      <c r="AS552" s="26"/>
      <c r="AT552" s="26" t="n">
        <v>1</v>
      </c>
      <c r="AU552" s="26"/>
      <c r="AV552" s="26" t="n">
        <f aca="false">SUM(AL552:AU552)</f>
        <v>9</v>
      </c>
      <c r="AW552" s="32" t="n">
        <f aca="false">IFERROR(AV552/R552*1000000,"")</f>
        <v>11464.9681528662</v>
      </c>
      <c r="AX552" s="33" t="n">
        <f aca="false">IFERROR((R552-AV552)/R552,"")</f>
        <v>0.988535031847134</v>
      </c>
      <c r="AY552" s="34" t="n">
        <f aca="false">IFERROR(AH552*AJ552*AX552,"")</f>
        <v>0.756335282651072</v>
      </c>
      <c r="AZ552" s="35" t="s">
        <v>86</v>
      </c>
    </row>
    <row r="553" customFormat="false" ht="12.75" hidden="false" customHeight="true" outlineLevel="0" collapsed="false">
      <c r="A553" s="24" t="n">
        <v>549</v>
      </c>
      <c r="B553" s="25" t="n">
        <v>46205</v>
      </c>
      <c r="C553" s="25" t="n">
        <v>12</v>
      </c>
      <c r="D553" s="26" t="s">
        <v>87</v>
      </c>
      <c r="E553" s="26" t="s">
        <v>88</v>
      </c>
      <c r="F553" s="26" t="s">
        <v>73</v>
      </c>
      <c r="G553" s="26" t="s">
        <v>10</v>
      </c>
      <c r="H553" s="27" t="n">
        <v>0.354166666666667</v>
      </c>
      <c r="I553" s="27" t="n">
        <v>0.854166666666667</v>
      </c>
      <c r="J553" s="26" t="n">
        <f aca="false">IFERROR((I553-H553)*24*60,"")</f>
        <v>720</v>
      </c>
      <c r="K553" s="26" t="s">
        <v>105</v>
      </c>
      <c r="L553" s="26" t="s">
        <v>75</v>
      </c>
      <c r="M553" s="26" t="s">
        <v>91</v>
      </c>
      <c r="N553" s="26" t="s">
        <v>92</v>
      </c>
      <c r="O553" s="26" t="n">
        <v>2</v>
      </c>
      <c r="P553" s="26" t="n">
        <v>66</v>
      </c>
      <c r="Q553" s="26" t="n">
        <f aca="false">IFERROR(3600/(P553/O553),"")</f>
        <v>109.090909090909</v>
      </c>
      <c r="R553" s="26" t="n">
        <v>887</v>
      </c>
      <c r="S553" s="26" t="n">
        <v>67</v>
      </c>
      <c r="T553" s="26" t="n">
        <f aca="false">IFERROR(J553-S553,"")</f>
        <v>653</v>
      </c>
      <c r="U553" s="26" t="n">
        <v>8</v>
      </c>
      <c r="V553" s="26"/>
      <c r="W553" s="26" t="n">
        <v>9</v>
      </c>
      <c r="X553" s="26"/>
      <c r="Y553" s="26"/>
      <c r="Z553" s="26"/>
      <c r="AA553" s="26"/>
      <c r="AB553" s="26"/>
      <c r="AC553" s="26"/>
      <c r="AD553" s="26"/>
      <c r="AE553" s="26"/>
      <c r="AF553" s="26" t="n">
        <f aca="false">SUM(U553:AE553)</f>
        <v>17</v>
      </c>
      <c r="AG553" s="26" t="n">
        <f aca="false">T553-AF553</f>
        <v>636</v>
      </c>
      <c r="AH553" s="28" t="n">
        <f aca="false">IFERROR(AG553/T553,"")</f>
        <v>0.973966309341501</v>
      </c>
      <c r="AI553" s="29" t="n">
        <f aca="false">IFERROR(R553/AG553*60,"")</f>
        <v>83.6792452830189</v>
      </c>
      <c r="AJ553" s="30" t="n">
        <f aca="false">IFERROR(AI553/Q553,"")</f>
        <v>0.767059748427673</v>
      </c>
      <c r="AK553" s="31" t="n">
        <f aca="false">IFERROR(R553/(T553/60*Q553),"")</f>
        <v>0.747090352220521</v>
      </c>
      <c r="AL553" s="26" t="n">
        <v>1</v>
      </c>
      <c r="AM553" s="26" t="n">
        <v>1</v>
      </c>
      <c r="AN553" s="26"/>
      <c r="AO553" s="26"/>
      <c r="AP553" s="26"/>
      <c r="AQ553" s="26"/>
      <c r="AR553" s="26"/>
      <c r="AS553" s="26"/>
      <c r="AT553" s="26"/>
      <c r="AU553" s="26" t="n">
        <v>1</v>
      </c>
      <c r="AV553" s="26" t="n">
        <f aca="false">SUM(AL553:AU553)</f>
        <v>3</v>
      </c>
      <c r="AW553" s="32" t="n">
        <f aca="false">IFERROR(AV553/R553*1000000,"")</f>
        <v>3382.18714768884</v>
      </c>
      <c r="AX553" s="33" t="n">
        <f aca="false">IFERROR((R553-AV553)/R553,"")</f>
        <v>0.996617812852311</v>
      </c>
      <c r="AY553" s="34" t="n">
        <f aca="false">IFERROR(AH553*AJ553*AX553,"")</f>
        <v>0.744563552833078</v>
      </c>
      <c r="AZ553" s="35" t="s">
        <v>93</v>
      </c>
    </row>
    <row r="554" customFormat="false" ht="12.75" hidden="false" customHeight="true" outlineLevel="0" collapsed="false">
      <c r="A554" s="24" t="n">
        <v>550</v>
      </c>
      <c r="B554" s="25" t="n">
        <v>46206</v>
      </c>
      <c r="C554" s="25" t="n">
        <v>12</v>
      </c>
      <c r="D554" s="26" t="s">
        <v>71</v>
      </c>
      <c r="E554" s="26" t="s">
        <v>94</v>
      </c>
      <c r="F554" s="26" t="s">
        <v>81</v>
      </c>
      <c r="G554" s="26" t="s">
        <v>11</v>
      </c>
      <c r="H554" s="27" t="n">
        <v>0.354166666666667</v>
      </c>
      <c r="I554" s="27" t="n">
        <v>0.854166666666667</v>
      </c>
      <c r="J554" s="26" t="n">
        <f aca="false">IFERROR((I554-H554)*24*60,"")</f>
        <v>720</v>
      </c>
      <c r="K554" s="26" t="s">
        <v>89</v>
      </c>
      <c r="L554" s="26" t="s">
        <v>98</v>
      </c>
      <c r="M554" s="26" t="s">
        <v>95</v>
      </c>
      <c r="N554" s="26" t="s">
        <v>96</v>
      </c>
      <c r="O554" s="26" t="n">
        <v>2</v>
      </c>
      <c r="P554" s="26" t="n">
        <v>38</v>
      </c>
      <c r="Q554" s="26" t="n">
        <f aca="false">IFERROR(3600/(P554/O554),"")</f>
        <v>189.473684210526</v>
      </c>
      <c r="R554" s="26" t="n">
        <v>1744</v>
      </c>
      <c r="S554" s="26" t="n">
        <v>64</v>
      </c>
      <c r="T554" s="26" t="n">
        <f aca="false">IFERROR(J554-S554,"")</f>
        <v>656</v>
      </c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 t="n">
        <v>10</v>
      </c>
      <c r="AF554" s="26" t="n">
        <f aca="false">SUM(U554:AE554)</f>
        <v>10</v>
      </c>
      <c r="AG554" s="26" t="n">
        <f aca="false">T554-AF554</f>
        <v>646</v>
      </c>
      <c r="AH554" s="28" t="n">
        <f aca="false">IFERROR(AG554/T554,"")</f>
        <v>0.984756097560976</v>
      </c>
      <c r="AI554" s="29" t="n">
        <f aca="false">IFERROR(R554/AG554*60,"")</f>
        <v>161.981424148607</v>
      </c>
      <c r="AJ554" s="30" t="n">
        <f aca="false">IFERROR(AI554/Q554,"")</f>
        <v>0.854901960784314</v>
      </c>
      <c r="AK554" s="31" t="n">
        <f aca="false">IFERROR(R554/(T554/60*Q554),"")</f>
        <v>0.841869918699187</v>
      </c>
      <c r="AL554" s="26"/>
      <c r="AM554" s="26" t="n">
        <v>1</v>
      </c>
      <c r="AN554" s="26" t="n">
        <v>2</v>
      </c>
      <c r="AO554" s="26" t="n">
        <v>2</v>
      </c>
      <c r="AP554" s="26" t="n">
        <v>1</v>
      </c>
      <c r="AQ554" s="26" t="n">
        <v>1</v>
      </c>
      <c r="AR554" s="26" t="n">
        <v>1</v>
      </c>
      <c r="AS554" s="26"/>
      <c r="AT554" s="26" t="n">
        <v>1</v>
      </c>
      <c r="AU554" s="26" t="n">
        <v>1</v>
      </c>
      <c r="AV554" s="26" t="n">
        <f aca="false">SUM(AL554:AU554)</f>
        <v>10</v>
      </c>
      <c r="AW554" s="32" t="n">
        <f aca="false">IFERROR(AV554/R554*1000000,"")</f>
        <v>5733.94495412844</v>
      </c>
      <c r="AX554" s="33" t="n">
        <f aca="false">IFERROR((R554-AV554)/R554,"")</f>
        <v>0.994266055045872</v>
      </c>
      <c r="AY554" s="34" t="n">
        <f aca="false">IFERROR(AH554*AJ554*AX554,"")</f>
        <v>0.837042682926829</v>
      </c>
      <c r="AZ554" s="35" t="s">
        <v>93</v>
      </c>
    </row>
    <row r="555" customFormat="false" ht="12.75" hidden="false" customHeight="true" outlineLevel="0" collapsed="false">
      <c r="A555" s="24" t="n">
        <v>551</v>
      </c>
      <c r="B555" s="25" t="n">
        <v>46206</v>
      </c>
      <c r="C555" s="25" t="n">
        <v>12</v>
      </c>
      <c r="D555" s="26" t="s">
        <v>79</v>
      </c>
      <c r="E555" s="26" t="s">
        <v>97</v>
      </c>
      <c r="F555" s="26" t="s">
        <v>73</v>
      </c>
      <c r="G555" s="26" t="s">
        <v>12</v>
      </c>
      <c r="H555" s="27" t="n">
        <v>0.354166666666667</v>
      </c>
      <c r="I555" s="27" t="n">
        <v>0.854166666666667</v>
      </c>
      <c r="J555" s="26" t="n">
        <f aca="false">IFERROR((I555-H555)*24*60,"")</f>
        <v>720</v>
      </c>
      <c r="K555" s="26" t="s">
        <v>89</v>
      </c>
      <c r="L555" s="26" t="s">
        <v>83</v>
      </c>
      <c r="M555" s="26" t="s">
        <v>99</v>
      </c>
      <c r="N555" s="26" t="s">
        <v>100</v>
      </c>
      <c r="O555" s="26" t="n">
        <v>4</v>
      </c>
      <c r="P555" s="26" t="n">
        <v>35</v>
      </c>
      <c r="Q555" s="26" t="n">
        <f aca="false">IFERROR(3600/(P555/O555),"")</f>
        <v>411.428571428571</v>
      </c>
      <c r="R555" s="26" t="n">
        <v>3915</v>
      </c>
      <c r="S555" s="26" t="n">
        <v>38</v>
      </c>
      <c r="T555" s="26" t="n">
        <f aca="false">IFERROR(J555-S555,"")</f>
        <v>682</v>
      </c>
      <c r="U555" s="26"/>
      <c r="V555" s="26"/>
      <c r="W555" s="26"/>
      <c r="X555" s="26"/>
      <c r="Y555" s="26"/>
      <c r="Z555" s="26"/>
      <c r="AA555" s="26" t="n">
        <v>10</v>
      </c>
      <c r="AB555" s="26"/>
      <c r="AC555" s="26"/>
      <c r="AD555" s="26" t="n">
        <v>12</v>
      </c>
      <c r="AE555" s="26"/>
      <c r="AF555" s="26" t="n">
        <f aca="false">SUM(U555:AE555)</f>
        <v>22</v>
      </c>
      <c r="AG555" s="26" t="n">
        <f aca="false">T555-AF555</f>
        <v>660</v>
      </c>
      <c r="AH555" s="28" t="n">
        <f aca="false">IFERROR(AG555/T555,"")</f>
        <v>0.967741935483871</v>
      </c>
      <c r="AI555" s="29" t="n">
        <f aca="false">IFERROR(R555/AG555*60,"")</f>
        <v>355.909090909091</v>
      </c>
      <c r="AJ555" s="30" t="n">
        <f aca="false">IFERROR(AI555/Q555,"")</f>
        <v>0.865056818181818</v>
      </c>
      <c r="AK555" s="31" t="n">
        <f aca="false">IFERROR(R555/(T555/60*Q555),"")</f>
        <v>0.837151759530792</v>
      </c>
      <c r="AL555" s="26" t="n">
        <v>2</v>
      </c>
      <c r="AM555" s="26" t="n">
        <v>3</v>
      </c>
      <c r="AN555" s="26" t="n">
        <v>8</v>
      </c>
      <c r="AO555" s="26" t="n">
        <v>11</v>
      </c>
      <c r="AP555" s="26" t="n">
        <v>9</v>
      </c>
      <c r="AQ555" s="26" t="n">
        <v>12</v>
      </c>
      <c r="AR555" s="26" t="n">
        <v>14</v>
      </c>
      <c r="AS555" s="26" t="n">
        <v>6</v>
      </c>
      <c r="AT555" s="26" t="n">
        <v>5</v>
      </c>
      <c r="AU555" s="26" t="n">
        <v>9</v>
      </c>
      <c r="AV555" s="26" t="n">
        <f aca="false">SUM(AL555:AU555)</f>
        <v>79</v>
      </c>
      <c r="AW555" s="32" t="n">
        <f aca="false">IFERROR(AV555/R555*1000000,"")</f>
        <v>20178.7994891443</v>
      </c>
      <c r="AX555" s="33" t="n">
        <f aca="false">IFERROR((R555-AV555)/R555,"")</f>
        <v>0.979821200510856</v>
      </c>
      <c r="AY555" s="34" t="n">
        <f aca="false">IFERROR(AH555*AJ555*AX555,"")</f>
        <v>0.820259042033236</v>
      </c>
      <c r="AZ555" s="35" t="s">
        <v>93</v>
      </c>
    </row>
    <row r="556" customFormat="false" ht="12.75" hidden="false" customHeight="true" outlineLevel="0" collapsed="false">
      <c r="A556" s="24" t="n">
        <v>552</v>
      </c>
      <c r="B556" s="25" t="n">
        <v>46206</v>
      </c>
      <c r="C556" s="25" t="n">
        <v>12</v>
      </c>
      <c r="D556" s="26" t="s">
        <v>87</v>
      </c>
      <c r="E556" s="26" t="s">
        <v>101</v>
      </c>
      <c r="F556" s="26" t="s">
        <v>81</v>
      </c>
      <c r="G556" s="26" t="s">
        <v>13</v>
      </c>
      <c r="H556" s="27" t="n">
        <v>0.354166666666667</v>
      </c>
      <c r="I556" s="27" t="n">
        <v>0.854166666666667</v>
      </c>
      <c r="J556" s="26" t="n">
        <f aca="false">IFERROR((I556-H556)*24*60,"")</f>
        <v>720</v>
      </c>
      <c r="K556" s="26" t="s">
        <v>82</v>
      </c>
      <c r="L556" s="26" t="s">
        <v>75</v>
      </c>
      <c r="M556" s="26" t="s">
        <v>103</v>
      </c>
      <c r="N556" s="26" t="s">
        <v>104</v>
      </c>
      <c r="O556" s="26" t="n">
        <v>8</v>
      </c>
      <c r="P556" s="26" t="n">
        <v>29</v>
      </c>
      <c r="Q556" s="26" t="n">
        <f aca="false">IFERROR(3600/(P556/O556),"")</f>
        <v>993.103448275862</v>
      </c>
      <c r="R556" s="26" t="n">
        <v>8059</v>
      </c>
      <c r="S556" s="26" t="n">
        <v>36</v>
      </c>
      <c r="T556" s="26" t="n">
        <f aca="false">IFERROR(J556-S556,"")</f>
        <v>684</v>
      </c>
      <c r="U556" s="26"/>
      <c r="V556" s="26"/>
      <c r="W556" s="26"/>
      <c r="X556" s="26"/>
      <c r="Y556" s="26"/>
      <c r="Z556" s="26"/>
      <c r="AA556" s="26" t="n">
        <v>23</v>
      </c>
      <c r="AB556" s="26"/>
      <c r="AC556" s="26"/>
      <c r="AD556" s="26"/>
      <c r="AE556" s="26" t="n">
        <v>6</v>
      </c>
      <c r="AF556" s="26" t="n">
        <f aca="false">SUM(U556:AE556)</f>
        <v>29</v>
      </c>
      <c r="AG556" s="26" t="n">
        <f aca="false">T556-AF556</f>
        <v>655</v>
      </c>
      <c r="AH556" s="28" t="n">
        <f aca="false">IFERROR(AG556/T556,"")</f>
        <v>0.957602339181287</v>
      </c>
      <c r="AI556" s="29" t="n">
        <f aca="false">IFERROR(R556/AG556*60,"")</f>
        <v>738.229007633588</v>
      </c>
      <c r="AJ556" s="30" t="n">
        <f aca="false">IFERROR(AI556/Q556,"")</f>
        <v>0.743355597964377</v>
      </c>
      <c r="AK556" s="31" t="n">
        <f aca="false">IFERROR(R556/(T556/60*Q556),"")</f>
        <v>0.711839059454191</v>
      </c>
      <c r="AL556" s="26" t="n">
        <v>8</v>
      </c>
      <c r="AM556" s="26" t="n">
        <v>13</v>
      </c>
      <c r="AN556" s="26" t="n">
        <v>10</v>
      </c>
      <c r="AO556" s="26" t="n">
        <v>15</v>
      </c>
      <c r="AP556" s="26" t="n">
        <v>12</v>
      </c>
      <c r="AQ556" s="26" t="n">
        <v>5</v>
      </c>
      <c r="AR556" s="26" t="n">
        <v>18</v>
      </c>
      <c r="AS556" s="26" t="n">
        <v>10</v>
      </c>
      <c r="AT556" s="26" t="n">
        <v>11</v>
      </c>
      <c r="AU556" s="26" t="n">
        <v>15</v>
      </c>
      <c r="AV556" s="26" t="n">
        <f aca="false">SUM(AL556:AU556)</f>
        <v>117</v>
      </c>
      <c r="AW556" s="32" t="n">
        <f aca="false">IFERROR(AV556/R556*1000000,"")</f>
        <v>14517.9302643008</v>
      </c>
      <c r="AX556" s="33" t="n">
        <f aca="false">IFERROR((R556-AV556)/R556,"")</f>
        <v>0.985482069735699</v>
      </c>
      <c r="AY556" s="34" t="n">
        <f aca="false">IFERROR(AH556*AJ556*AX556,"")</f>
        <v>0.70150462962963</v>
      </c>
      <c r="AZ556" s="35" t="s">
        <v>78</v>
      </c>
    </row>
    <row r="557" customFormat="false" ht="12.75" hidden="false" customHeight="true" outlineLevel="0" collapsed="false">
      <c r="A557" s="24" t="n">
        <v>553</v>
      </c>
      <c r="B557" s="25" t="n">
        <v>46207</v>
      </c>
      <c r="C557" s="25" t="n">
        <v>12</v>
      </c>
      <c r="D557" s="26" t="s">
        <v>71</v>
      </c>
      <c r="E557" s="26" t="s">
        <v>72</v>
      </c>
      <c r="F557" s="26" t="s">
        <v>73</v>
      </c>
      <c r="G557" s="26" t="s">
        <v>8</v>
      </c>
      <c r="H557" s="27" t="n">
        <v>0.354166666666667</v>
      </c>
      <c r="I557" s="27" t="n">
        <v>0.854166666666667</v>
      </c>
      <c r="J557" s="26" t="n">
        <f aca="false">IFERROR((I557-H557)*24*60,"")</f>
        <v>720</v>
      </c>
      <c r="K557" s="26" t="s">
        <v>105</v>
      </c>
      <c r="L557" s="26" t="s">
        <v>75</v>
      </c>
      <c r="M557" s="26" t="s">
        <v>76</v>
      </c>
      <c r="N557" s="26" t="s">
        <v>77</v>
      </c>
      <c r="O557" s="26" t="n">
        <v>8</v>
      </c>
      <c r="P557" s="26" t="n">
        <v>30</v>
      </c>
      <c r="Q557" s="26" t="n">
        <f aca="false">IFERROR(3600/(P557/O557),"")</f>
        <v>960</v>
      </c>
      <c r="R557" s="26" t="n">
        <v>8257</v>
      </c>
      <c r="S557" s="26" t="n">
        <v>32</v>
      </c>
      <c r="T557" s="26" t="n">
        <f aca="false">IFERROR(J557-S557,"")</f>
        <v>688</v>
      </c>
      <c r="U557" s="26"/>
      <c r="V557" s="26" t="n">
        <v>3</v>
      </c>
      <c r="W557" s="26"/>
      <c r="X557" s="26" t="n">
        <v>9</v>
      </c>
      <c r="Y557" s="26"/>
      <c r="Z557" s="26"/>
      <c r="AA557" s="26"/>
      <c r="AB557" s="26"/>
      <c r="AC557" s="26"/>
      <c r="AD557" s="26" t="n">
        <v>11</v>
      </c>
      <c r="AE557" s="26"/>
      <c r="AF557" s="26" t="n">
        <f aca="false">SUM(U557:AE557)</f>
        <v>23</v>
      </c>
      <c r="AG557" s="26" t="n">
        <f aca="false">T557-AF557</f>
        <v>665</v>
      </c>
      <c r="AH557" s="28" t="n">
        <f aca="false">IFERROR(AG557/T557,"")</f>
        <v>0.966569767441861</v>
      </c>
      <c r="AI557" s="29" t="n">
        <f aca="false">IFERROR(R557/AG557*60,"")</f>
        <v>744.992481203008</v>
      </c>
      <c r="AJ557" s="30" t="n">
        <f aca="false">IFERROR(AI557/Q557,"")</f>
        <v>0.776033834586466</v>
      </c>
      <c r="AK557" s="31" t="n">
        <f aca="false">IFERROR(R557/(T557/60*Q557),"")</f>
        <v>0.750090843023256</v>
      </c>
      <c r="AL557" s="26" t="n">
        <v>15</v>
      </c>
      <c r="AM557" s="26" t="n">
        <v>23</v>
      </c>
      <c r="AN557" s="26" t="n">
        <v>9</v>
      </c>
      <c r="AO557" s="26" t="n">
        <v>14</v>
      </c>
      <c r="AP557" s="26" t="n">
        <v>17</v>
      </c>
      <c r="AQ557" s="26" t="n">
        <v>5</v>
      </c>
      <c r="AR557" s="26" t="n">
        <v>11</v>
      </c>
      <c r="AS557" s="26" t="n">
        <v>12</v>
      </c>
      <c r="AT557" s="26" t="n">
        <v>13</v>
      </c>
      <c r="AU557" s="26" t="n">
        <v>11</v>
      </c>
      <c r="AV557" s="26" t="n">
        <f aca="false">SUM(AL557:AU557)</f>
        <v>130</v>
      </c>
      <c r="AW557" s="32" t="n">
        <f aca="false">IFERROR(AV557/R557*1000000,"")</f>
        <v>15744.2170279763</v>
      </c>
      <c r="AX557" s="33" t="n">
        <f aca="false">IFERROR((R557-AV557)/R557,"")</f>
        <v>0.984255782972024</v>
      </c>
      <c r="AY557" s="34" t="n">
        <f aca="false">IFERROR(AH557*AJ557*AX557,"")</f>
        <v>0.73828125</v>
      </c>
      <c r="AZ557" s="35" t="s">
        <v>78</v>
      </c>
    </row>
    <row r="558" customFormat="false" ht="12.75" hidden="false" customHeight="true" outlineLevel="0" collapsed="false">
      <c r="A558" s="24" t="n">
        <v>554</v>
      </c>
      <c r="B558" s="25" t="n">
        <v>46207</v>
      </c>
      <c r="C558" s="25" t="n">
        <v>12</v>
      </c>
      <c r="D558" s="26" t="s">
        <v>79</v>
      </c>
      <c r="E558" s="26" t="s">
        <v>80</v>
      </c>
      <c r="F558" s="26" t="s">
        <v>81</v>
      </c>
      <c r="G558" s="26" t="s">
        <v>9</v>
      </c>
      <c r="H558" s="27" t="n">
        <v>0.354166666666667</v>
      </c>
      <c r="I558" s="27" t="n">
        <v>0.854166666666667</v>
      </c>
      <c r="J558" s="26" t="n">
        <f aca="false">IFERROR((I558-H558)*24*60,"")</f>
        <v>720</v>
      </c>
      <c r="K558" s="26" t="s">
        <v>89</v>
      </c>
      <c r="L558" s="26" t="s">
        <v>98</v>
      </c>
      <c r="M558" s="26" t="s">
        <v>84</v>
      </c>
      <c r="N558" s="26" t="s">
        <v>85</v>
      </c>
      <c r="O558" s="26" t="n">
        <v>4</v>
      </c>
      <c r="P558" s="26" t="n">
        <v>63</v>
      </c>
      <c r="Q558" s="26" t="n">
        <f aca="false">IFERROR(3600/(P558/O558),"")</f>
        <v>228.571428571429</v>
      </c>
      <c r="R558" s="26" t="n">
        <v>2437</v>
      </c>
      <c r="S558" s="26" t="n">
        <v>32</v>
      </c>
      <c r="T558" s="26" t="n">
        <f aca="false">IFERROR(J558-S558,"")</f>
        <v>688</v>
      </c>
      <c r="U558" s="26"/>
      <c r="V558" s="26" t="n">
        <v>27</v>
      </c>
      <c r="W558" s="26" t="n">
        <v>25</v>
      </c>
      <c r="X558" s="26"/>
      <c r="Y558" s="26" t="n">
        <v>21</v>
      </c>
      <c r="Z558" s="26"/>
      <c r="AA558" s="26"/>
      <c r="AB558" s="26"/>
      <c r="AC558" s="26"/>
      <c r="AD558" s="26"/>
      <c r="AE558" s="26"/>
      <c r="AF558" s="26" t="n">
        <f aca="false">SUM(U558:AE558)</f>
        <v>73</v>
      </c>
      <c r="AG558" s="26" t="n">
        <f aca="false">T558-AF558</f>
        <v>615</v>
      </c>
      <c r="AH558" s="28" t="n">
        <f aca="false">IFERROR(AG558/T558,"")</f>
        <v>0.893895348837209</v>
      </c>
      <c r="AI558" s="29" t="n">
        <f aca="false">IFERROR(R558/AG558*60,"")</f>
        <v>237.756097560976</v>
      </c>
      <c r="AJ558" s="30" t="n">
        <f aca="false">IFERROR(AI558/Q558,"")</f>
        <v>1.04018292682927</v>
      </c>
      <c r="AK558" s="31" t="n">
        <f aca="false">IFERROR(R558/(T558/60*Q558),"")</f>
        <v>0.929814680232558</v>
      </c>
      <c r="AL558" s="26" t="n">
        <v>2</v>
      </c>
      <c r="AM558" s="26" t="n">
        <v>4</v>
      </c>
      <c r="AN558" s="26" t="n">
        <v>2</v>
      </c>
      <c r="AO558" s="26" t="n">
        <v>2</v>
      </c>
      <c r="AP558" s="26" t="n">
        <v>1</v>
      </c>
      <c r="AQ558" s="26" t="n">
        <v>3</v>
      </c>
      <c r="AR558" s="26" t="n">
        <v>3</v>
      </c>
      <c r="AS558" s="26"/>
      <c r="AT558" s="26"/>
      <c r="AU558" s="26" t="n">
        <v>1</v>
      </c>
      <c r="AV558" s="26" t="n">
        <f aca="false">SUM(AL558:AU558)</f>
        <v>18</v>
      </c>
      <c r="AW558" s="32" t="n">
        <f aca="false">IFERROR(AV558/R558*1000000,"")</f>
        <v>7386.13048830529</v>
      </c>
      <c r="AX558" s="33" t="n">
        <f aca="false">IFERROR((R558-AV558)/R558,"")</f>
        <v>0.992613869511695</v>
      </c>
      <c r="AY558" s="34" t="n">
        <f aca="false">IFERROR(AH558*AJ558*AX558,"")</f>
        <v>0.922946947674419</v>
      </c>
      <c r="AZ558" s="35" t="s">
        <v>93</v>
      </c>
    </row>
    <row r="559" customFormat="false" ht="12.75" hidden="false" customHeight="true" outlineLevel="0" collapsed="false">
      <c r="A559" s="24" t="n">
        <v>555</v>
      </c>
      <c r="B559" s="25" t="n">
        <v>46207</v>
      </c>
      <c r="C559" s="25" t="n">
        <v>12</v>
      </c>
      <c r="D559" s="26" t="s">
        <v>87</v>
      </c>
      <c r="E559" s="26" t="s">
        <v>88</v>
      </c>
      <c r="F559" s="26" t="s">
        <v>73</v>
      </c>
      <c r="G559" s="26" t="s">
        <v>10</v>
      </c>
      <c r="H559" s="27" t="n">
        <v>0.354166666666667</v>
      </c>
      <c r="I559" s="27" t="n">
        <v>0.854166666666667</v>
      </c>
      <c r="J559" s="26" t="n">
        <f aca="false">IFERROR((I559-H559)*24*60,"")</f>
        <v>720</v>
      </c>
      <c r="K559" s="26" t="s">
        <v>105</v>
      </c>
      <c r="L559" s="26" t="s">
        <v>106</v>
      </c>
      <c r="M559" s="26" t="s">
        <v>91</v>
      </c>
      <c r="N559" s="26" t="s">
        <v>92</v>
      </c>
      <c r="O559" s="26" t="n">
        <v>4</v>
      </c>
      <c r="P559" s="26" t="n">
        <v>35</v>
      </c>
      <c r="Q559" s="26" t="n">
        <f aca="false">IFERROR(3600/(P559/O559),"")</f>
        <v>411.428571428571</v>
      </c>
      <c r="R559" s="26" t="n">
        <v>4243</v>
      </c>
      <c r="S559" s="26" t="n">
        <v>51</v>
      </c>
      <c r="T559" s="26" t="n">
        <f aca="false">IFERROR(J559-S559,"")</f>
        <v>669</v>
      </c>
      <c r="U559" s="26" t="n">
        <v>3</v>
      </c>
      <c r="V559" s="26"/>
      <c r="W559" s="26"/>
      <c r="X559" s="26"/>
      <c r="Y559" s="26" t="n">
        <v>14</v>
      </c>
      <c r="Z559" s="26"/>
      <c r="AA559" s="26"/>
      <c r="AB559" s="26"/>
      <c r="AC559" s="26"/>
      <c r="AD559" s="26"/>
      <c r="AE559" s="26"/>
      <c r="AF559" s="26" t="n">
        <f aca="false">SUM(U559:AE559)</f>
        <v>17</v>
      </c>
      <c r="AG559" s="26" t="n">
        <f aca="false">T559-AF559</f>
        <v>652</v>
      </c>
      <c r="AH559" s="28" t="n">
        <f aca="false">IFERROR(AG559/T559,"")</f>
        <v>0.974588938714499</v>
      </c>
      <c r="AI559" s="29" t="n">
        <f aca="false">IFERROR(R559/AG559*60,"")</f>
        <v>390.460122699387</v>
      </c>
      <c r="AJ559" s="30" t="n">
        <f aca="false">IFERROR(AI559/Q559,"")</f>
        <v>0.949035020449898</v>
      </c>
      <c r="AK559" s="31" t="n">
        <f aca="false">IFERROR(R559/(T559/60*Q559),"")</f>
        <v>0.924919033383159</v>
      </c>
      <c r="AL559" s="26" t="n">
        <v>1</v>
      </c>
      <c r="AM559" s="26" t="n">
        <v>1</v>
      </c>
      <c r="AN559" s="26"/>
      <c r="AO559" s="26" t="n">
        <v>1</v>
      </c>
      <c r="AP559" s="26" t="n">
        <v>3</v>
      </c>
      <c r="AQ559" s="26" t="n">
        <v>2</v>
      </c>
      <c r="AR559" s="26" t="n">
        <v>2</v>
      </c>
      <c r="AS559" s="26" t="n">
        <v>2</v>
      </c>
      <c r="AT559" s="26" t="n">
        <v>4</v>
      </c>
      <c r="AU559" s="26" t="n">
        <v>6</v>
      </c>
      <c r="AV559" s="26" t="n">
        <f aca="false">SUM(AL559:AU559)</f>
        <v>22</v>
      </c>
      <c r="AW559" s="32" t="n">
        <f aca="false">IFERROR(AV559/R559*1000000,"")</f>
        <v>5185.01060570351</v>
      </c>
      <c r="AX559" s="33" t="n">
        <f aca="false">IFERROR((R559-AV559)/R559,"")</f>
        <v>0.994814989394297</v>
      </c>
      <c r="AY559" s="34" t="n">
        <f aca="false">IFERROR(AH559*AJ559*AX559,"")</f>
        <v>0.92012331838565</v>
      </c>
      <c r="AZ559" s="35" t="s">
        <v>78</v>
      </c>
    </row>
    <row r="560" customFormat="false" ht="12.75" hidden="false" customHeight="true" outlineLevel="0" collapsed="false">
      <c r="A560" s="24" t="n">
        <v>556</v>
      </c>
      <c r="B560" s="25" t="n">
        <v>46208</v>
      </c>
      <c r="C560" s="25" t="n">
        <v>12</v>
      </c>
      <c r="D560" s="26" t="s">
        <v>71</v>
      </c>
      <c r="E560" s="26" t="s">
        <v>94</v>
      </c>
      <c r="F560" s="26" t="s">
        <v>81</v>
      </c>
      <c r="G560" s="26" t="s">
        <v>11</v>
      </c>
      <c r="H560" s="27" t="n">
        <v>0.354166666666667</v>
      </c>
      <c r="I560" s="27" t="n">
        <v>0.854166666666667</v>
      </c>
      <c r="J560" s="26" t="n">
        <f aca="false">IFERROR((I560-H560)*24*60,"")</f>
        <v>720</v>
      </c>
      <c r="K560" s="26" t="s">
        <v>105</v>
      </c>
      <c r="L560" s="26" t="s">
        <v>98</v>
      </c>
      <c r="M560" s="26" t="s">
        <v>95</v>
      </c>
      <c r="N560" s="26" t="s">
        <v>96</v>
      </c>
      <c r="O560" s="26" t="n">
        <v>8</v>
      </c>
      <c r="P560" s="26" t="n">
        <v>52</v>
      </c>
      <c r="Q560" s="26" t="n">
        <f aca="false">IFERROR(3600/(P560/O560),"")</f>
        <v>553.846153846154</v>
      </c>
      <c r="R560" s="26" t="n">
        <v>4623</v>
      </c>
      <c r="S560" s="26" t="n">
        <v>67</v>
      </c>
      <c r="T560" s="26" t="n">
        <f aca="false">IFERROR(J560-S560,"")</f>
        <v>653</v>
      </c>
      <c r="U560" s="26"/>
      <c r="V560" s="26"/>
      <c r="W560" s="26"/>
      <c r="X560" s="26" t="n">
        <v>15</v>
      </c>
      <c r="Y560" s="26"/>
      <c r="Z560" s="26" t="n">
        <v>14</v>
      </c>
      <c r="AA560" s="26"/>
      <c r="AB560" s="26"/>
      <c r="AC560" s="26" t="n">
        <v>24</v>
      </c>
      <c r="AD560" s="26"/>
      <c r="AE560" s="26"/>
      <c r="AF560" s="26" t="n">
        <f aca="false">SUM(U560:AE560)</f>
        <v>53</v>
      </c>
      <c r="AG560" s="26" t="n">
        <f aca="false">T560-AF560</f>
        <v>600</v>
      </c>
      <c r="AH560" s="28" t="n">
        <f aca="false">IFERROR(AG560/T560,"")</f>
        <v>0.918836140888208</v>
      </c>
      <c r="AI560" s="29" t="n">
        <f aca="false">IFERROR(R560/AG560*60,"")</f>
        <v>462.3</v>
      </c>
      <c r="AJ560" s="30" t="n">
        <f aca="false">IFERROR(AI560/Q560,"")</f>
        <v>0.834708333333333</v>
      </c>
      <c r="AK560" s="31" t="n">
        <f aca="false">IFERROR(R560/(T560/60*Q560),"")</f>
        <v>0.766960183767228</v>
      </c>
      <c r="AL560" s="26" t="n">
        <v>8</v>
      </c>
      <c r="AM560" s="26" t="n">
        <v>4</v>
      </c>
      <c r="AN560" s="26" t="n">
        <v>5</v>
      </c>
      <c r="AO560" s="26" t="n">
        <v>1</v>
      </c>
      <c r="AP560" s="26" t="n">
        <v>4</v>
      </c>
      <c r="AQ560" s="26" t="n">
        <v>2</v>
      </c>
      <c r="AR560" s="26" t="n">
        <v>8</v>
      </c>
      <c r="AS560" s="26" t="n">
        <v>4</v>
      </c>
      <c r="AT560" s="26" t="n">
        <v>3</v>
      </c>
      <c r="AU560" s="26" t="n">
        <v>1</v>
      </c>
      <c r="AV560" s="26" t="n">
        <f aca="false">SUM(AL560:AU560)</f>
        <v>40</v>
      </c>
      <c r="AW560" s="32" t="n">
        <f aca="false">IFERROR(AV560/R560*1000000,"")</f>
        <v>8652.39022279905</v>
      </c>
      <c r="AX560" s="33" t="n">
        <f aca="false">IFERROR((R560-AV560)/R560,"")</f>
        <v>0.991347609777201</v>
      </c>
      <c r="AY560" s="34" t="n">
        <f aca="false">IFERROR(AH560*AJ560*AX560,"")</f>
        <v>0.760324144971925</v>
      </c>
      <c r="AZ560" s="35" t="s">
        <v>78</v>
      </c>
    </row>
    <row r="561" customFormat="false" ht="12.75" hidden="false" customHeight="true" outlineLevel="0" collapsed="false">
      <c r="A561" s="24" t="n">
        <v>557</v>
      </c>
      <c r="B561" s="25" t="n">
        <v>46208</v>
      </c>
      <c r="C561" s="25" t="n">
        <v>12</v>
      </c>
      <c r="D561" s="26" t="s">
        <v>79</v>
      </c>
      <c r="E561" s="26" t="s">
        <v>97</v>
      </c>
      <c r="F561" s="26" t="s">
        <v>73</v>
      </c>
      <c r="G561" s="26" t="s">
        <v>12</v>
      </c>
      <c r="H561" s="27" t="n">
        <v>0.354166666666667</v>
      </c>
      <c r="I561" s="27" t="n">
        <v>0.854166666666667</v>
      </c>
      <c r="J561" s="26" t="n">
        <f aca="false">IFERROR((I561-H561)*24*60,"")</f>
        <v>720</v>
      </c>
      <c r="K561" s="26" t="s">
        <v>74</v>
      </c>
      <c r="L561" s="26" t="s">
        <v>90</v>
      </c>
      <c r="M561" s="26" t="s">
        <v>99</v>
      </c>
      <c r="N561" s="26" t="s">
        <v>100</v>
      </c>
      <c r="O561" s="26" t="n">
        <v>2</v>
      </c>
      <c r="P561" s="26" t="n">
        <v>24</v>
      </c>
      <c r="Q561" s="26" t="n">
        <f aca="false">IFERROR(3600/(P561/O561),"")</f>
        <v>300</v>
      </c>
      <c r="R561" s="26" t="n">
        <v>2767</v>
      </c>
      <c r="S561" s="26" t="n">
        <v>61</v>
      </c>
      <c r="T561" s="26" t="n">
        <f aca="false">IFERROR(J561-S561,"")</f>
        <v>659</v>
      </c>
      <c r="U561" s="26"/>
      <c r="V561" s="26"/>
      <c r="W561" s="26"/>
      <c r="X561" s="26"/>
      <c r="Y561" s="26"/>
      <c r="Z561" s="26"/>
      <c r="AA561" s="26"/>
      <c r="AB561" s="26"/>
      <c r="AC561" s="26" t="n">
        <v>6</v>
      </c>
      <c r="AD561" s="26"/>
      <c r="AE561" s="26"/>
      <c r="AF561" s="26" t="n">
        <f aca="false">SUM(U561:AE561)</f>
        <v>6</v>
      </c>
      <c r="AG561" s="26" t="n">
        <f aca="false">T561-AF561</f>
        <v>653</v>
      </c>
      <c r="AH561" s="28" t="n">
        <f aca="false">IFERROR(AG561/T561,"")</f>
        <v>0.990895295902883</v>
      </c>
      <c r="AI561" s="29" t="n">
        <f aca="false">IFERROR(R561/AG561*60,"")</f>
        <v>254.241960183767</v>
      </c>
      <c r="AJ561" s="30" t="n">
        <f aca="false">IFERROR(AI561/Q561,"")</f>
        <v>0.847473200612557</v>
      </c>
      <c r="AK561" s="31" t="n">
        <f aca="false">IFERROR(R561/(T561/60*Q561),"")</f>
        <v>0.839757207890744</v>
      </c>
      <c r="AL561" s="26" t="n">
        <v>5</v>
      </c>
      <c r="AM561" s="26" t="n">
        <v>5</v>
      </c>
      <c r="AN561" s="26" t="n">
        <v>10</v>
      </c>
      <c r="AO561" s="26" t="n">
        <v>5</v>
      </c>
      <c r="AP561" s="26" t="n">
        <v>5</v>
      </c>
      <c r="AQ561" s="26" t="n">
        <v>7</v>
      </c>
      <c r="AR561" s="26"/>
      <c r="AS561" s="26" t="n">
        <v>3</v>
      </c>
      <c r="AT561" s="26" t="n">
        <v>6</v>
      </c>
      <c r="AU561" s="26" t="n">
        <v>5</v>
      </c>
      <c r="AV561" s="26" t="n">
        <f aca="false">SUM(AL561:AU561)</f>
        <v>51</v>
      </c>
      <c r="AW561" s="32" t="n">
        <f aca="false">IFERROR(AV561/R561*1000000,"")</f>
        <v>18431.5142753885</v>
      </c>
      <c r="AX561" s="33" t="n">
        <f aca="false">IFERROR((R561-AV561)/R561,"")</f>
        <v>0.981568485724612</v>
      </c>
      <c r="AY561" s="34" t="n">
        <f aca="false">IFERROR(AH561*AJ561*AX561,"")</f>
        <v>0.824279210925645</v>
      </c>
      <c r="AZ561" s="35"/>
    </row>
    <row r="562" customFormat="false" ht="12.75" hidden="false" customHeight="true" outlineLevel="0" collapsed="false">
      <c r="A562" s="24" t="n">
        <v>558</v>
      </c>
      <c r="B562" s="25" t="n">
        <v>46208</v>
      </c>
      <c r="C562" s="25" t="n">
        <v>12</v>
      </c>
      <c r="D562" s="26" t="s">
        <v>87</v>
      </c>
      <c r="E562" s="26" t="s">
        <v>101</v>
      </c>
      <c r="F562" s="26" t="s">
        <v>81</v>
      </c>
      <c r="G562" s="26" t="s">
        <v>13</v>
      </c>
      <c r="H562" s="27" t="n">
        <v>0.354166666666667</v>
      </c>
      <c r="I562" s="27" t="n">
        <v>0.854166666666667</v>
      </c>
      <c r="J562" s="26" t="n">
        <f aca="false">IFERROR((I562-H562)*24*60,"")</f>
        <v>720</v>
      </c>
      <c r="K562" s="26" t="s">
        <v>105</v>
      </c>
      <c r="L562" s="26" t="s">
        <v>108</v>
      </c>
      <c r="M562" s="26" t="s">
        <v>103</v>
      </c>
      <c r="N562" s="26" t="s">
        <v>104</v>
      </c>
      <c r="O562" s="26" t="n">
        <v>4</v>
      </c>
      <c r="P562" s="26" t="n">
        <v>55</v>
      </c>
      <c r="Q562" s="26" t="n">
        <f aca="false">IFERROR(3600/(P562/O562),"")</f>
        <v>261.818181818182</v>
      </c>
      <c r="R562" s="26" t="n">
        <v>2551</v>
      </c>
      <c r="S562" s="26" t="n">
        <v>48</v>
      </c>
      <c r="T562" s="26" t="n">
        <f aca="false">IFERROR(J562-S562,"")</f>
        <v>672</v>
      </c>
      <c r="U562" s="26"/>
      <c r="V562" s="26"/>
      <c r="W562" s="26"/>
      <c r="X562" s="26"/>
      <c r="Y562" s="26"/>
      <c r="Z562" s="26"/>
      <c r="AA562" s="26"/>
      <c r="AB562" s="26" t="n">
        <v>12</v>
      </c>
      <c r="AC562" s="26"/>
      <c r="AD562" s="26"/>
      <c r="AE562" s="26"/>
      <c r="AF562" s="26" t="n">
        <f aca="false">SUM(U562:AE562)</f>
        <v>12</v>
      </c>
      <c r="AG562" s="26" t="n">
        <f aca="false">T562-AF562</f>
        <v>660</v>
      </c>
      <c r="AH562" s="28" t="n">
        <f aca="false">IFERROR(AG562/T562,"")</f>
        <v>0.982142857142857</v>
      </c>
      <c r="AI562" s="29" t="n">
        <f aca="false">IFERROR(R562/AG562*60,"")</f>
        <v>231.909090909091</v>
      </c>
      <c r="AJ562" s="30" t="n">
        <f aca="false">IFERROR(AI562/Q562,"")</f>
        <v>0.885763888888889</v>
      </c>
      <c r="AK562" s="31" t="n">
        <f aca="false">IFERROR(R562/(T562/60*Q562),"")</f>
        <v>0.869946676587302</v>
      </c>
      <c r="AL562" s="26" t="n">
        <v>4</v>
      </c>
      <c r="AM562" s="26" t="n">
        <v>5</v>
      </c>
      <c r="AN562" s="26" t="n">
        <v>4</v>
      </c>
      <c r="AO562" s="26" t="n">
        <v>2</v>
      </c>
      <c r="AP562" s="26" t="n">
        <v>6</v>
      </c>
      <c r="AQ562" s="26" t="n">
        <v>2</v>
      </c>
      <c r="AR562" s="26" t="n">
        <v>1</v>
      </c>
      <c r="AS562" s="26" t="n">
        <v>2</v>
      </c>
      <c r="AT562" s="26" t="n">
        <v>6</v>
      </c>
      <c r="AU562" s="26" t="n">
        <v>3</v>
      </c>
      <c r="AV562" s="26" t="n">
        <f aca="false">SUM(AL562:AU562)</f>
        <v>35</v>
      </c>
      <c r="AW562" s="32" t="n">
        <f aca="false">IFERROR(AV562/R562*1000000,"")</f>
        <v>13720.1097608781</v>
      </c>
      <c r="AX562" s="33" t="n">
        <f aca="false">IFERROR((R562-AV562)/R562,"")</f>
        <v>0.986279890239122</v>
      </c>
      <c r="AY562" s="34" t="n">
        <f aca="false">IFERROR(AH562*AJ562*AX562,"")</f>
        <v>0.858010912698413</v>
      </c>
      <c r="AZ562" s="35" t="s">
        <v>86</v>
      </c>
    </row>
    <row r="563" customFormat="false" ht="12.75" hidden="false" customHeight="true" outlineLevel="0" collapsed="false">
      <c r="A563" s="24" t="n">
        <v>559</v>
      </c>
      <c r="B563" s="25" t="n">
        <v>46209</v>
      </c>
      <c r="C563" s="25" t="n">
        <v>12</v>
      </c>
      <c r="D563" s="26" t="s">
        <v>71</v>
      </c>
      <c r="E563" s="26" t="s">
        <v>72</v>
      </c>
      <c r="F563" s="26" t="s">
        <v>73</v>
      </c>
      <c r="G563" s="26" t="s">
        <v>8</v>
      </c>
      <c r="H563" s="27" t="n">
        <v>0.354166666666667</v>
      </c>
      <c r="I563" s="27" t="n">
        <v>0.854166666666667</v>
      </c>
      <c r="J563" s="26" t="n">
        <f aca="false">IFERROR((I563-H563)*24*60,"")</f>
        <v>720</v>
      </c>
      <c r="K563" s="26" t="s">
        <v>74</v>
      </c>
      <c r="L563" s="26" t="s">
        <v>108</v>
      </c>
      <c r="M563" s="26" t="s">
        <v>76</v>
      </c>
      <c r="N563" s="26" t="s">
        <v>77</v>
      </c>
      <c r="O563" s="26" t="n">
        <v>1</v>
      </c>
      <c r="P563" s="26" t="n">
        <v>67</v>
      </c>
      <c r="Q563" s="26" t="n">
        <f aca="false">IFERROR(3600/(P563/O563),"")</f>
        <v>53.7313432835821</v>
      </c>
      <c r="R563" s="26" t="n">
        <v>558</v>
      </c>
      <c r="S563" s="26" t="n">
        <v>52</v>
      </c>
      <c r="T563" s="26" t="n">
        <f aca="false">IFERROR(J563-S563,"")</f>
        <v>668</v>
      </c>
      <c r="U563" s="26"/>
      <c r="V563" s="26" t="n">
        <v>7</v>
      </c>
      <c r="W563" s="26"/>
      <c r="X563" s="26"/>
      <c r="Y563" s="26"/>
      <c r="Z563" s="26"/>
      <c r="AA563" s="26"/>
      <c r="AB563" s="26"/>
      <c r="AC563" s="26"/>
      <c r="AD563" s="26"/>
      <c r="AE563" s="26" t="n">
        <v>10</v>
      </c>
      <c r="AF563" s="26" t="n">
        <f aca="false">SUM(U563:AE563)</f>
        <v>17</v>
      </c>
      <c r="AG563" s="26" t="n">
        <f aca="false">T563-AF563</f>
        <v>651</v>
      </c>
      <c r="AH563" s="28" t="n">
        <f aca="false">IFERROR(AG563/T563,"")</f>
        <v>0.974550898203593</v>
      </c>
      <c r="AI563" s="29" t="n">
        <f aca="false">IFERROR(R563/AG563*60,"")</f>
        <v>51.4285714285714</v>
      </c>
      <c r="AJ563" s="30" t="n">
        <f aca="false">IFERROR(AI563/Q563,"")</f>
        <v>0.957142857142857</v>
      </c>
      <c r="AK563" s="31" t="n">
        <f aca="false">IFERROR(R563/(T563/60*Q563),"")</f>
        <v>0.932784431137725</v>
      </c>
      <c r="AL563" s="26"/>
      <c r="AM563" s="26"/>
      <c r="AN563" s="26"/>
      <c r="AO563" s="26"/>
      <c r="AP563" s="26" t="n">
        <v>1</v>
      </c>
      <c r="AQ563" s="26"/>
      <c r="AR563" s="26"/>
      <c r="AS563" s="26" t="n">
        <v>1</v>
      </c>
      <c r="AT563" s="26"/>
      <c r="AU563" s="26" t="n">
        <v>1</v>
      </c>
      <c r="AV563" s="26" t="n">
        <f aca="false">SUM(AL563:AU563)</f>
        <v>3</v>
      </c>
      <c r="AW563" s="32" t="n">
        <f aca="false">IFERROR(AV563/R563*1000000,"")</f>
        <v>5376.34408602151</v>
      </c>
      <c r="AX563" s="33" t="n">
        <f aca="false">IFERROR((R563-AV563)/R563,"")</f>
        <v>0.994623655913979</v>
      </c>
      <c r="AY563" s="34" t="n">
        <f aca="false">IFERROR(AH563*AJ563*AX563,"")</f>
        <v>0.927769461077844</v>
      </c>
      <c r="AZ563" s="35" t="s">
        <v>78</v>
      </c>
    </row>
    <row r="564" customFormat="false" ht="12.75" hidden="false" customHeight="true" outlineLevel="0" collapsed="false">
      <c r="A564" s="24" t="n">
        <v>560</v>
      </c>
      <c r="B564" s="25" t="n">
        <v>46209</v>
      </c>
      <c r="C564" s="25" t="n">
        <v>12</v>
      </c>
      <c r="D564" s="26" t="s">
        <v>79</v>
      </c>
      <c r="E564" s="26" t="s">
        <v>80</v>
      </c>
      <c r="F564" s="26" t="s">
        <v>81</v>
      </c>
      <c r="G564" s="26" t="s">
        <v>9</v>
      </c>
      <c r="H564" s="27" t="n">
        <v>0.354166666666667</v>
      </c>
      <c r="I564" s="27" t="n">
        <v>0.854166666666667</v>
      </c>
      <c r="J564" s="26" t="n">
        <f aca="false">IFERROR((I564-H564)*24*60,"")</f>
        <v>720</v>
      </c>
      <c r="K564" s="26" t="s">
        <v>82</v>
      </c>
      <c r="L564" s="26" t="s">
        <v>75</v>
      </c>
      <c r="M564" s="26" t="s">
        <v>84</v>
      </c>
      <c r="N564" s="26" t="s">
        <v>85</v>
      </c>
      <c r="O564" s="26" t="n">
        <v>4</v>
      </c>
      <c r="P564" s="26" t="n">
        <v>46</v>
      </c>
      <c r="Q564" s="26" t="n">
        <f aca="false">IFERROR(3600/(P564/O564),"")</f>
        <v>313.04347826087</v>
      </c>
      <c r="R564" s="26" t="n">
        <v>3295</v>
      </c>
      <c r="S564" s="26" t="n">
        <v>50</v>
      </c>
      <c r="T564" s="26" t="n">
        <f aca="false">IFERROR(J564-S564,"")</f>
        <v>670</v>
      </c>
      <c r="U564" s="26" t="n">
        <v>7</v>
      </c>
      <c r="V564" s="26"/>
      <c r="W564" s="26"/>
      <c r="X564" s="26"/>
      <c r="Y564" s="26"/>
      <c r="Z564" s="26"/>
      <c r="AA564" s="26"/>
      <c r="AB564" s="26"/>
      <c r="AC564" s="26"/>
      <c r="AD564" s="26" t="n">
        <v>21</v>
      </c>
      <c r="AE564" s="26"/>
      <c r="AF564" s="26" t="n">
        <f aca="false">SUM(U564:AE564)</f>
        <v>28</v>
      </c>
      <c r="AG564" s="26" t="n">
        <f aca="false">T564-AF564</f>
        <v>642</v>
      </c>
      <c r="AH564" s="28" t="n">
        <f aca="false">IFERROR(AG564/T564,"")</f>
        <v>0.958208955223881</v>
      </c>
      <c r="AI564" s="29" t="n">
        <f aca="false">IFERROR(R564/AG564*60,"")</f>
        <v>307.943925233645</v>
      </c>
      <c r="AJ564" s="30" t="n">
        <f aca="false">IFERROR(AI564/Q564,"")</f>
        <v>0.983709761163032</v>
      </c>
      <c r="AK564" s="31" t="n">
        <f aca="false">IFERROR(R564/(T564/60*Q564),"")</f>
        <v>0.942599502487562</v>
      </c>
      <c r="AL564" s="26" t="n">
        <v>6</v>
      </c>
      <c r="AM564" s="26" t="n">
        <v>4</v>
      </c>
      <c r="AN564" s="26" t="n">
        <v>4</v>
      </c>
      <c r="AO564" s="26" t="n">
        <v>3</v>
      </c>
      <c r="AP564" s="26" t="n">
        <v>4</v>
      </c>
      <c r="AQ564" s="26" t="n">
        <v>4</v>
      </c>
      <c r="AR564" s="26" t="n">
        <v>9</v>
      </c>
      <c r="AS564" s="26" t="n">
        <v>4</v>
      </c>
      <c r="AT564" s="26" t="n">
        <v>4</v>
      </c>
      <c r="AU564" s="26" t="n">
        <v>5</v>
      </c>
      <c r="AV564" s="26" t="n">
        <f aca="false">SUM(AL564:AU564)</f>
        <v>47</v>
      </c>
      <c r="AW564" s="32" t="n">
        <f aca="false">IFERROR(AV564/R564*1000000,"")</f>
        <v>14264.0364188164</v>
      </c>
      <c r="AX564" s="33" t="n">
        <f aca="false">IFERROR((R564-AV564)/R564,"")</f>
        <v>0.985735963581184</v>
      </c>
      <c r="AY564" s="34" t="n">
        <f aca="false">IFERROR(AH564*AJ564*AX564,"")</f>
        <v>0.929154228855721</v>
      </c>
      <c r="AZ564" s="35" t="s">
        <v>78</v>
      </c>
    </row>
    <row r="565" customFormat="false" ht="12.75" hidden="false" customHeight="true" outlineLevel="0" collapsed="false">
      <c r="A565" s="24" t="n">
        <v>561</v>
      </c>
      <c r="B565" s="25" t="n">
        <v>46209</v>
      </c>
      <c r="C565" s="25" t="n">
        <v>12</v>
      </c>
      <c r="D565" s="26" t="s">
        <v>87</v>
      </c>
      <c r="E565" s="26" t="s">
        <v>88</v>
      </c>
      <c r="F565" s="26" t="s">
        <v>73</v>
      </c>
      <c r="G565" s="26" t="s">
        <v>10</v>
      </c>
      <c r="H565" s="27" t="n">
        <v>0.354166666666667</v>
      </c>
      <c r="I565" s="27" t="n">
        <v>0.854166666666667</v>
      </c>
      <c r="J565" s="26" t="n">
        <f aca="false">IFERROR((I565-H565)*24*60,"")</f>
        <v>720</v>
      </c>
      <c r="K565" s="26" t="s">
        <v>74</v>
      </c>
      <c r="L565" s="26" t="s">
        <v>98</v>
      </c>
      <c r="M565" s="26" t="s">
        <v>91</v>
      </c>
      <c r="N565" s="26" t="s">
        <v>92</v>
      </c>
      <c r="O565" s="26" t="n">
        <v>2</v>
      </c>
      <c r="P565" s="26" t="n">
        <v>54</v>
      </c>
      <c r="Q565" s="26" t="n">
        <f aca="false">IFERROR(3600/(P565/O565),"")</f>
        <v>133.333333333333</v>
      </c>
      <c r="R565" s="26" t="n">
        <v>1305</v>
      </c>
      <c r="S565" s="26" t="n">
        <v>62</v>
      </c>
      <c r="T565" s="26" t="n">
        <f aca="false">IFERROR(J565-S565,"")</f>
        <v>658</v>
      </c>
      <c r="U565" s="26"/>
      <c r="V565" s="26"/>
      <c r="W565" s="26" t="n">
        <v>22</v>
      </c>
      <c r="X565" s="26"/>
      <c r="Y565" s="26" t="n">
        <v>23</v>
      </c>
      <c r="Z565" s="26"/>
      <c r="AA565" s="26"/>
      <c r="AB565" s="26"/>
      <c r="AC565" s="26"/>
      <c r="AD565" s="26"/>
      <c r="AE565" s="26"/>
      <c r="AF565" s="26" t="n">
        <f aca="false">SUM(U565:AE565)</f>
        <v>45</v>
      </c>
      <c r="AG565" s="26" t="n">
        <f aca="false">T565-AF565</f>
        <v>613</v>
      </c>
      <c r="AH565" s="28" t="n">
        <f aca="false">IFERROR(AG565/T565,"")</f>
        <v>0.93161094224924</v>
      </c>
      <c r="AI565" s="29" t="n">
        <f aca="false">IFERROR(R565/AG565*60,"")</f>
        <v>127.732463295269</v>
      </c>
      <c r="AJ565" s="30" t="n">
        <f aca="false">IFERROR(AI565/Q565,"")</f>
        <v>0.957993474714519</v>
      </c>
      <c r="AK565" s="31" t="n">
        <f aca="false">IFERROR(R565/(T565/60*Q565),"")</f>
        <v>0.892477203647416</v>
      </c>
      <c r="AL565" s="26" t="n">
        <v>1</v>
      </c>
      <c r="AM565" s="26"/>
      <c r="AN565" s="26" t="n">
        <v>4</v>
      </c>
      <c r="AO565" s="26" t="n">
        <v>1</v>
      </c>
      <c r="AP565" s="26" t="n">
        <v>2</v>
      </c>
      <c r="AQ565" s="26" t="n">
        <v>1</v>
      </c>
      <c r="AR565" s="26"/>
      <c r="AS565" s="26" t="n">
        <v>1</v>
      </c>
      <c r="AT565" s="26" t="n">
        <v>1</v>
      </c>
      <c r="AU565" s="26"/>
      <c r="AV565" s="26" t="n">
        <f aca="false">SUM(AL565:AU565)</f>
        <v>11</v>
      </c>
      <c r="AW565" s="32" t="n">
        <f aca="false">IFERROR(AV565/R565*1000000,"")</f>
        <v>8429.11877394636</v>
      </c>
      <c r="AX565" s="33" t="n">
        <f aca="false">IFERROR((R565-AV565)/R565,"")</f>
        <v>0.991570881226054</v>
      </c>
      <c r="AY565" s="34" t="n">
        <f aca="false">IFERROR(AH565*AJ565*AX565,"")</f>
        <v>0.884954407294833</v>
      </c>
      <c r="AZ565" s="35" t="s">
        <v>78</v>
      </c>
    </row>
    <row r="566" customFormat="false" ht="12.75" hidden="false" customHeight="true" outlineLevel="0" collapsed="false">
      <c r="A566" s="24" t="n">
        <v>562</v>
      </c>
      <c r="B566" s="25" t="n">
        <v>46210</v>
      </c>
      <c r="C566" s="25" t="n">
        <v>12</v>
      </c>
      <c r="D566" s="26" t="s">
        <v>71</v>
      </c>
      <c r="E566" s="26" t="s">
        <v>94</v>
      </c>
      <c r="F566" s="26" t="s">
        <v>81</v>
      </c>
      <c r="G566" s="26" t="s">
        <v>11</v>
      </c>
      <c r="H566" s="27" t="n">
        <v>0.354166666666667</v>
      </c>
      <c r="I566" s="27" t="n">
        <v>0.854166666666667</v>
      </c>
      <c r="J566" s="26" t="n">
        <f aca="false">IFERROR((I566-H566)*24*60,"")</f>
        <v>720</v>
      </c>
      <c r="K566" s="26" t="s">
        <v>105</v>
      </c>
      <c r="L566" s="26" t="s">
        <v>83</v>
      </c>
      <c r="M566" s="26" t="s">
        <v>95</v>
      </c>
      <c r="N566" s="26" t="s">
        <v>96</v>
      </c>
      <c r="O566" s="26" t="n">
        <v>1</v>
      </c>
      <c r="P566" s="26" t="n">
        <v>53</v>
      </c>
      <c r="Q566" s="26" t="n">
        <f aca="false">IFERROR(3600/(P566/O566),"")</f>
        <v>67.9245283018868</v>
      </c>
      <c r="R566" s="26" t="n">
        <v>694</v>
      </c>
      <c r="S566" s="26" t="n">
        <v>32</v>
      </c>
      <c r="T566" s="26" t="n">
        <f aca="false">IFERROR(J566-S566,"")</f>
        <v>688</v>
      </c>
      <c r="U566" s="26"/>
      <c r="V566" s="26"/>
      <c r="W566" s="26"/>
      <c r="X566" s="26" t="n">
        <v>13</v>
      </c>
      <c r="Y566" s="26"/>
      <c r="Z566" s="26" t="n">
        <v>6</v>
      </c>
      <c r="AA566" s="26"/>
      <c r="AB566" s="26"/>
      <c r="AC566" s="26"/>
      <c r="AD566" s="26"/>
      <c r="AE566" s="26"/>
      <c r="AF566" s="26" t="n">
        <f aca="false">SUM(U566:AE566)</f>
        <v>19</v>
      </c>
      <c r="AG566" s="26" t="n">
        <f aca="false">T566-AF566</f>
        <v>669</v>
      </c>
      <c r="AH566" s="28" t="n">
        <f aca="false">IFERROR(AG566/T566,"")</f>
        <v>0.972383720930233</v>
      </c>
      <c r="AI566" s="29" t="n">
        <f aca="false">IFERROR(R566/AG566*60,"")</f>
        <v>62.2421524663677</v>
      </c>
      <c r="AJ566" s="30" t="n">
        <f aca="false">IFERROR(AI566/Q566,"")</f>
        <v>0.916342800199302</v>
      </c>
      <c r="AK566" s="31" t="n">
        <f aca="false">IFERROR(R566/(T566/60*Q566),"")</f>
        <v>0.891036821705426</v>
      </c>
      <c r="AL566" s="26" t="n">
        <v>1</v>
      </c>
      <c r="AM566" s="26" t="n">
        <v>1</v>
      </c>
      <c r="AN566" s="26" t="n">
        <v>1</v>
      </c>
      <c r="AO566" s="26"/>
      <c r="AP566" s="26" t="n">
        <v>1</v>
      </c>
      <c r="AQ566" s="26" t="n">
        <v>3</v>
      </c>
      <c r="AR566" s="26" t="n">
        <v>3</v>
      </c>
      <c r="AS566" s="26" t="n">
        <v>2</v>
      </c>
      <c r="AT566" s="26" t="n">
        <v>1</v>
      </c>
      <c r="AU566" s="26" t="n">
        <v>3</v>
      </c>
      <c r="AV566" s="26" t="n">
        <f aca="false">SUM(AL566:AU566)</f>
        <v>16</v>
      </c>
      <c r="AW566" s="32" t="n">
        <f aca="false">IFERROR(AV566/R566*1000000,"")</f>
        <v>23054.7550432277</v>
      </c>
      <c r="AX566" s="33" t="n">
        <f aca="false">IFERROR((R566-AV566)/R566,"")</f>
        <v>0.976945244956772</v>
      </c>
      <c r="AY566" s="34" t="n">
        <f aca="false">IFERROR(AH566*AJ566*AX566,"")</f>
        <v>0.870494186046512</v>
      </c>
      <c r="AZ566" s="35" t="s">
        <v>93</v>
      </c>
    </row>
    <row r="567" customFormat="false" ht="12.75" hidden="false" customHeight="true" outlineLevel="0" collapsed="false">
      <c r="A567" s="24" t="n">
        <v>563</v>
      </c>
      <c r="B567" s="25" t="n">
        <v>46210</v>
      </c>
      <c r="C567" s="25" t="n">
        <v>12</v>
      </c>
      <c r="D567" s="26" t="s">
        <v>79</v>
      </c>
      <c r="E567" s="26" t="s">
        <v>97</v>
      </c>
      <c r="F567" s="26" t="s">
        <v>73</v>
      </c>
      <c r="G567" s="26" t="s">
        <v>12</v>
      </c>
      <c r="H567" s="27" t="n">
        <v>0.354166666666667</v>
      </c>
      <c r="I567" s="27" t="n">
        <v>0.854166666666667</v>
      </c>
      <c r="J567" s="26" t="n">
        <f aca="false">IFERROR((I567-H567)*24*60,"")</f>
        <v>720</v>
      </c>
      <c r="K567" s="26" t="s">
        <v>74</v>
      </c>
      <c r="L567" s="26" t="s">
        <v>102</v>
      </c>
      <c r="M567" s="26" t="s">
        <v>99</v>
      </c>
      <c r="N567" s="26" t="s">
        <v>100</v>
      </c>
      <c r="O567" s="26" t="n">
        <v>8</v>
      </c>
      <c r="P567" s="26" t="n">
        <v>27</v>
      </c>
      <c r="Q567" s="26" t="n">
        <f aca="false">IFERROR(3600/(P567/O567),"")</f>
        <v>1066.66666666667</v>
      </c>
      <c r="R567" s="26" t="n">
        <v>8848</v>
      </c>
      <c r="S567" s="26" t="n">
        <v>40</v>
      </c>
      <c r="T567" s="26" t="n">
        <f aca="false">IFERROR(J567-S567,"")</f>
        <v>680</v>
      </c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 t="n">
        <v>10</v>
      </c>
      <c r="AF567" s="26" t="n">
        <f aca="false">SUM(U567:AE567)</f>
        <v>10</v>
      </c>
      <c r="AG567" s="26" t="n">
        <f aca="false">T567-AF567</f>
        <v>670</v>
      </c>
      <c r="AH567" s="28" t="n">
        <f aca="false">IFERROR(AG567/T567,"")</f>
        <v>0.985294117647059</v>
      </c>
      <c r="AI567" s="29" t="n">
        <f aca="false">IFERROR(R567/AG567*60,"")</f>
        <v>792.358208955224</v>
      </c>
      <c r="AJ567" s="30" t="n">
        <f aca="false">IFERROR(AI567/Q567,"")</f>
        <v>0.742835820895522</v>
      </c>
      <c r="AK567" s="31" t="n">
        <f aca="false">IFERROR(R567/(T567/60*Q567),"")</f>
        <v>0.731911764705882</v>
      </c>
      <c r="AL567" s="26" t="n">
        <v>3</v>
      </c>
      <c r="AM567" s="26" t="n">
        <v>5</v>
      </c>
      <c r="AN567" s="26" t="n">
        <v>10</v>
      </c>
      <c r="AO567" s="26" t="n">
        <v>3</v>
      </c>
      <c r="AP567" s="26" t="n">
        <v>4</v>
      </c>
      <c r="AQ567" s="26" t="n">
        <v>4</v>
      </c>
      <c r="AR567" s="26" t="n">
        <v>6</v>
      </c>
      <c r="AS567" s="26" t="n">
        <v>3</v>
      </c>
      <c r="AT567" s="26" t="n">
        <v>3</v>
      </c>
      <c r="AU567" s="26" t="n">
        <v>6</v>
      </c>
      <c r="AV567" s="26" t="n">
        <f aca="false">SUM(AL567:AU567)</f>
        <v>47</v>
      </c>
      <c r="AW567" s="32" t="n">
        <f aca="false">IFERROR(AV567/R567*1000000,"")</f>
        <v>5311.9349005425</v>
      </c>
      <c r="AX567" s="33" t="n">
        <f aca="false">IFERROR((R567-AV567)/R567,"")</f>
        <v>0.994688065099458</v>
      </c>
      <c r="AY567" s="34" t="n">
        <f aca="false">IFERROR(AH567*AJ567*AX567,"")</f>
        <v>0.728023897058824</v>
      </c>
      <c r="AZ567" s="35" t="s">
        <v>78</v>
      </c>
    </row>
    <row r="568" customFormat="false" ht="12.75" hidden="false" customHeight="true" outlineLevel="0" collapsed="false">
      <c r="A568" s="24" t="n">
        <v>564</v>
      </c>
      <c r="B568" s="25" t="n">
        <v>46210</v>
      </c>
      <c r="C568" s="25" t="n">
        <v>12</v>
      </c>
      <c r="D568" s="26" t="s">
        <v>87</v>
      </c>
      <c r="E568" s="26" t="s">
        <v>101</v>
      </c>
      <c r="F568" s="26" t="s">
        <v>81</v>
      </c>
      <c r="G568" s="26" t="s">
        <v>13</v>
      </c>
      <c r="H568" s="27" t="n">
        <v>0.354166666666667</v>
      </c>
      <c r="I568" s="27" t="n">
        <v>0.854166666666667</v>
      </c>
      <c r="J568" s="26" t="n">
        <f aca="false">IFERROR((I568-H568)*24*60,"")</f>
        <v>720</v>
      </c>
      <c r="K568" s="26" t="s">
        <v>105</v>
      </c>
      <c r="L568" s="26" t="s">
        <v>90</v>
      </c>
      <c r="M568" s="26" t="s">
        <v>103</v>
      </c>
      <c r="N568" s="26" t="s">
        <v>104</v>
      </c>
      <c r="O568" s="26" t="n">
        <v>2</v>
      </c>
      <c r="P568" s="26" t="n">
        <v>46</v>
      </c>
      <c r="Q568" s="26" t="n">
        <f aca="false">IFERROR(3600/(P568/O568),"")</f>
        <v>156.521739130435</v>
      </c>
      <c r="R568" s="26" t="n">
        <v>1583</v>
      </c>
      <c r="S568" s="26" t="n">
        <v>55</v>
      </c>
      <c r="T568" s="26" t="n">
        <f aca="false">IFERROR(J568-S568,"")</f>
        <v>665</v>
      </c>
      <c r="U568" s="26"/>
      <c r="V568" s="26"/>
      <c r="W568" s="26"/>
      <c r="X568" s="26" t="n">
        <v>6</v>
      </c>
      <c r="Y568" s="26"/>
      <c r="Z568" s="26"/>
      <c r="AA568" s="26"/>
      <c r="AB568" s="26"/>
      <c r="AC568" s="26"/>
      <c r="AD568" s="26"/>
      <c r="AE568" s="26"/>
      <c r="AF568" s="26" t="n">
        <f aca="false">SUM(U568:AE568)</f>
        <v>6</v>
      </c>
      <c r="AG568" s="26" t="n">
        <f aca="false">T568-AF568</f>
        <v>659</v>
      </c>
      <c r="AH568" s="28" t="n">
        <f aca="false">IFERROR(AG568/T568,"")</f>
        <v>0.990977443609023</v>
      </c>
      <c r="AI568" s="29" t="n">
        <f aca="false">IFERROR(R568/AG568*60,"")</f>
        <v>144.12746585736</v>
      </c>
      <c r="AJ568" s="30" t="n">
        <f aca="false">IFERROR(AI568/Q568,"")</f>
        <v>0.920814365199798</v>
      </c>
      <c r="AK568" s="31" t="n">
        <f aca="false">IFERROR(R568/(T568/60*Q568),"")</f>
        <v>0.91250626566416</v>
      </c>
      <c r="AL568" s="26" t="n">
        <v>4</v>
      </c>
      <c r="AM568" s="26" t="n">
        <v>2</v>
      </c>
      <c r="AN568" s="26" t="n">
        <v>2</v>
      </c>
      <c r="AO568" s="26" t="n">
        <v>4</v>
      </c>
      <c r="AP568" s="26" t="n">
        <v>1</v>
      </c>
      <c r="AQ568" s="26" t="n">
        <v>2</v>
      </c>
      <c r="AR568" s="26" t="n">
        <v>1</v>
      </c>
      <c r="AS568" s="26" t="n">
        <v>2</v>
      </c>
      <c r="AT568" s="26" t="n">
        <v>2</v>
      </c>
      <c r="AU568" s="26" t="n">
        <v>4</v>
      </c>
      <c r="AV568" s="26" t="n">
        <f aca="false">SUM(AL568:AU568)</f>
        <v>24</v>
      </c>
      <c r="AW568" s="32" t="n">
        <f aca="false">IFERROR(AV568/R568*1000000,"")</f>
        <v>15161.0865445357</v>
      </c>
      <c r="AX568" s="33" t="n">
        <f aca="false">IFERROR((R568-AV568)/R568,"")</f>
        <v>0.984838913455464</v>
      </c>
      <c r="AY568" s="34" t="n">
        <f aca="false">IFERROR(AH568*AJ568*AX568,"")</f>
        <v>0.898671679197995</v>
      </c>
      <c r="AZ568" s="35" t="s">
        <v>78</v>
      </c>
    </row>
    <row r="569" customFormat="false" ht="12.75" hidden="false" customHeight="true" outlineLevel="0" collapsed="false">
      <c r="A569" s="24" t="n">
        <v>565</v>
      </c>
      <c r="B569" s="25" t="n">
        <v>46211</v>
      </c>
      <c r="C569" s="25" t="n">
        <v>12</v>
      </c>
      <c r="D569" s="26" t="s">
        <v>71</v>
      </c>
      <c r="E569" s="26" t="s">
        <v>72</v>
      </c>
      <c r="F569" s="26" t="s">
        <v>73</v>
      </c>
      <c r="G569" s="26" t="s">
        <v>8</v>
      </c>
      <c r="H569" s="27" t="n">
        <v>0.354166666666667</v>
      </c>
      <c r="I569" s="27" t="n">
        <v>0.854166666666667</v>
      </c>
      <c r="J569" s="26" t="n">
        <f aca="false">IFERROR((I569-H569)*24*60,"")</f>
        <v>720</v>
      </c>
      <c r="K569" s="26" t="s">
        <v>82</v>
      </c>
      <c r="L569" s="26" t="s">
        <v>106</v>
      </c>
      <c r="M569" s="26" t="s">
        <v>76</v>
      </c>
      <c r="N569" s="26" t="s">
        <v>77</v>
      </c>
      <c r="O569" s="26" t="n">
        <v>2</v>
      </c>
      <c r="P569" s="26" t="n">
        <v>69</v>
      </c>
      <c r="Q569" s="26" t="n">
        <f aca="false">IFERROR(3600/(P569/O569),"")</f>
        <v>104.347826086957</v>
      </c>
      <c r="R569" s="26" t="n">
        <v>1070</v>
      </c>
      <c r="S569" s="26" t="n">
        <v>33</v>
      </c>
      <c r="T569" s="26" t="n">
        <f aca="false">IFERROR(J569-S569,"")</f>
        <v>687</v>
      </c>
      <c r="U569" s="26"/>
      <c r="V569" s="26" t="n">
        <v>6</v>
      </c>
      <c r="W569" s="26" t="n">
        <v>3</v>
      </c>
      <c r="X569" s="26"/>
      <c r="Y569" s="26"/>
      <c r="Z569" s="26"/>
      <c r="AA569" s="26"/>
      <c r="AB569" s="26"/>
      <c r="AC569" s="26"/>
      <c r="AD569" s="26"/>
      <c r="AE569" s="26"/>
      <c r="AF569" s="26" t="n">
        <f aca="false">SUM(U569:AE569)</f>
        <v>9</v>
      </c>
      <c r="AG569" s="26" t="n">
        <f aca="false">T569-AF569</f>
        <v>678</v>
      </c>
      <c r="AH569" s="28" t="n">
        <f aca="false">IFERROR(AG569/T569,"")</f>
        <v>0.986899563318777</v>
      </c>
      <c r="AI569" s="29" t="n">
        <f aca="false">IFERROR(R569/AG569*60,"")</f>
        <v>94.6902654867257</v>
      </c>
      <c r="AJ569" s="30" t="n">
        <f aca="false">IFERROR(AI569/Q569,"")</f>
        <v>0.907448377581121</v>
      </c>
      <c r="AK569" s="31" t="n">
        <f aca="false">IFERROR(R569/(T569/60*Q569),"")</f>
        <v>0.895560407569141</v>
      </c>
      <c r="AL569" s="26"/>
      <c r="AM569" s="26" t="n">
        <v>1</v>
      </c>
      <c r="AN569" s="26"/>
      <c r="AO569" s="26"/>
      <c r="AP569" s="26" t="n">
        <v>1</v>
      </c>
      <c r="AQ569" s="26" t="n">
        <v>1</v>
      </c>
      <c r="AR569" s="26" t="n">
        <v>1</v>
      </c>
      <c r="AS569" s="26" t="n">
        <v>1</v>
      </c>
      <c r="AT569" s="26" t="n">
        <v>1</v>
      </c>
      <c r="AU569" s="26"/>
      <c r="AV569" s="26" t="n">
        <f aca="false">SUM(AL569:AU569)</f>
        <v>6</v>
      </c>
      <c r="AW569" s="32" t="n">
        <f aca="false">IFERROR(AV569/R569*1000000,"")</f>
        <v>5607.47663551402</v>
      </c>
      <c r="AX569" s="33" t="n">
        <f aca="false">IFERROR((R569-AV569)/R569,"")</f>
        <v>0.994392523364486</v>
      </c>
      <c r="AY569" s="34" t="n">
        <f aca="false">IFERROR(AH569*AJ569*AX569,"")</f>
        <v>0.890538573508006</v>
      </c>
      <c r="AZ569" s="35" t="s">
        <v>93</v>
      </c>
    </row>
    <row r="570" customFormat="false" ht="12.75" hidden="false" customHeight="true" outlineLevel="0" collapsed="false">
      <c r="A570" s="24" t="n">
        <v>566</v>
      </c>
      <c r="B570" s="25" t="n">
        <v>46211</v>
      </c>
      <c r="C570" s="25" t="n">
        <v>12</v>
      </c>
      <c r="D570" s="26" t="s">
        <v>79</v>
      </c>
      <c r="E570" s="26" t="s">
        <v>80</v>
      </c>
      <c r="F570" s="26" t="s">
        <v>81</v>
      </c>
      <c r="G570" s="26" t="s">
        <v>9</v>
      </c>
      <c r="H570" s="27" t="n">
        <v>0.354166666666667</v>
      </c>
      <c r="I570" s="27" t="n">
        <v>0.854166666666667</v>
      </c>
      <c r="J570" s="26" t="n">
        <f aca="false">IFERROR((I570-H570)*24*60,"")</f>
        <v>720</v>
      </c>
      <c r="K570" s="26" t="s">
        <v>82</v>
      </c>
      <c r="L570" s="26" t="s">
        <v>106</v>
      </c>
      <c r="M570" s="26" t="s">
        <v>84</v>
      </c>
      <c r="N570" s="26" t="s">
        <v>85</v>
      </c>
      <c r="O570" s="26" t="n">
        <v>2</v>
      </c>
      <c r="P570" s="26" t="n">
        <v>38</v>
      </c>
      <c r="Q570" s="26" t="n">
        <f aca="false">IFERROR(3600/(P570/O570),"")</f>
        <v>189.473684210526</v>
      </c>
      <c r="R570" s="26" t="n">
        <v>1416</v>
      </c>
      <c r="S570" s="26" t="n">
        <v>30</v>
      </c>
      <c r="T570" s="26" t="n">
        <f aca="false">IFERROR(J570-S570,"")</f>
        <v>690</v>
      </c>
      <c r="U570" s="26"/>
      <c r="V570" s="26"/>
      <c r="W570" s="26"/>
      <c r="X570" s="26" t="n">
        <v>33</v>
      </c>
      <c r="Y570" s="26"/>
      <c r="Z570" s="26"/>
      <c r="AA570" s="26"/>
      <c r="AB570" s="26"/>
      <c r="AC570" s="26"/>
      <c r="AD570" s="26"/>
      <c r="AE570" s="26"/>
      <c r="AF570" s="26" t="n">
        <f aca="false">SUM(U570:AE570)</f>
        <v>33</v>
      </c>
      <c r="AG570" s="26" t="n">
        <f aca="false">T570-AF570</f>
        <v>657</v>
      </c>
      <c r="AH570" s="28" t="n">
        <f aca="false">IFERROR(AG570/T570,"")</f>
        <v>0.952173913043478</v>
      </c>
      <c r="AI570" s="29" t="n">
        <f aca="false">IFERROR(R570/AG570*60,"")</f>
        <v>129.315068493151</v>
      </c>
      <c r="AJ570" s="30" t="n">
        <f aca="false">IFERROR(AI570/Q570,"")</f>
        <v>0.682496194824962</v>
      </c>
      <c r="AK570" s="31" t="n">
        <f aca="false">IFERROR(R570/(T570/60*Q570),"")</f>
        <v>0.649855072463768</v>
      </c>
      <c r="AL570" s="26"/>
      <c r="AM570" s="26" t="n">
        <v>1</v>
      </c>
      <c r="AN570" s="26"/>
      <c r="AO570" s="26"/>
      <c r="AP570" s="26"/>
      <c r="AQ570" s="26"/>
      <c r="AR570" s="26" t="n">
        <v>1</v>
      </c>
      <c r="AS570" s="26" t="n">
        <v>2</v>
      </c>
      <c r="AT570" s="26" t="n">
        <v>1</v>
      </c>
      <c r="AU570" s="26"/>
      <c r="AV570" s="26" t="n">
        <f aca="false">SUM(AL570:AU570)</f>
        <v>5</v>
      </c>
      <c r="AW570" s="32" t="n">
        <f aca="false">IFERROR(AV570/R570*1000000,"")</f>
        <v>3531.07344632768</v>
      </c>
      <c r="AX570" s="33" t="n">
        <f aca="false">IFERROR((R570-AV570)/R570,"")</f>
        <v>0.996468926553672</v>
      </c>
      <c r="AY570" s="34" t="n">
        <f aca="false">IFERROR(AH570*AJ570*AX570,"")</f>
        <v>0.64756038647343</v>
      </c>
      <c r="AZ570" s="35"/>
    </row>
    <row r="571" customFormat="false" ht="12.75" hidden="false" customHeight="true" outlineLevel="0" collapsed="false">
      <c r="A571" s="24" t="n">
        <v>567</v>
      </c>
      <c r="B571" s="25" t="n">
        <v>46211</v>
      </c>
      <c r="C571" s="25" t="n">
        <v>12</v>
      </c>
      <c r="D571" s="26" t="s">
        <v>87</v>
      </c>
      <c r="E571" s="26" t="s">
        <v>88</v>
      </c>
      <c r="F571" s="26" t="s">
        <v>73</v>
      </c>
      <c r="G571" s="26" t="s">
        <v>10</v>
      </c>
      <c r="H571" s="27" t="n">
        <v>0.354166666666667</v>
      </c>
      <c r="I571" s="27" t="n">
        <v>0.854166666666667</v>
      </c>
      <c r="J571" s="26" t="n">
        <f aca="false">IFERROR((I571-H571)*24*60,"")</f>
        <v>720</v>
      </c>
      <c r="K571" s="26" t="s">
        <v>82</v>
      </c>
      <c r="L571" s="26" t="s">
        <v>106</v>
      </c>
      <c r="M571" s="26" t="s">
        <v>91</v>
      </c>
      <c r="N571" s="26" t="s">
        <v>92</v>
      </c>
      <c r="O571" s="26" t="n">
        <v>4</v>
      </c>
      <c r="P571" s="26" t="n">
        <v>39</v>
      </c>
      <c r="Q571" s="26" t="n">
        <f aca="false">IFERROR(3600/(P571/O571),"")</f>
        <v>369.230769230769</v>
      </c>
      <c r="R571" s="26" t="n">
        <v>3231</v>
      </c>
      <c r="S571" s="26" t="n">
        <v>48</v>
      </c>
      <c r="T571" s="26" t="n">
        <f aca="false">IFERROR(J571-S571,"")</f>
        <v>672</v>
      </c>
      <c r="U571" s="26"/>
      <c r="V571" s="26"/>
      <c r="W571" s="26"/>
      <c r="X571" s="26" t="n">
        <v>48</v>
      </c>
      <c r="Y571" s="26"/>
      <c r="Z571" s="26" t="n">
        <v>12</v>
      </c>
      <c r="AA571" s="26"/>
      <c r="AB571" s="26"/>
      <c r="AC571" s="26"/>
      <c r="AD571" s="26" t="n">
        <v>6</v>
      </c>
      <c r="AE571" s="26"/>
      <c r="AF571" s="26" t="n">
        <f aca="false">SUM(U571:AE571)</f>
        <v>66</v>
      </c>
      <c r="AG571" s="26" t="n">
        <f aca="false">T571-AF571</f>
        <v>606</v>
      </c>
      <c r="AH571" s="28" t="n">
        <f aca="false">IFERROR(AG571/T571,"")</f>
        <v>0.901785714285714</v>
      </c>
      <c r="AI571" s="29" t="n">
        <f aca="false">IFERROR(R571/AG571*60,"")</f>
        <v>319.90099009901</v>
      </c>
      <c r="AJ571" s="30" t="n">
        <f aca="false">IFERROR(AI571/Q571,"")</f>
        <v>0.866398514851485</v>
      </c>
      <c r="AK571" s="31" t="n">
        <f aca="false">IFERROR(R571/(T571/60*Q571),"")</f>
        <v>0.781305803571429</v>
      </c>
      <c r="AL571" s="26" t="n">
        <v>5</v>
      </c>
      <c r="AM571" s="26" t="n">
        <v>9</v>
      </c>
      <c r="AN571" s="26" t="n">
        <v>9</v>
      </c>
      <c r="AO571" s="26" t="n">
        <v>4</v>
      </c>
      <c r="AP571" s="26"/>
      <c r="AQ571" s="26" t="n">
        <v>5</v>
      </c>
      <c r="AR571" s="26" t="n">
        <v>9</v>
      </c>
      <c r="AS571" s="26" t="n">
        <v>8</v>
      </c>
      <c r="AT571" s="26" t="n">
        <v>4</v>
      </c>
      <c r="AU571" s="26" t="n">
        <v>3</v>
      </c>
      <c r="AV571" s="26" t="n">
        <f aca="false">SUM(AL571:AU571)</f>
        <v>56</v>
      </c>
      <c r="AW571" s="32" t="n">
        <f aca="false">IFERROR(AV571/R571*1000000,"")</f>
        <v>17332.0953265243</v>
      </c>
      <c r="AX571" s="33" t="n">
        <f aca="false">IFERROR((R571-AV571)/R571,"")</f>
        <v>0.982667904673476</v>
      </c>
      <c r="AY571" s="34" t="n">
        <f aca="false">IFERROR(AH571*AJ571*AX571,"")</f>
        <v>0.767764136904762</v>
      </c>
      <c r="AZ571" s="35"/>
    </row>
    <row r="572" customFormat="false" ht="12.75" hidden="false" customHeight="true" outlineLevel="0" collapsed="false">
      <c r="A572" s="24" t="n">
        <v>568</v>
      </c>
      <c r="B572" s="25" t="n">
        <v>46212</v>
      </c>
      <c r="C572" s="25" t="n">
        <v>12</v>
      </c>
      <c r="D572" s="26" t="s">
        <v>71</v>
      </c>
      <c r="E572" s="26" t="s">
        <v>94</v>
      </c>
      <c r="F572" s="26" t="s">
        <v>81</v>
      </c>
      <c r="G572" s="26" t="s">
        <v>11</v>
      </c>
      <c r="H572" s="27" t="n">
        <v>0.354166666666667</v>
      </c>
      <c r="I572" s="27" t="n">
        <v>0.854166666666667</v>
      </c>
      <c r="J572" s="26" t="n">
        <f aca="false">IFERROR((I572-H572)*24*60,"")</f>
        <v>720</v>
      </c>
      <c r="K572" s="26" t="s">
        <v>89</v>
      </c>
      <c r="L572" s="26" t="s">
        <v>106</v>
      </c>
      <c r="M572" s="26" t="s">
        <v>95</v>
      </c>
      <c r="N572" s="26" t="s">
        <v>96</v>
      </c>
      <c r="O572" s="26" t="n">
        <v>1</v>
      </c>
      <c r="P572" s="26" t="n">
        <v>29</v>
      </c>
      <c r="Q572" s="26" t="n">
        <f aca="false">IFERROR(3600/(P572/O572),"")</f>
        <v>124.137931034483</v>
      </c>
      <c r="R572" s="26" t="n">
        <v>1016</v>
      </c>
      <c r="S572" s="26" t="n">
        <v>44</v>
      </c>
      <c r="T572" s="26" t="n">
        <f aca="false">IFERROR(J572-S572,"")</f>
        <v>676</v>
      </c>
      <c r="U572" s="26"/>
      <c r="V572" s="26"/>
      <c r="W572" s="26"/>
      <c r="X572" s="26" t="n">
        <v>22</v>
      </c>
      <c r="Y572" s="26"/>
      <c r="Z572" s="26"/>
      <c r="AA572" s="26"/>
      <c r="AB572" s="26"/>
      <c r="AC572" s="26"/>
      <c r="AD572" s="26"/>
      <c r="AE572" s="26"/>
      <c r="AF572" s="26" t="n">
        <f aca="false">SUM(U572:AE572)</f>
        <v>22</v>
      </c>
      <c r="AG572" s="26" t="n">
        <f aca="false">T572-AF572</f>
        <v>654</v>
      </c>
      <c r="AH572" s="28" t="n">
        <f aca="false">IFERROR(AG572/T572,"")</f>
        <v>0.967455621301775</v>
      </c>
      <c r="AI572" s="29" t="n">
        <f aca="false">IFERROR(R572/AG572*60,"")</f>
        <v>93.2110091743119</v>
      </c>
      <c r="AJ572" s="30" t="n">
        <f aca="false">IFERROR(AI572/Q572,"")</f>
        <v>0.750866462793068</v>
      </c>
      <c r="AK572" s="31" t="n">
        <f aca="false">IFERROR(R572/(T572/60*Q572),"")</f>
        <v>0.726429980276134</v>
      </c>
      <c r="AL572" s="26" t="n">
        <v>1</v>
      </c>
      <c r="AM572" s="26"/>
      <c r="AN572" s="26"/>
      <c r="AO572" s="26" t="n">
        <v>1</v>
      </c>
      <c r="AP572" s="26"/>
      <c r="AQ572" s="26"/>
      <c r="AR572" s="26"/>
      <c r="AS572" s="26"/>
      <c r="AT572" s="26"/>
      <c r="AU572" s="26"/>
      <c r="AV572" s="26" t="n">
        <f aca="false">SUM(AL572:AU572)</f>
        <v>2</v>
      </c>
      <c r="AW572" s="32" t="n">
        <f aca="false">IFERROR(AV572/R572*1000000,"")</f>
        <v>1968.50393700787</v>
      </c>
      <c r="AX572" s="33" t="n">
        <f aca="false">IFERROR((R572-AV572)/R572,"")</f>
        <v>0.998031496062992</v>
      </c>
      <c r="AY572" s="34" t="n">
        <f aca="false">IFERROR(AH572*AJ572*AX572,"")</f>
        <v>0.725</v>
      </c>
      <c r="AZ572" s="35" t="s">
        <v>86</v>
      </c>
    </row>
    <row r="573" customFormat="false" ht="12.75" hidden="false" customHeight="true" outlineLevel="0" collapsed="false">
      <c r="A573" s="24" t="n">
        <v>569</v>
      </c>
      <c r="B573" s="25" t="n">
        <v>46212</v>
      </c>
      <c r="C573" s="25" t="n">
        <v>12</v>
      </c>
      <c r="D573" s="26" t="s">
        <v>79</v>
      </c>
      <c r="E573" s="26" t="s">
        <v>97</v>
      </c>
      <c r="F573" s="26" t="s">
        <v>73</v>
      </c>
      <c r="G573" s="26" t="s">
        <v>12</v>
      </c>
      <c r="H573" s="27" t="n">
        <v>0.354166666666667</v>
      </c>
      <c r="I573" s="27" t="n">
        <v>0.854166666666667</v>
      </c>
      <c r="J573" s="26" t="n">
        <f aca="false">IFERROR((I573-H573)*24*60,"")</f>
        <v>720</v>
      </c>
      <c r="K573" s="26" t="s">
        <v>74</v>
      </c>
      <c r="L573" s="26" t="s">
        <v>102</v>
      </c>
      <c r="M573" s="26" t="s">
        <v>99</v>
      </c>
      <c r="N573" s="26" t="s">
        <v>100</v>
      </c>
      <c r="O573" s="26" t="n">
        <v>2</v>
      </c>
      <c r="P573" s="26" t="n">
        <v>39</v>
      </c>
      <c r="Q573" s="26" t="n">
        <f aca="false">IFERROR(3600/(P573/O573),"")</f>
        <v>184.615384615385</v>
      </c>
      <c r="R573" s="26" t="n">
        <v>1687</v>
      </c>
      <c r="S573" s="26" t="n">
        <v>66</v>
      </c>
      <c r="T573" s="26" t="n">
        <f aca="false">IFERROR(J573-S573,"")</f>
        <v>654</v>
      </c>
      <c r="U573" s="26"/>
      <c r="V573" s="26"/>
      <c r="W573" s="26" t="n">
        <v>16</v>
      </c>
      <c r="X573" s="26"/>
      <c r="Y573" s="26"/>
      <c r="Z573" s="26"/>
      <c r="AA573" s="26"/>
      <c r="AB573" s="26"/>
      <c r="AC573" s="26"/>
      <c r="AD573" s="26"/>
      <c r="AE573" s="26"/>
      <c r="AF573" s="26" t="n">
        <f aca="false">SUM(U573:AE573)</f>
        <v>16</v>
      </c>
      <c r="AG573" s="26" t="n">
        <f aca="false">T573-AF573</f>
        <v>638</v>
      </c>
      <c r="AH573" s="28" t="n">
        <f aca="false">IFERROR(AG573/T573,"")</f>
        <v>0.975535168195719</v>
      </c>
      <c r="AI573" s="29" t="n">
        <f aca="false">IFERROR(R573/AG573*60,"")</f>
        <v>158.652037617555</v>
      </c>
      <c r="AJ573" s="30" t="n">
        <f aca="false">IFERROR(AI573/Q573,"")</f>
        <v>0.859365203761756</v>
      </c>
      <c r="AK573" s="31" t="n">
        <f aca="false">IFERROR(R573/(T573/60*Q573),"")</f>
        <v>0.838340978593272</v>
      </c>
      <c r="AL573" s="26"/>
      <c r="AM573" s="26" t="n">
        <v>1</v>
      </c>
      <c r="AN573" s="26" t="n">
        <v>1</v>
      </c>
      <c r="AO573" s="26" t="n">
        <v>1</v>
      </c>
      <c r="AP573" s="26" t="n">
        <v>1</v>
      </c>
      <c r="AQ573" s="26" t="n">
        <v>1</v>
      </c>
      <c r="AR573" s="26" t="n">
        <v>2</v>
      </c>
      <c r="AS573" s="26" t="n">
        <v>2</v>
      </c>
      <c r="AT573" s="26" t="n">
        <v>2</v>
      </c>
      <c r="AU573" s="26" t="n">
        <v>2</v>
      </c>
      <c r="AV573" s="26" t="n">
        <f aca="false">SUM(AL573:AU573)</f>
        <v>13</v>
      </c>
      <c r="AW573" s="32" t="n">
        <f aca="false">IFERROR(AV573/R573*1000000,"")</f>
        <v>7705.98695909899</v>
      </c>
      <c r="AX573" s="33" t="n">
        <f aca="false">IFERROR((R573-AV573)/R573,"")</f>
        <v>0.992294013040901</v>
      </c>
      <c r="AY573" s="34" t="n">
        <f aca="false">IFERROR(AH573*AJ573*AX573,"")</f>
        <v>0.831880733944954</v>
      </c>
      <c r="AZ573" s="35"/>
    </row>
    <row r="574" customFormat="false" ht="12.75" hidden="false" customHeight="true" outlineLevel="0" collapsed="false">
      <c r="A574" s="24" t="n">
        <v>570</v>
      </c>
      <c r="B574" s="25" t="n">
        <v>46212</v>
      </c>
      <c r="C574" s="25" t="n">
        <v>12</v>
      </c>
      <c r="D574" s="26" t="s">
        <v>87</v>
      </c>
      <c r="E574" s="26" t="s">
        <v>101</v>
      </c>
      <c r="F574" s="26" t="s">
        <v>81</v>
      </c>
      <c r="G574" s="26" t="s">
        <v>13</v>
      </c>
      <c r="H574" s="27" t="n">
        <v>0.354166666666667</v>
      </c>
      <c r="I574" s="27" t="n">
        <v>0.854166666666667</v>
      </c>
      <c r="J574" s="26" t="n">
        <f aca="false">IFERROR((I574-H574)*24*60,"")</f>
        <v>720</v>
      </c>
      <c r="K574" s="26" t="s">
        <v>82</v>
      </c>
      <c r="L574" s="26" t="s">
        <v>106</v>
      </c>
      <c r="M574" s="26" t="s">
        <v>103</v>
      </c>
      <c r="N574" s="26" t="s">
        <v>104</v>
      </c>
      <c r="O574" s="26" t="n">
        <v>4</v>
      </c>
      <c r="P574" s="26" t="n">
        <v>37</v>
      </c>
      <c r="Q574" s="26" t="n">
        <f aca="false">IFERROR(3600/(P574/O574),"")</f>
        <v>389.189189189189</v>
      </c>
      <c r="R574" s="26" t="n">
        <v>4314</v>
      </c>
      <c r="S574" s="26" t="n">
        <v>51</v>
      </c>
      <c r="T574" s="26" t="n">
        <f aca="false">IFERROR(J574-S574,"")</f>
        <v>669</v>
      </c>
      <c r="U574" s="26"/>
      <c r="V574" s="26" t="n">
        <v>3</v>
      </c>
      <c r="W574" s="26"/>
      <c r="X574" s="26"/>
      <c r="Y574" s="26"/>
      <c r="Z574" s="26"/>
      <c r="AA574" s="26"/>
      <c r="AB574" s="26"/>
      <c r="AC574" s="26"/>
      <c r="AD574" s="26"/>
      <c r="AE574" s="26"/>
      <c r="AF574" s="26" t="n">
        <f aca="false">SUM(U574:AE574)</f>
        <v>3</v>
      </c>
      <c r="AG574" s="26" t="n">
        <f aca="false">T574-AF574</f>
        <v>666</v>
      </c>
      <c r="AH574" s="28" t="n">
        <f aca="false">IFERROR(AG574/T574,"")</f>
        <v>0.995515695067265</v>
      </c>
      <c r="AI574" s="29" t="n">
        <f aca="false">IFERROR(R574/AG574*60,"")</f>
        <v>388.648648648649</v>
      </c>
      <c r="AJ574" s="30" t="n">
        <f aca="false">IFERROR(AI574/Q574,"")</f>
        <v>0.998611111111111</v>
      </c>
      <c r="AK574" s="31" t="n">
        <f aca="false">IFERROR(R574/(T574/60*Q574),"")</f>
        <v>0.994133034379671</v>
      </c>
      <c r="AL574" s="26" t="n">
        <v>1</v>
      </c>
      <c r="AM574" s="26" t="n">
        <v>1</v>
      </c>
      <c r="AN574" s="26" t="n">
        <v>4</v>
      </c>
      <c r="AO574" s="26" t="n">
        <v>1</v>
      </c>
      <c r="AP574" s="26" t="n">
        <v>3</v>
      </c>
      <c r="AQ574" s="26" t="n">
        <v>2</v>
      </c>
      <c r="AR574" s="26" t="n">
        <v>4</v>
      </c>
      <c r="AS574" s="26" t="n">
        <v>2</v>
      </c>
      <c r="AT574" s="26"/>
      <c r="AU574" s="26"/>
      <c r="AV574" s="26" t="n">
        <f aca="false">SUM(AL574:AU574)</f>
        <v>18</v>
      </c>
      <c r="AW574" s="32" t="n">
        <f aca="false">IFERROR(AV574/R574*1000000,"")</f>
        <v>4172.46175243394</v>
      </c>
      <c r="AX574" s="33" t="n">
        <f aca="false">IFERROR((R574-AV574)/R574,"")</f>
        <v>0.995827538247566</v>
      </c>
      <c r="AY574" s="34" t="n">
        <f aca="false">IFERROR(AH574*AJ574*AX574,"")</f>
        <v>0.989985052316891</v>
      </c>
      <c r="AZ574" s="35" t="s">
        <v>86</v>
      </c>
    </row>
    <row r="575" customFormat="false" ht="12.75" hidden="false" customHeight="true" outlineLevel="0" collapsed="false">
      <c r="A575" s="24" t="n">
        <v>571</v>
      </c>
      <c r="B575" s="25" t="n">
        <v>46213</v>
      </c>
      <c r="C575" s="25" t="n">
        <v>12</v>
      </c>
      <c r="D575" s="26" t="s">
        <v>71</v>
      </c>
      <c r="E575" s="26" t="s">
        <v>72</v>
      </c>
      <c r="F575" s="26" t="s">
        <v>73</v>
      </c>
      <c r="G575" s="26" t="s">
        <v>8</v>
      </c>
      <c r="H575" s="27" t="n">
        <v>0.354166666666667</v>
      </c>
      <c r="I575" s="27" t="n">
        <v>0.854166666666667</v>
      </c>
      <c r="J575" s="26" t="n">
        <f aca="false">IFERROR((I575-H575)*24*60,"")</f>
        <v>720</v>
      </c>
      <c r="K575" s="26" t="s">
        <v>89</v>
      </c>
      <c r="L575" s="26" t="s">
        <v>106</v>
      </c>
      <c r="M575" s="26" t="s">
        <v>76</v>
      </c>
      <c r="N575" s="26" t="s">
        <v>77</v>
      </c>
      <c r="O575" s="26" t="n">
        <v>4</v>
      </c>
      <c r="P575" s="26" t="n">
        <v>67</v>
      </c>
      <c r="Q575" s="26" t="n">
        <f aca="false">IFERROR(3600/(P575/O575),"")</f>
        <v>214.925373134328</v>
      </c>
      <c r="R575" s="26" t="n">
        <v>1834</v>
      </c>
      <c r="S575" s="26" t="n">
        <v>45</v>
      </c>
      <c r="T575" s="26" t="n">
        <f aca="false">IFERROR(J575-S575,"")</f>
        <v>675</v>
      </c>
      <c r="U575" s="26"/>
      <c r="V575" s="26"/>
      <c r="W575" s="26"/>
      <c r="X575" s="26"/>
      <c r="Y575" s="26"/>
      <c r="Z575" s="26"/>
      <c r="AA575" s="26" t="n">
        <v>33</v>
      </c>
      <c r="AB575" s="26"/>
      <c r="AC575" s="26" t="n">
        <v>11</v>
      </c>
      <c r="AD575" s="26"/>
      <c r="AE575" s="26"/>
      <c r="AF575" s="26" t="n">
        <f aca="false">SUM(U575:AE575)</f>
        <v>44</v>
      </c>
      <c r="AG575" s="26" t="n">
        <f aca="false">T575-AF575</f>
        <v>631</v>
      </c>
      <c r="AH575" s="28" t="n">
        <f aca="false">IFERROR(AG575/T575,"")</f>
        <v>0.934814814814815</v>
      </c>
      <c r="AI575" s="29" t="n">
        <f aca="false">IFERROR(R575/AG575*60,"")</f>
        <v>174.389857369255</v>
      </c>
      <c r="AJ575" s="30" t="n">
        <f aca="false">IFERROR(AI575/Q575,"")</f>
        <v>0.811397253037507</v>
      </c>
      <c r="AK575" s="31" t="n">
        <f aca="false">IFERROR(R575/(T575/60*Q575),"")</f>
        <v>0.758506172839506</v>
      </c>
      <c r="AL575" s="26" t="n">
        <v>2</v>
      </c>
      <c r="AM575" s="26" t="n">
        <v>1</v>
      </c>
      <c r="AN575" s="26" t="n">
        <v>4</v>
      </c>
      <c r="AO575" s="26"/>
      <c r="AP575" s="26" t="n">
        <v>4</v>
      </c>
      <c r="AQ575" s="26" t="n">
        <v>3</v>
      </c>
      <c r="AR575" s="26" t="n">
        <v>4</v>
      </c>
      <c r="AS575" s="26"/>
      <c r="AT575" s="26"/>
      <c r="AU575" s="26" t="n">
        <v>4</v>
      </c>
      <c r="AV575" s="26" t="n">
        <f aca="false">SUM(AL575:AU575)</f>
        <v>22</v>
      </c>
      <c r="AW575" s="32" t="n">
        <f aca="false">IFERROR(AV575/R575*1000000,"")</f>
        <v>11995.6379498364</v>
      </c>
      <c r="AX575" s="33" t="n">
        <f aca="false">IFERROR((R575-AV575)/R575,"")</f>
        <v>0.988004362050164</v>
      </c>
      <c r="AY575" s="34" t="n">
        <f aca="false">IFERROR(AH575*AJ575*AX575,"")</f>
        <v>0.749407407407407</v>
      </c>
      <c r="AZ575" s="35" t="s">
        <v>78</v>
      </c>
    </row>
    <row r="576" customFormat="false" ht="12.75" hidden="false" customHeight="true" outlineLevel="0" collapsed="false">
      <c r="A576" s="24" t="n">
        <v>572</v>
      </c>
      <c r="B576" s="25" t="n">
        <v>46213</v>
      </c>
      <c r="C576" s="25" t="n">
        <v>12</v>
      </c>
      <c r="D576" s="26" t="s">
        <v>79</v>
      </c>
      <c r="E576" s="26" t="s">
        <v>80</v>
      </c>
      <c r="F576" s="26" t="s">
        <v>81</v>
      </c>
      <c r="G576" s="26" t="s">
        <v>9</v>
      </c>
      <c r="H576" s="27" t="n">
        <v>0.354166666666667</v>
      </c>
      <c r="I576" s="27" t="n">
        <v>0.854166666666667</v>
      </c>
      <c r="J576" s="26" t="n">
        <f aca="false">IFERROR((I576-H576)*24*60,"")</f>
        <v>720</v>
      </c>
      <c r="K576" s="26" t="s">
        <v>82</v>
      </c>
      <c r="L576" s="26" t="s">
        <v>83</v>
      </c>
      <c r="M576" s="26" t="s">
        <v>84</v>
      </c>
      <c r="N576" s="26" t="s">
        <v>85</v>
      </c>
      <c r="O576" s="26" t="n">
        <v>8</v>
      </c>
      <c r="P576" s="26" t="n">
        <v>73</v>
      </c>
      <c r="Q576" s="26" t="n">
        <f aca="false">IFERROR(3600/(P576/O576),"")</f>
        <v>394.520547945205</v>
      </c>
      <c r="R576" s="26" t="n">
        <v>3330</v>
      </c>
      <c r="S576" s="26" t="n">
        <v>39</v>
      </c>
      <c r="T576" s="26" t="n">
        <f aca="false">IFERROR(J576-S576,"")</f>
        <v>681</v>
      </c>
      <c r="U576" s="26"/>
      <c r="V576" s="26"/>
      <c r="W576" s="26"/>
      <c r="X576" s="26"/>
      <c r="Y576" s="26"/>
      <c r="Z576" s="26"/>
      <c r="AA576" s="26"/>
      <c r="AB576" s="26" t="n">
        <v>6</v>
      </c>
      <c r="AC576" s="26"/>
      <c r="AD576" s="26" t="n">
        <v>3</v>
      </c>
      <c r="AE576" s="26"/>
      <c r="AF576" s="26" t="n">
        <f aca="false">SUM(U576:AE576)</f>
        <v>9</v>
      </c>
      <c r="AG576" s="26" t="n">
        <f aca="false">T576-AF576</f>
        <v>672</v>
      </c>
      <c r="AH576" s="28" t="n">
        <f aca="false">IFERROR(AG576/T576,"")</f>
        <v>0.986784140969163</v>
      </c>
      <c r="AI576" s="29" t="n">
        <f aca="false">IFERROR(R576/AG576*60,"")</f>
        <v>297.321428571429</v>
      </c>
      <c r="AJ576" s="30" t="n">
        <f aca="false">IFERROR(AI576/Q576,"")</f>
        <v>0.753627232142857</v>
      </c>
      <c r="AK576" s="31" t="n">
        <f aca="false">IFERROR(R576/(T576/60*Q576),"")</f>
        <v>0.743667400881057</v>
      </c>
      <c r="AL576" s="26" t="n">
        <v>10</v>
      </c>
      <c r="AM576" s="26" t="n">
        <v>7</v>
      </c>
      <c r="AN576" s="26" t="n">
        <v>11</v>
      </c>
      <c r="AO576" s="26" t="n">
        <v>9</v>
      </c>
      <c r="AP576" s="26" t="n">
        <v>9</v>
      </c>
      <c r="AQ576" s="26" t="n">
        <v>5</v>
      </c>
      <c r="AR576" s="26" t="n">
        <v>6</v>
      </c>
      <c r="AS576" s="26" t="n">
        <v>10</v>
      </c>
      <c r="AT576" s="26" t="n">
        <v>6</v>
      </c>
      <c r="AU576" s="26" t="n">
        <v>6</v>
      </c>
      <c r="AV576" s="26" t="n">
        <f aca="false">SUM(AL576:AU576)</f>
        <v>79</v>
      </c>
      <c r="AW576" s="32" t="n">
        <f aca="false">IFERROR(AV576/R576*1000000,"")</f>
        <v>23723.7237237237</v>
      </c>
      <c r="AX576" s="33" t="n">
        <f aca="false">IFERROR((R576-AV576)/R576,"")</f>
        <v>0.976276276276276</v>
      </c>
      <c r="AY576" s="34" t="n">
        <f aca="false">IFERROR(AH576*AJ576*AX576,"")</f>
        <v>0.726024840920216</v>
      </c>
      <c r="AZ576" s="35"/>
    </row>
    <row r="577" customFormat="false" ht="12.75" hidden="false" customHeight="true" outlineLevel="0" collapsed="false">
      <c r="A577" s="24" t="n">
        <v>573</v>
      </c>
      <c r="B577" s="25" t="n">
        <v>46213</v>
      </c>
      <c r="C577" s="25" t="n">
        <v>12</v>
      </c>
      <c r="D577" s="26" t="s">
        <v>87</v>
      </c>
      <c r="E577" s="26" t="s">
        <v>88</v>
      </c>
      <c r="F577" s="26" t="s">
        <v>73</v>
      </c>
      <c r="G577" s="26" t="s">
        <v>10</v>
      </c>
      <c r="H577" s="27" t="n">
        <v>0.354166666666667</v>
      </c>
      <c r="I577" s="27" t="n">
        <v>0.854166666666667</v>
      </c>
      <c r="J577" s="26" t="n">
        <f aca="false">IFERROR((I577-H577)*24*60,"")</f>
        <v>720</v>
      </c>
      <c r="K577" s="26" t="s">
        <v>82</v>
      </c>
      <c r="L577" s="26" t="s">
        <v>90</v>
      </c>
      <c r="M577" s="26" t="s">
        <v>91</v>
      </c>
      <c r="N577" s="26" t="s">
        <v>92</v>
      </c>
      <c r="O577" s="26" t="n">
        <v>2</v>
      </c>
      <c r="P577" s="26" t="n">
        <v>37</v>
      </c>
      <c r="Q577" s="26" t="n">
        <f aca="false">IFERROR(3600/(P577/O577),"")</f>
        <v>194.594594594595</v>
      </c>
      <c r="R577" s="26" t="n">
        <v>2021</v>
      </c>
      <c r="S577" s="26" t="n">
        <v>46</v>
      </c>
      <c r="T577" s="26" t="n">
        <f aca="false">IFERROR(J577-S577,"")</f>
        <v>674</v>
      </c>
      <c r="U577" s="26"/>
      <c r="V577" s="26"/>
      <c r="W577" s="26"/>
      <c r="X577" s="26"/>
      <c r="Y577" s="26"/>
      <c r="Z577" s="26"/>
      <c r="AA577" s="26"/>
      <c r="AB577" s="26" t="n">
        <v>30</v>
      </c>
      <c r="AC577" s="26"/>
      <c r="AD577" s="26"/>
      <c r="AE577" s="26"/>
      <c r="AF577" s="26" t="n">
        <f aca="false">SUM(U577:AE577)</f>
        <v>30</v>
      </c>
      <c r="AG577" s="26" t="n">
        <f aca="false">T577-AF577</f>
        <v>644</v>
      </c>
      <c r="AH577" s="28" t="n">
        <f aca="false">IFERROR(AG577/T577,"")</f>
        <v>0.955489614243324</v>
      </c>
      <c r="AI577" s="29" t="n">
        <f aca="false">IFERROR(R577/AG577*60,"")</f>
        <v>188.291925465839</v>
      </c>
      <c r="AJ577" s="30" t="n">
        <f aca="false">IFERROR(AI577/Q577,"")</f>
        <v>0.967611283643893</v>
      </c>
      <c r="AK577" s="31" t="n">
        <f aca="false">IFERROR(R577/(T577/60*Q577),"")</f>
        <v>0.92454253214639</v>
      </c>
      <c r="AL577" s="26" t="n">
        <v>4</v>
      </c>
      <c r="AM577" s="26" t="n">
        <v>3</v>
      </c>
      <c r="AN577" s="26" t="n">
        <v>3</v>
      </c>
      <c r="AO577" s="26" t="n">
        <v>3</v>
      </c>
      <c r="AP577" s="26" t="n">
        <v>4</v>
      </c>
      <c r="AQ577" s="26" t="n">
        <v>3</v>
      </c>
      <c r="AR577" s="26" t="n">
        <v>5</v>
      </c>
      <c r="AS577" s="26" t="n">
        <v>1</v>
      </c>
      <c r="AT577" s="26" t="n">
        <v>3</v>
      </c>
      <c r="AU577" s="26" t="n">
        <v>6</v>
      </c>
      <c r="AV577" s="26" t="n">
        <f aca="false">SUM(AL577:AU577)</f>
        <v>35</v>
      </c>
      <c r="AW577" s="32" t="n">
        <f aca="false">IFERROR(AV577/R577*1000000,"")</f>
        <v>17318.1593270658</v>
      </c>
      <c r="AX577" s="33" t="n">
        <f aca="false">IFERROR((R577-AV577)/R577,"")</f>
        <v>0.982681840672934</v>
      </c>
      <c r="AY577" s="34" t="n">
        <f aca="false">IFERROR(AH577*AJ577*AX577,"")</f>
        <v>0.90853115727003</v>
      </c>
      <c r="AZ577" s="35" t="s">
        <v>78</v>
      </c>
    </row>
    <row r="578" customFormat="false" ht="12.75" hidden="false" customHeight="true" outlineLevel="0" collapsed="false">
      <c r="A578" s="24" t="n">
        <v>574</v>
      </c>
      <c r="B578" s="25" t="n">
        <v>46214</v>
      </c>
      <c r="C578" s="25" t="n">
        <v>12</v>
      </c>
      <c r="D578" s="26" t="s">
        <v>71</v>
      </c>
      <c r="E578" s="26" t="s">
        <v>94</v>
      </c>
      <c r="F578" s="26" t="s">
        <v>81</v>
      </c>
      <c r="G578" s="26" t="s">
        <v>11</v>
      </c>
      <c r="H578" s="27" t="n">
        <v>0.354166666666667</v>
      </c>
      <c r="I578" s="27" t="n">
        <v>0.854166666666667</v>
      </c>
      <c r="J578" s="26" t="n">
        <f aca="false">IFERROR((I578-H578)*24*60,"")</f>
        <v>720</v>
      </c>
      <c r="K578" s="26" t="s">
        <v>89</v>
      </c>
      <c r="L578" s="26" t="s">
        <v>108</v>
      </c>
      <c r="M578" s="26" t="s">
        <v>95</v>
      </c>
      <c r="N578" s="26" t="s">
        <v>96</v>
      </c>
      <c r="O578" s="26" t="n">
        <v>4</v>
      </c>
      <c r="P578" s="26" t="n">
        <v>42</v>
      </c>
      <c r="Q578" s="26" t="n">
        <f aca="false">IFERROR(3600/(P578/O578),"")</f>
        <v>342.857142857143</v>
      </c>
      <c r="R578" s="26" t="n">
        <v>3217</v>
      </c>
      <c r="S578" s="26" t="n">
        <v>34</v>
      </c>
      <c r="T578" s="26" t="n">
        <f aca="false">IFERROR(J578-S578,"")</f>
        <v>686</v>
      </c>
      <c r="U578" s="26"/>
      <c r="V578" s="26"/>
      <c r="W578" s="26"/>
      <c r="X578" s="26"/>
      <c r="Y578" s="26"/>
      <c r="Z578" s="26"/>
      <c r="AA578" s="26"/>
      <c r="AB578" s="26"/>
      <c r="AC578" s="26" t="n">
        <v>11</v>
      </c>
      <c r="AD578" s="26"/>
      <c r="AE578" s="26"/>
      <c r="AF578" s="26" t="n">
        <f aca="false">SUM(U578:AE578)</f>
        <v>11</v>
      </c>
      <c r="AG578" s="26" t="n">
        <f aca="false">T578-AF578</f>
        <v>675</v>
      </c>
      <c r="AH578" s="28" t="n">
        <f aca="false">IFERROR(AG578/T578,"")</f>
        <v>0.98396501457726</v>
      </c>
      <c r="AI578" s="29" t="n">
        <f aca="false">IFERROR(R578/AG578*60,"")</f>
        <v>285.955555555556</v>
      </c>
      <c r="AJ578" s="30" t="n">
        <f aca="false">IFERROR(AI578/Q578,"")</f>
        <v>0.834037037037037</v>
      </c>
      <c r="AK578" s="31" t="n">
        <f aca="false">IFERROR(R578/(T578/60*Q578),"")</f>
        <v>0.820663265306122</v>
      </c>
      <c r="AL578" s="26" t="n">
        <v>8</v>
      </c>
      <c r="AM578" s="26" t="n">
        <v>11</v>
      </c>
      <c r="AN578" s="26" t="n">
        <v>1</v>
      </c>
      <c r="AO578" s="26" t="n">
        <v>7</v>
      </c>
      <c r="AP578" s="26" t="n">
        <v>8</v>
      </c>
      <c r="AQ578" s="26" t="n">
        <v>7</v>
      </c>
      <c r="AR578" s="26" t="n">
        <v>7</v>
      </c>
      <c r="AS578" s="26" t="n">
        <v>7</v>
      </c>
      <c r="AT578" s="26" t="n">
        <v>11</v>
      </c>
      <c r="AU578" s="26" t="n">
        <v>4</v>
      </c>
      <c r="AV578" s="26" t="n">
        <f aca="false">SUM(AL578:AU578)</f>
        <v>71</v>
      </c>
      <c r="AW578" s="32" t="n">
        <f aca="false">IFERROR(AV578/R578*1000000,"")</f>
        <v>22070.2517873795</v>
      </c>
      <c r="AX578" s="33" t="n">
        <f aca="false">IFERROR((R578-AV578)/R578,"")</f>
        <v>0.977929748212621</v>
      </c>
      <c r="AY578" s="34" t="n">
        <f aca="false">IFERROR(AH578*AJ578*AX578,"")</f>
        <v>0.802551020408163</v>
      </c>
      <c r="AZ578" s="35" t="s">
        <v>78</v>
      </c>
    </row>
    <row r="579" customFormat="false" ht="12.75" hidden="false" customHeight="true" outlineLevel="0" collapsed="false">
      <c r="A579" s="24" t="n">
        <v>575</v>
      </c>
      <c r="B579" s="25" t="n">
        <v>46214</v>
      </c>
      <c r="C579" s="25" t="n">
        <v>12</v>
      </c>
      <c r="D579" s="26" t="s">
        <v>79</v>
      </c>
      <c r="E579" s="26" t="s">
        <v>97</v>
      </c>
      <c r="F579" s="26" t="s">
        <v>73</v>
      </c>
      <c r="G579" s="26" t="s">
        <v>12</v>
      </c>
      <c r="H579" s="27" t="n">
        <v>0.354166666666667</v>
      </c>
      <c r="I579" s="27" t="n">
        <v>0.854166666666667</v>
      </c>
      <c r="J579" s="26" t="n">
        <f aca="false">IFERROR((I579-H579)*24*60,"")</f>
        <v>720</v>
      </c>
      <c r="K579" s="26" t="s">
        <v>89</v>
      </c>
      <c r="L579" s="26" t="s">
        <v>83</v>
      </c>
      <c r="M579" s="26" t="s">
        <v>99</v>
      </c>
      <c r="N579" s="26" t="s">
        <v>100</v>
      </c>
      <c r="O579" s="26" t="n">
        <v>8</v>
      </c>
      <c r="P579" s="26" t="n">
        <v>52</v>
      </c>
      <c r="Q579" s="26" t="n">
        <f aca="false">IFERROR(3600/(P579/O579),"")</f>
        <v>553.846153846154</v>
      </c>
      <c r="R579" s="26" t="n">
        <v>4754</v>
      </c>
      <c r="S579" s="26" t="n">
        <v>35</v>
      </c>
      <c r="T579" s="26" t="n">
        <f aca="false">IFERROR(J579-S579,"")</f>
        <v>685</v>
      </c>
      <c r="U579" s="26"/>
      <c r="V579" s="26"/>
      <c r="W579" s="26" t="n">
        <v>9</v>
      </c>
      <c r="X579" s="26"/>
      <c r="Y579" s="26"/>
      <c r="Z579" s="26"/>
      <c r="AA579" s="26" t="n">
        <v>46</v>
      </c>
      <c r="AB579" s="26"/>
      <c r="AC579" s="26"/>
      <c r="AD579" s="26"/>
      <c r="AE579" s="26" t="n">
        <v>15</v>
      </c>
      <c r="AF579" s="26" t="n">
        <f aca="false">SUM(U579:AE579)</f>
        <v>70</v>
      </c>
      <c r="AG579" s="26" t="n">
        <f aca="false">T579-AF579</f>
        <v>615</v>
      </c>
      <c r="AH579" s="28" t="n">
        <f aca="false">IFERROR(AG579/T579,"")</f>
        <v>0.897810218978102</v>
      </c>
      <c r="AI579" s="29" t="n">
        <f aca="false">IFERROR(R579/AG579*60,"")</f>
        <v>463.804878048781</v>
      </c>
      <c r="AJ579" s="30" t="n">
        <f aca="false">IFERROR(AI579/Q579,"")</f>
        <v>0.837425474254743</v>
      </c>
      <c r="AK579" s="31" t="n">
        <f aca="false">IFERROR(R579/(T579/60*Q579),"")</f>
        <v>0.751849148418492</v>
      </c>
      <c r="AL579" s="26" t="n">
        <v>2</v>
      </c>
      <c r="AM579" s="26" t="n">
        <v>1</v>
      </c>
      <c r="AN579" s="26"/>
      <c r="AO579" s="26" t="n">
        <v>2</v>
      </c>
      <c r="AP579" s="26" t="n">
        <v>1</v>
      </c>
      <c r="AQ579" s="26" t="n">
        <v>6</v>
      </c>
      <c r="AR579" s="26" t="n">
        <v>1</v>
      </c>
      <c r="AS579" s="26"/>
      <c r="AT579" s="26" t="n">
        <v>2</v>
      </c>
      <c r="AU579" s="26" t="n">
        <v>1</v>
      </c>
      <c r="AV579" s="26" t="n">
        <f aca="false">SUM(AL579:AU579)</f>
        <v>16</v>
      </c>
      <c r="AW579" s="32" t="n">
        <f aca="false">IFERROR(AV579/R579*1000000,"")</f>
        <v>3365.58687421119</v>
      </c>
      <c r="AX579" s="33" t="n">
        <f aca="false">IFERROR((R579-AV579)/R579,"")</f>
        <v>0.996634413125789</v>
      </c>
      <c r="AY579" s="34" t="n">
        <f aca="false">IFERROR(AH579*AJ579*AX579,"")</f>
        <v>0.749318734793187</v>
      </c>
      <c r="AZ579" s="35" t="s">
        <v>93</v>
      </c>
    </row>
    <row r="580" customFormat="false" ht="12.75" hidden="false" customHeight="true" outlineLevel="0" collapsed="false">
      <c r="A580" s="24" t="n">
        <v>576</v>
      </c>
      <c r="B580" s="25" t="n">
        <v>46214</v>
      </c>
      <c r="C580" s="25" t="n">
        <v>12</v>
      </c>
      <c r="D580" s="26" t="s">
        <v>87</v>
      </c>
      <c r="E580" s="26" t="s">
        <v>101</v>
      </c>
      <c r="F580" s="26" t="s">
        <v>81</v>
      </c>
      <c r="G580" s="26" t="s">
        <v>13</v>
      </c>
      <c r="H580" s="27" t="n">
        <v>0.354166666666667</v>
      </c>
      <c r="I580" s="27" t="n">
        <v>0.854166666666667</v>
      </c>
      <c r="J580" s="26" t="n">
        <f aca="false">IFERROR((I580-H580)*24*60,"")</f>
        <v>720</v>
      </c>
      <c r="K580" s="26" t="s">
        <v>74</v>
      </c>
      <c r="L580" s="26" t="s">
        <v>90</v>
      </c>
      <c r="M580" s="26" t="s">
        <v>103</v>
      </c>
      <c r="N580" s="26" t="s">
        <v>104</v>
      </c>
      <c r="O580" s="26" t="n">
        <v>2</v>
      </c>
      <c r="P580" s="26" t="n">
        <v>39</v>
      </c>
      <c r="Q580" s="26" t="n">
        <f aca="false">IFERROR(3600/(P580/O580),"")</f>
        <v>184.615384615385</v>
      </c>
      <c r="R580" s="26" t="n">
        <v>1734</v>
      </c>
      <c r="S580" s="26" t="n">
        <v>45</v>
      </c>
      <c r="T580" s="26" t="n">
        <f aca="false">IFERROR(J580-S580,"")</f>
        <v>675</v>
      </c>
      <c r="U580" s="26"/>
      <c r="V580" s="26"/>
      <c r="W580" s="26" t="n">
        <v>24</v>
      </c>
      <c r="X580" s="26"/>
      <c r="Y580" s="26" t="n">
        <v>5</v>
      </c>
      <c r="Z580" s="26"/>
      <c r="AA580" s="26"/>
      <c r="AB580" s="26"/>
      <c r="AC580" s="26" t="n">
        <v>27</v>
      </c>
      <c r="AD580" s="26"/>
      <c r="AE580" s="26"/>
      <c r="AF580" s="26" t="n">
        <f aca="false">SUM(U580:AE580)</f>
        <v>56</v>
      </c>
      <c r="AG580" s="26" t="n">
        <f aca="false">T580-AF580</f>
        <v>619</v>
      </c>
      <c r="AH580" s="28" t="n">
        <f aca="false">IFERROR(AG580/T580,"")</f>
        <v>0.917037037037037</v>
      </c>
      <c r="AI580" s="29" t="n">
        <f aca="false">IFERROR(R580/AG580*60,"")</f>
        <v>168.077544426494</v>
      </c>
      <c r="AJ580" s="30" t="n">
        <f aca="false">IFERROR(AI580/Q580,"")</f>
        <v>0.910420032310178</v>
      </c>
      <c r="AK580" s="31" t="n">
        <f aca="false">IFERROR(R580/(T580/60*Q580),"")</f>
        <v>0.834888888888889</v>
      </c>
      <c r="AL580" s="26" t="n">
        <v>2</v>
      </c>
      <c r="AM580" s="26" t="n">
        <v>2</v>
      </c>
      <c r="AN580" s="26" t="n">
        <v>1</v>
      </c>
      <c r="AO580" s="26" t="n">
        <v>1</v>
      </c>
      <c r="AP580" s="26" t="n">
        <v>1</v>
      </c>
      <c r="AQ580" s="26" t="n">
        <v>2</v>
      </c>
      <c r="AR580" s="26" t="n">
        <v>2</v>
      </c>
      <c r="AS580" s="26" t="n">
        <v>3</v>
      </c>
      <c r="AT580" s="26" t="n">
        <v>3</v>
      </c>
      <c r="AU580" s="26" t="n">
        <v>1</v>
      </c>
      <c r="AV580" s="26" t="n">
        <f aca="false">SUM(AL580:AU580)</f>
        <v>18</v>
      </c>
      <c r="AW580" s="32" t="n">
        <f aca="false">IFERROR(AV580/R580*1000000,"")</f>
        <v>10380.6228373702</v>
      </c>
      <c r="AX580" s="33" t="n">
        <f aca="false">IFERROR((R580-AV580)/R580,"")</f>
        <v>0.98961937716263</v>
      </c>
      <c r="AY580" s="34" t="n">
        <f aca="false">IFERROR(AH580*AJ580*AX580,"")</f>
        <v>0.826222222222222</v>
      </c>
      <c r="AZ580" s="35" t="s">
        <v>86</v>
      </c>
    </row>
    <row r="581" customFormat="false" ht="12.75" hidden="false" customHeight="true" outlineLevel="0" collapsed="false">
      <c r="A581" s="24" t="n">
        <v>577</v>
      </c>
      <c r="B581" s="25" t="n">
        <v>46215</v>
      </c>
      <c r="C581" s="25" t="n">
        <v>12</v>
      </c>
      <c r="D581" s="26" t="s">
        <v>71</v>
      </c>
      <c r="E581" s="26" t="s">
        <v>72</v>
      </c>
      <c r="F581" s="26" t="s">
        <v>73</v>
      </c>
      <c r="G581" s="26" t="s">
        <v>8</v>
      </c>
      <c r="H581" s="27" t="n">
        <v>0.354166666666667</v>
      </c>
      <c r="I581" s="27" t="n">
        <v>0.854166666666667</v>
      </c>
      <c r="J581" s="26" t="n">
        <f aca="false">IFERROR((I581-H581)*24*60,"")</f>
        <v>720</v>
      </c>
      <c r="K581" s="26" t="s">
        <v>105</v>
      </c>
      <c r="L581" s="26" t="s">
        <v>107</v>
      </c>
      <c r="M581" s="26" t="s">
        <v>76</v>
      </c>
      <c r="N581" s="26" t="s">
        <v>77</v>
      </c>
      <c r="O581" s="26" t="n">
        <v>2</v>
      </c>
      <c r="P581" s="26" t="n">
        <v>34</v>
      </c>
      <c r="Q581" s="26" t="n">
        <f aca="false">IFERROR(3600/(P581/O581),"")</f>
        <v>211.764705882353</v>
      </c>
      <c r="R581" s="26" t="n">
        <v>2172</v>
      </c>
      <c r="S581" s="26" t="n">
        <v>62</v>
      </c>
      <c r="T581" s="26" t="n">
        <f aca="false">IFERROR(J581-S581,"")</f>
        <v>658</v>
      </c>
      <c r="U581" s="26"/>
      <c r="V581" s="26"/>
      <c r="W581" s="26"/>
      <c r="X581" s="26"/>
      <c r="Y581" s="26"/>
      <c r="Z581" s="26"/>
      <c r="AA581" s="26" t="n">
        <v>15</v>
      </c>
      <c r="AB581" s="26" t="n">
        <v>8</v>
      </c>
      <c r="AC581" s="26"/>
      <c r="AD581" s="26"/>
      <c r="AE581" s="26"/>
      <c r="AF581" s="26" t="n">
        <f aca="false">SUM(U581:AE581)</f>
        <v>23</v>
      </c>
      <c r="AG581" s="26" t="n">
        <f aca="false">T581-AF581</f>
        <v>635</v>
      </c>
      <c r="AH581" s="28" t="n">
        <f aca="false">IFERROR(AG581/T581,"")</f>
        <v>0.965045592705167</v>
      </c>
      <c r="AI581" s="29" t="n">
        <f aca="false">IFERROR(R581/AG581*60,"")</f>
        <v>205.228346456693</v>
      </c>
      <c r="AJ581" s="30" t="n">
        <f aca="false">IFERROR(AI581/Q581,"")</f>
        <v>0.969133858267717</v>
      </c>
      <c r="AK581" s="31" t="n">
        <f aca="false">IFERROR(R581/(T581/60*Q581),"")</f>
        <v>0.935258358662614</v>
      </c>
      <c r="AL581" s="26" t="n">
        <v>4</v>
      </c>
      <c r="AM581" s="26" t="n">
        <v>2</v>
      </c>
      <c r="AN581" s="26" t="n">
        <v>4</v>
      </c>
      <c r="AO581" s="26" t="n">
        <v>4</v>
      </c>
      <c r="AP581" s="26" t="n">
        <v>2</v>
      </c>
      <c r="AQ581" s="26" t="n">
        <v>4</v>
      </c>
      <c r="AR581" s="26" t="n">
        <v>1</v>
      </c>
      <c r="AS581" s="26" t="n">
        <v>7</v>
      </c>
      <c r="AT581" s="26" t="n">
        <v>4</v>
      </c>
      <c r="AU581" s="26" t="n">
        <v>1</v>
      </c>
      <c r="AV581" s="26" t="n">
        <f aca="false">SUM(AL581:AU581)</f>
        <v>33</v>
      </c>
      <c r="AW581" s="32" t="n">
        <f aca="false">IFERROR(AV581/R581*1000000,"")</f>
        <v>15193.3701657459</v>
      </c>
      <c r="AX581" s="33" t="n">
        <f aca="false">IFERROR((R581-AV581)/R581,"")</f>
        <v>0.984806629834254</v>
      </c>
      <c r="AY581" s="34" t="n">
        <f aca="false">IFERROR(AH581*AJ581*AX581,"")</f>
        <v>0.921048632218845</v>
      </c>
      <c r="AZ581" s="35" t="s">
        <v>93</v>
      </c>
    </row>
    <row r="582" customFormat="false" ht="12.75" hidden="false" customHeight="true" outlineLevel="0" collapsed="false">
      <c r="A582" s="24" t="n">
        <v>578</v>
      </c>
      <c r="B582" s="25" t="n">
        <v>46215</v>
      </c>
      <c r="C582" s="25" t="n">
        <v>12</v>
      </c>
      <c r="D582" s="26" t="s">
        <v>79</v>
      </c>
      <c r="E582" s="26" t="s">
        <v>80</v>
      </c>
      <c r="F582" s="26" t="s">
        <v>81</v>
      </c>
      <c r="G582" s="26" t="s">
        <v>9</v>
      </c>
      <c r="H582" s="27" t="n">
        <v>0.354166666666667</v>
      </c>
      <c r="I582" s="27" t="n">
        <v>0.854166666666667</v>
      </c>
      <c r="J582" s="26" t="n">
        <f aca="false">IFERROR((I582-H582)*24*60,"")</f>
        <v>720</v>
      </c>
      <c r="K582" s="26" t="s">
        <v>105</v>
      </c>
      <c r="L582" s="26" t="s">
        <v>90</v>
      </c>
      <c r="M582" s="26" t="s">
        <v>84</v>
      </c>
      <c r="N582" s="26" t="s">
        <v>85</v>
      </c>
      <c r="O582" s="26" t="n">
        <v>2</v>
      </c>
      <c r="P582" s="26" t="n">
        <v>68</v>
      </c>
      <c r="Q582" s="26" t="n">
        <f aca="false">IFERROR(3600/(P582/O582),"")</f>
        <v>105.882352941176</v>
      </c>
      <c r="R582" s="26" t="n">
        <v>1072</v>
      </c>
      <c r="S582" s="26" t="n">
        <v>38</v>
      </c>
      <c r="T582" s="26" t="n">
        <f aca="false">IFERROR(J582-S582,"")</f>
        <v>682</v>
      </c>
      <c r="U582" s="26" t="n">
        <v>6</v>
      </c>
      <c r="V582" s="26"/>
      <c r="W582" s="26"/>
      <c r="X582" s="26"/>
      <c r="Y582" s="26"/>
      <c r="Z582" s="26"/>
      <c r="AA582" s="26" t="n">
        <v>19</v>
      </c>
      <c r="AB582" s="26"/>
      <c r="AC582" s="26"/>
      <c r="AD582" s="26" t="n">
        <v>25</v>
      </c>
      <c r="AE582" s="26"/>
      <c r="AF582" s="26" t="n">
        <f aca="false">SUM(U582:AE582)</f>
        <v>50</v>
      </c>
      <c r="AG582" s="26" t="n">
        <f aca="false">T582-AF582</f>
        <v>632</v>
      </c>
      <c r="AH582" s="28" t="n">
        <f aca="false">IFERROR(AG582/T582,"")</f>
        <v>0.926686217008798</v>
      </c>
      <c r="AI582" s="29" t="n">
        <f aca="false">IFERROR(R582/AG582*60,"")</f>
        <v>101.772151898734</v>
      </c>
      <c r="AJ582" s="30" t="n">
        <f aca="false">IFERROR(AI582/Q582,"")</f>
        <v>0.961181434599156</v>
      </c>
      <c r="AK582" s="31" t="n">
        <f aca="false">IFERROR(R582/(T582/60*Q582),"")</f>
        <v>0.890713587487781</v>
      </c>
      <c r="AL582" s="26"/>
      <c r="AM582" s="26" t="n">
        <v>1</v>
      </c>
      <c r="AN582" s="26" t="n">
        <v>1</v>
      </c>
      <c r="AO582" s="26"/>
      <c r="AP582" s="26"/>
      <c r="AQ582" s="26"/>
      <c r="AR582" s="26"/>
      <c r="AS582" s="26" t="n">
        <v>1</v>
      </c>
      <c r="AT582" s="26"/>
      <c r="AU582" s="26"/>
      <c r="AV582" s="26" t="n">
        <f aca="false">SUM(AL582:AU582)</f>
        <v>3</v>
      </c>
      <c r="AW582" s="32" t="n">
        <f aca="false">IFERROR(AV582/R582*1000000,"")</f>
        <v>2798.50746268657</v>
      </c>
      <c r="AX582" s="33" t="n">
        <f aca="false">IFERROR((R582-AV582)/R582,"")</f>
        <v>0.997201492537313</v>
      </c>
      <c r="AY582" s="34" t="n">
        <f aca="false">IFERROR(AH582*AJ582*AX582,"")</f>
        <v>0.88822091886608</v>
      </c>
      <c r="AZ582" s="35" t="s">
        <v>86</v>
      </c>
    </row>
    <row r="583" customFormat="false" ht="12.75" hidden="false" customHeight="true" outlineLevel="0" collapsed="false">
      <c r="A583" s="24" t="n">
        <v>579</v>
      </c>
      <c r="B583" s="25" t="n">
        <v>46215</v>
      </c>
      <c r="C583" s="25" t="n">
        <v>12</v>
      </c>
      <c r="D583" s="26" t="s">
        <v>87</v>
      </c>
      <c r="E583" s="26" t="s">
        <v>88</v>
      </c>
      <c r="F583" s="26" t="s">
        <v>73</v>
      </c>
      <c r="G583" s="26" t="s">
        <v>10</v>
      </c>
      <c r="H583" s="27" t="n">
        <v>0.354166666666667</v>
      </c>
      <c r="I583" s="27" t="n">
        <v>0.854166666666667</v>
      </c>
      <c r="J583" s="26" t="n">
        <f aca="false">IFERROR((I583-H583)*24*60,"")</f>
        <v>720</v>
      </c>
      <c r="K583" s="26" t="s">
        <v>89</v>
      </c>
      <c r="L583" s="26" t="s">
        <v>108</v>
      </c>
      <c r="M583" s="26" t="s">
        <v>91</v>
      </c>
      <c r="N583" s="26" t="s">
        <v>92</v>
      </c>
      <c r="O583" s="26" t="n">
        <v>2</v>
      </c>
      <c r="P583" s="26" t="n">
        <v>36</v>
      </c>
      <c r="Q583" s="26" t="n">
        <f aca="false">IFERROR(3600/(P583/O583),"")</f>
        <v>200</v>
      </c>
      <c r="R583" s="26" t="n">
        <v>1634</v>
      </c>
      <c r="S583" s="26" t="n">
        <v>75</v>
      </c>
      <c r="T583" s="26" t="n">
        <f aca="false">IFERROR(J583-S583,"")</f>
        <v>645</v>
      </c>
      <c r="U583" s="26" t="n">
        <v>13</v>
      </c>
      <c r="V583" s="26"/>
      <c r="W583" s="26"/>
      <c r="X583" s="26" t="n">
        <v>18</v>
      </c>
      <c r="Y583" s="26"/>
      <c r="Z583" s="26"/>
      <c r="AA583" s="26"/>
      <c r="AB583" s="26"/>
      <c r="AC583" s="26"/>
      <c r="AD583" s="26"/>
      <c r="AE583" s="26"/>
      <c r="AF583" s="26" t="n">
        <f aca="false">SUM(U583:AE583)</f>
        <v>31</v>
      </c>
      <c r="AG583" s="26" t="n">
        <f aca="false">T583-AF583</f>
        <v>614</v>
      </c>
      <c r="AH583" s="28" t="n">
        <f aca="false">IFERROR(AG583/T583,"")</f>
        <v>0.951937984496124</v>
      </c>
      <c r="AI583" s="29" t="n">
        <f aca="false">IFERROR(R583/AG583*60,"")</f>
        <v>159.674267100977</v>
      </c>
      <c r="AJ583" s="30" t="n">
        <f aca="false">IFERROR(AI583/Q583,"")</f>
        <v>0.798371335504886</v>
      </c>
      <c r="AK583" s="31" t="n">
        <f aca="false">IFERROR(R583/(T583/60*Q583),"")</f>
        <v>0.76</v>
      </c>
      <c r="AL583" s="26"/>
      <c r="AM583" s="26" t="n">
        <v>3</v>
      </c>
      <c r="AN583" s="26"/>
      <c r="AO583" s="26"/>
      <c r="AP583" s="26"/>
      <c r="AQ583" s="26" t="n">
        <v>2</v>
      </c>
      <c r="AR583" s="26" t="n">
        <v>3</v>
      </c>
      <c r="AS583" s="26" t="n">
        <v>4</v>
      </c>
      <c r="AT583" s="26"/>
      <c r="AU583" s="26" t="n">
        <v>4</v>
      </c>
      <c r="AV583" s="26" t="n">
        <f aca="false">SUM(AL583:AU583)</f>
        <v>16</v>
      </c>
      <c r="AW583" s="32" t="n">
        <f aca="false">IFERROR(AV583/R583*1000000,"")</f>
        <v>9791.92166462668</v>
      </c>
      <c r="AX583" s="33" t="n">
        <f aca="false">IFERROR((R583-AV583)/R583,"")</f>
        <v>0.990208078335373</v>
      </c>
      <c r="AY583" s="34" t="n">
        <f aca="false">IFERROR(AH583*AJ583*AX583,"")</f>
        <v>0.752558139534884</v>
      </c>
      <c r="AZ583" s="35"/>
    </row>
    <row r="584" customFormat="false" ht="12.75" hidden="false" customHeight="true" outlineLevel="0" collapsed="false">
      <c r="A584" s="24" t="n">
        <v>580</v>
      </c>
      <c r="B584" s="25" t="n">
        <v>46216</v>
      </c>
      <c r="C584" s="25" t="n">
        <v>12</v>
      </c>
      <c r="D584" s="26" t="s">
        <v>71</v>
      </c>
      <c r="E584" s="26" t="s">
        <v>94</v>
      </c>
      <c r="F584" s="26" t="s">
        <v>81</v>
      </c>
      <c r="G584" s="26" t="s">
        <v>11</v>
      </c>
      <c r="H584" s="27" t="n">
        <v>0.354166666666667</v>
      </c>
      <c r="I584" s="27" t="n">
        <v>0.854166666666667</v>
      </c>
      <c r="J584" s="26" t="n">
        <f aca="false">IFERROR((I584-H584)*24*60,"")</f>
        <v>720</v>
      </c>
      <c r="K584" s="26" t="s">
        <v>82</v>
      </c>
      <c r="L584" s="26" t="s">
        <v>83</v>
      </c>
      <c r="M584" s="26" t="s">
        <v>95</v>
      </c>
      <c r="N584" s="26" t="s">
        <v>96</v>
      </c>
      <c r="O584" s="26" t="n">
        <v>1</v>
      </c>
      <c r="P584" s="26" t="n">
        <v>62</v>
      </c>
      <c r="Q584" s="26" t="n">
        <f aca="false">IFERROR(3600/(P584/O584),"")</f>
        <v>58.0645161290323</v>
      </c>
      <c r="R584" s="26" t="n">
        <v>549</v>
      </c>
      <c r="S584" s="26" t="n">
        <v>56</v>
      </c>
      <c r="T584" s="26" t="n">
        <f aca="false">IFERROR(J584-S584,"")</f>
        <v>664</v>
      </c>
      <c r="U584" s="26"/>
      <c r="V584" s="26"/>
      <c r="W584" s="26"/>
      <c r="X584" s="26" t="n">
        <v>32</v>
      </c>
      <c r="Y584" s="26"/>
      <c r="Z584" s="26"/>
      <c r="AA584" s="26"/>
      <c r="AB584" s="26"/>
      <c r="AC584" s="26" t="n">
        <v>15</v>
      </c>
      <c r="AD584" s="26"/>
      <c r="AE584" s="26"/>
      <c r="AF584" s="26" t="n">
        <f aca="false">SUM(U584:AE584)</f>
        <v>47</v>
      </c>
      <c r="AG584" s="26" t="n">
        <f aca="false">T584-AF584</f>
        <v>617</v>
      </c>
      <c r="AH584" s="28" t="n">
        <f aca="false">IFERROR(AG584/T584,"")</f>
        <v>0.92921686746988</v>
      </c>
      <c r="AI584" s="29" t="n">
        <f aca="false">IFERROR(R584/AG584*60,"")</f>
        <v>53.387358184765</v>
      </c>
      <c r="AJ584" s="30" t="n">
        <f aca="false">IFERROR(AI584/Q584,"")</f>
        <v>0.919448946515397</v>
      </c>
      <c r="AK584" s="31" t="n">
        <f aca="false">IFERROR(R584/(T584/60*Q584),"")</f>
        <v>0.854367469879518</v>
      </c>
      <c r="AL584" s="26" t="n">
        <v>2</v>
      </c>
      <c r="AM584" s="26"/>
      <c r="AN584" s="26"/>
      <c r="AO584" s="26"/>
      <c r="AP584" s="26" t="n">
        <v>1</v>
      </c>
      <c r="AQ584" s="26"/>
      <c r="AR584" s="26"/>
      <c r="AS584" s="26"/>
      <c r="AT584" s="26"/>
      <c r="AU584" s="26" t="n">
        <v>1</v>
      </c>
      <c r="AV584" s="26" t="n">
        <f aca="false">SUM(AL584:AU584)</f>
        <v>4</v>
      </c>
      <c r="AW584" s="32" t="n">
        <f aca="false">IFERROR(AV584/R584*1000000,"")</f>
        <v>7285.97449908925</v>
      </c>
      <c r="AX584" s="33" t="n">
        <f aca="false">IFERROR((R584-AV584)/R584,"")</f>
        <v>0.992714025500911</v>
      </c>
      <c r="AY584" s="34" t="n">
        <f aca="false">IFERROR(AH584*AJ584*AX584,"")</f>
        <v>0.848142570281125</v>
      </c>
      <c r="AZ584" s="35" t="s">
        <v>86</v>
      </c>
    </row>
    <row r="585" customFormat="false" ht="12.75" hidden="false" customHeight="true" outlineLevel="0" collapsed="false">
      <c r="A585" s="24" t="n">
        <v>581</v>
      </c>
      <c r="B585" s="25" t="n">
        <v>46216</v>
      </c>
      <c r="C585" s="25" t="n">
        <v>12</v>
      </c>
      <c r="D585" s="26" t="s">
        <v>79</v>
      </c>
      <c r="E585" s="26" t="s">
        <v>97</v>
      </c>
      <c r="F585" s="26" t="s">
        <v>73</v>
      </c>
      <c r="G585" s="26" t="s">
        <v>12</v>
      </c>
      <c r="H585" s="27" t="n">
        <v>0.354166666666667</v>
      </c>
      <c r="I585" s="27" t="n">
        <v>0.854166666666667</v>
      </c>
      <c r="J585" s="26" t="n">
        <f aca="false">IFERROR((I585-H585)*24*60,"")</f>
        <v>720</v>
      </c>
      <c r="K585" s="26" t="s">
        <v>74</v>
      </c>
      <c r="L585" s="26" t="s">
        <v>108</v>
      </c>
      <c r="M585" s="26" t="s">
        <v>99</v>
      </c>
      <c r="N585" s="26" t="s">
        <v>100</v>
      </c>
      <c r="O585" s="26" t="n">
        <v>8</v>
      </c>
      <c r="P585" s="26" t="n">
        <v>67</v>
      </c>
      <c r="Q585" s="26" t="n">
        <f aca="false">IFERROR(3600/(P585/O585),"")</f>
        <v>429.850746268657</v>
      </c>
      <c r="R585" s="26" t="n">
        <v>4413</v>
      </c>
      <c r="S585" s="26" t="n">
        <v>48</v>
      </c>
      <c r="T585" s="26" t="n">
        <f aca="false">IFERROR(J585-S585,"")</f>
        <v>672</v>
      </c>
      <c r="U585" s="26"/>
      <c r="V585" s="26"/>
      <c r="W585" s="26"/>
      <c r="X585" s="26"/>
      <c r="Y585" s="26"/>
      <c r="Z585" s="26"/>
      <c r="AA585" s="26"/>
      <c r="AB585" s="26"/>
      <c r="AC585" s="26"/>
      <c r="AD585" s="26" t="n">
        <v>10</v>
      </c>
      <c r="AE585" s="26"/>
      <c r="AF585" s="26" t="n">
        <f aca="false">SUM(U585:AE585)</f>
        <v>10</v>
      </c>
      <c r="AG585" s="26" t="n">
        <f aca="false">T585-AF585</f>
        <v>662</v>
      </c>
      <c r="AH585" s="28" t="n">
        <f aca="false">IFERROR(AG585/T585,"")</f>
        <v>0.985119047619048</v>
      </c>
      <c r="AI585" s="29" t="n">
        <f aca="false">IFERROR(R585/AG585*60,"")</f>
        <v>399.969788519637</v>
      </c>
      <c r="AJ585" s="30" t="n">
        <f aca="false">IFERROR(AI585/Q585,"")</f>
        <v>0.930485271903323</v>
      </c>
      <c r="AK585" s="31" t="n">
        <f aca="false">IFERROR(R585/(T585/60*Q585),"")</f>
        <v>0.916638764880952</v>
      </c>
      <c r="AL585" s="26" t="n">
        <v>5</v>
      </c>
      <c r="AM585" s="26" t="n">
        <v>7</v>
      </c>
      <c r="AN585" s="26" t="n">
        <v>2</v>
      </c>
      <c r="AO585" s="26" t="n">
        <v>2</v>
      </c>
      <c r="AP585" s="26" t="n">
        <v>2</v>
      </c>
      <c r="AQ585" s="26" t="n">
        <v>3</v>
      </c>
      <c r="AR585" s="26" t="n">
        <v>2</v>
      </c>
      <c r="AS585" s="26" t="n">
        <v>3</v>
      </c>
      <c r="AT585" s="26"/>
      <c r="AU585" s="26" t="n">
        <v>3</v>
      </c>
      <c r="AV585" s="26" t="n">
        <f aca="false">SUM(AL585:AU585)</f>
        <v>29</v>
      </c>
      <c r="AW585" s="32" t="n">
        <f aca="false">IFERROR(AV585/R585*1000000,"")</f>
        <v>6571.49331520508</v>
      </c>
      <c r="AX585" s="33" t="n">
        <f aca="false">IFERROR((R585-AV585)/R585,"")</f>
        <v>0.993428506684795</v>
      </c>
      <c r="AY585" s="34" t="n">
        <f aca="false">IFERROR(AH585*AJ585*AX585,"")</f>
        <v>0.910615079365079</v>
      </c>
      <c r="AZ585" s="35" t="s">
        <v>78</v>
      </c>
    </row>
    <row r="586" customFormat="false" ht="12.75" hidden="false" customHeight="true" outlineLevel="0" collapsed="false">
      <c r="A586" s="24" t="n">
        <v>582</v>
      </c>
      <c r="B586" s="25" t="n">
        <v>46216</v>
      </c>
      <c r="C586" s="25" t="n">
        <v>12</v>
      </c>
      <c r="D586" s="26" t="s">
        <v>87</v>
      </c>
      <c r="E586" s="26" t="s">
        <v>101</v>
      </c>
      <c r="F586" s="26" t="s">
        <v>81</v>
      </c>
      <c r="G586" s="26" t="s">
        <v>13</v>
      </c>
      <c r="H586" s="27" t="n">
        <v>0.354166666666667</v>
      </c>
      <c r="I586" s="27" t="n">
        <v>0.854166666666667</v>
      </c>
      <c r="J586" s="26" t="n">
        <f aca="false">IFERROR((I586-H586)*24*60,"")</f>
        <v>720</v>
      </c>
      <c r="K586" s="26" t="s">
        <v>89</v>
      </c>
      <c r="L586" s="26" t="s">
        <v>102</v>
      </c>
      <c r="M586" s="26" t="s">
        <v>103</v>
      </c>
      <c r="N586" s="26" t="s">
        <v>104</v>
      </c>
      <c r="O586" s="26" t="n">
        <v>1</v>
      </c>
      <c r="P586" s="26" t="n">
        <v>32</v>
      </c>
      <c r="Q586" s="26" t="n">
        <f aca="false">IFERROR(3600/(P586/O586),"")</f>
        <v>112.5</v>
      </c>
      <c r="R586" s="26" t="n">
        <v>982</v>
      </c>
      <c r="S586" s="26" t="n">
        <v>31</v>
      </c>
      <c r="T586" s="26" t="n">
        <f aca="false">IFERROR(J586-S586,"")</f>
        <v>689</v>
      </c>
      <c r="U586" s="26"/>
      <c r="V586" s="26"/>
      <c r="W586" s="26"/>
      <c r="X586" s="26"/>
      <c r="Y586" s="26"/>
      <c r="Z586" s="26" t="n">
        <v>47</v>
      </c>
      <c r="AA586" s="26"/>
      <c r="AB586" s="26" t="n">
        <v>11</v>
      </c>
      <c r="AC586" s="26"/>
      <c r="AD586" s="26"/>
      <c r="AE586" s="26" t="n">
        <v>16</v>
      </c>
      <c r="AF586" s="26" t="n">
        <f aca="false">SUM(U586:AE586)</f>
        <v>74</v>
      </c>
      <c r="AG586" s="26" t="n">
        <f aca="false">T586-AF586</f>
        <v>615</v>
      </c>
      <c r="AH586" s="28" t="n">
        <f aca="false">IFERROR(AG586/T586,"")</f>
        <v>0.892597968069666</v>
      </c>
      <c r="AI586" s="29" t="n">
        <f aca="false">IFERROR(R586/AG586*60,"")</f>
        <v>95.8048780487805</v>
      </c>
      <c r="AJ586" s="30" t="n">
        <f aca="false">IFERROR(AI586/Q586,"")</f>
        <v>0.85159891598916</v>
      </c>
      <c r="AK586" s="31" t="n">
        <f aca="false">IFERROR(R586/(T586/60*Q586),"")</f>
        <v>0.760135462022255</v>
      </c>
      <c r="AL586" s="26"/>
      <c r="AM586" s="26" t="n">
        <v>2</v>
      </c>
      <c r="AN586" s="26" t="n">
        <v>1</v>
      </c>
      <c r="AO586" s="26" t="n">
        <v>3</v>
      </c>
      <c r="AP586" s="26" t="n">
        <v>2</v>
      </c>
      <c r="AQ586" s="26" t="n">
        <v>2</v>
      </c>
      <c r="AR586" s="26"/>
      <c r="AS586" s="26" t="n">
        <v>1</v>
      </c>
      <c r="AT586" s="26" t="n">
        <v>3</v>
      </c>
      <c r="AU586" s="26" t="n">
        <v>1</v>
      </c>
      <c r="AV586" s="26" t="n">
        <f aca="false">SUM(AL586:AU586)</f>
        <v>15</v>
      </c>
      <c r="AW586" s="32" t="n">
        <f aca="false">IFERROR(AV586/R586*1000000,"")</f>
        <v>15274.9490835031</v>
      </c>
      <c r="AX586" s="33" t="n">
        <f aca="false">IFERROR((R586-AV586)/R586,"")</f>
        <v>0.984725050916497</v>
      </c>
      <c r="AY586" s="34" t="n">
        <f aca="false">IFERROR(AH586*AJ586*AX586,"")</f>
        <v>0.7485244315433</v>
      </c>
      <c r="AZ586" s="35" t="s">
        <v>78</v>
      </c>
    </row>
    <row r="587" customFormat="false" ht="12.75" hidden="false" customHeight="true" outlineLevel="0" collapsed="false">
      <c r="A587" s="24" t="n">
        <v>583</v>
      </c>
      <c r="B587" s="25" t="n">
        <v>46217</v>
      </c>
      <c r="C587" s="25" t="n">
        <v>12</v>
      </c>
      <c r="D587" s="26" t="s">
        <v>71</v>
      </c>
      <c r="E587" s="26" t="s">
        <v>72</v>
      </c>
      <c r="F587" s="26" t="s">
        <v>73</v>
      </c>
      <c r="G587" s="26" t="s">
        <v>8</v>
      </c>
      <c r="H587" s="27" t="n">
        <v>0.354166666666667</v>
      </c>
      <c r="I587" s="27" t="n">
        <v>0.854166666666667</v>
      </c>
      <c r="J587" s="26" t="n">
        <f aca="false">IFERROR((I587-H587)*24*60,"")</f>
        <v>720</v>
      </c>
      <c r="K587" s="26" t="s">
        <v>74</v>
      </c>
      <c r="L587" s="26" t="s">
        <v>98</v>
      </c>
      <c r="M587" s="26" t="s">
        <v>76</v>
      </c>
      <c r="N587" s="26" t="s">
        <v>77</v>
      </c>
      <c r="O587" s="26" t="n">
        <v>2</v>
      </c>
      <c r="P587" s="26" t="n">
        <v>69</v>
      </c>
      <c r="Q587" s="26" t="n">
        <f aca="false">IFERROR(3600/(P587/O587),"")</f>
        <v>104.347826086957</v>
      </c>
      <c r="R587" s="26" t="n">
        <v>948</v>
      </c>
      <c r="S587" s="26" t="n">
        <v>46</v>
      </c>
      <c r="T587" s="26" t="n">
        <f aca="false">IFERROR(J587-S587,"")</f>
        <v>674</v>
      </c>
      <c r="U587" s="26"/>
      <c r="V587" s="26"/>
      <c r="W587" s="26"/>
      <c r="X587" s="26"/>
      <c r="Y587" s="26"/>
      <c r="Z587" s="26"/>
      <c r="AA587" s="26" t="n">
        <v>23</v>
      </c>
      <c r="AB587" s="26"/>
      <c r="AC587" s="26"/>
      <c r="AD587" s="26"/>
      <c r="AE587" s="26" t="n">
        <v>12</v>
      </c>
      <c r="AF587" s="26" t="n">
        <f aca="false">SUM(U587:AE587)</f>
        <v>35</v>
      </c>
      <c r="AG587" s="26" t="n">
        <f aca="false">T587-AF587</f>
        <v>639</v>
      </c>
      <c r="AH587" s="28" t="n">
        <f aca="false">IFERROR(AG587/T587,"")</f>
        <v>0.948071216617211</v>
      </c>
      <c r="AI587" s="29" t="n">
        <f aca="false">IFERROR(R587/AG587*60,"")</f>
        <v>89.0140845070423</v>
      </c>
      <c r="AJ587" s="30" t="n">
        <f aca="false">IFERROR(AI587/Q587,"")</f>
        <v>0.853051643192488</v>
      </c>
      <c r="AK587" s="31" t="n">
        <f aca="false">IFERROR(R587/(T587/60*Q587),"")</f>
        <v>0.808753709198813</v>
      </c>
      <c r="AL587" s="26" t="n">
        <v>1</v>
      </c>
      <c r="AM587" s="26" t="n">
        <v>1</v>
      </c>
      <c r="AN587" s="26" t="n">
        <v>5</v>
      </c>
      <c r="AO587" s="26" t="n">
        <v>1</v>
      </c>
      <c r="AP587" s="26" t="n">
        <v>2</v>
      </c>
      <c r="AQ587" s="26" t="n">
        <v>2</v>
      </c>
      <c r="AR587" s="26" t="n">
        <v>3</v>
      </c>
      <c r="AS587" s="26" t="n">
        <v>2</v>
      </c>
      <c r="AT587" s="26" t="n">
        <v>2</v>
      </c>
      <c r="AU587" s="26" t="n">
        <v>1</v>
      </c>
      <c r="AV587" s="26" t="n">
        <f aca="false">SUM(AL587:AU587)</f>
        <v>20</v>
      </c>
      <c r="AW587" s="32" t="n">
        <f aca="false">IFERROR(AV587/R587*1000000,"")</f>
        <v>21097.0464135021</v>
      </c>
      <c r="AX587" s="33" t="n">
        <f aca="false">IFERROR((R587-AV587)/R587,"")</f>
        <v>0.978902953586498</v>
      </c>
      <c r="AY587" s="34" t="n">
        <f aca="false">IFERROR(AH587*AJ587*AX587,"")</f>
        <v>0.791691394658754</v>
      </c>
      <c r="AZ587" s="35" t="s">
        <v>78</v>
      </c>
    </row>
    <row r="588" customFormat="false" ht="12.75" hidden="false" customHeight="true" outlineLevel="0" collapsed="false">
      <c r="A588" s="24" t="n">
        <v>584</v>
      </c>
      <c r="B588" s="25" t="n">
        <v>46217</v>
      </c>
      <c r="C588" s="25" t="n">
        <v>12</v>
      </c>
      <c r="D588" s="26" t="s">
        <v>79</v>
      </c>
      <c r="E588" s="26" t="s">
        <v>80</v>
      </c>
      <c r="F588" s="26" t="s">
        <v>81</v>
      </c>
      <c r="G588" s="26" t="s">
        <v>9</v>
      </c>
      <c r="H588" s="27" t="n">
        <v>0.354166666666667</v>
      </c>
      <c r="I588" s="27" t="n">
        <v>0.854166666666667</v>
      </c>
      <c r="J588" s="26" t="n">
        <f aca="false">IFERROR((I588-H588)*24*60,"")</f>
        <v>720</v>
      </c>
      <c r="K588" s="26" t="s">
        <v>74</v>
      </c>
      <c r="L588" s="26" t="s">
        <v>102</v>
      </c>
      <c r="M588" s="26" t="s">
        <v>84</v>
      </c>
      <c r="N588" s="26" t="s">
        <v>85</v>
      </c>
      <c r="O588" s="26" t="n">
        <v>2</v>
      </c>
      <c r="P588" s="26" t="n">
        <v>25</v>
      </c>
      <c r="Q588" s="26" t="n">
        <f aca="false">IFERROR(3600/(P588/O588),"")</f>
        <v>288</v>
      </c>
      <c r="R588" s="26" t="n">
        <v>2912</v>
      </c>
      <c r="S588" s="26" t="n">
        <v>32</v>
      </c>
      <c r="T588" s="26" t="n">
        <f aca="false">IFERROR(J588-S588,"")</f>
        <v>688</v>
      </c>
      <c r="U588" s="26"/>
      <c r="V588" s="26" t="n">
        <v>3</v>
      </c>
      <c r="W588" s="26"/>
      <c r="X588" s="26"/>
      <c r="Y588" s="26"/>
      <c r="Z588" s="26"/>
      <c r="AA588" s="26" t="n">
        <v>7</v>
      </c>
      <c r="AB588" s="26"/>
      <c r="AC588" s="26"/>
      <c r="AD588" s="26"/>
      <c r="AE588" s="26" t="n">
        <v>4</v>
      </c>
      <c r="AF588" s="26" t="n">
        <f aca="false">SUM(U588:AE588)</f>
        <v>14</v>
      </c>
      <c r="AG588" s="26" t="n">
        <f aca="false">T588-AF588</f>
        <v>674</v>
      </c>
      <c r="AH588" s="28" t="n">
        <f aca="false">IFERROR(AG588/T588,"")</f>
        <v>0.979651162790698</v>
      </c>
      <c r="AI588" s="29" t="n">
        <f aca="false">IFERROR(R588/AG588*60,"")</f>
        <v>259.228486646884</v>
      </c>
      <c r="AJ588" s="30" t="n">
        <f aca="false">IFERROR(AI588/Q588,"")</f>
        <v>0.900098911968348</v>
      </c>
      <c r="AK588" s="31" t="n">
        <f aca="false">IFERROR(R588/(T588/60*Q588),"")</f>
        <v>0.881782945736434</v>
      </c>
      <c r="AL588" s="26" t="n">
        <v>11</v>
      </c>
      <c r="AM588" s="26" t="n">
        <v>6</v>
      </c>
      <c r="AN588" s="26" t="n">
        <v>3</v>
      </c>
      <c r="AO588" s="26" t="n">
        <v>9</v>
      </c>
      <c r="AP588" s="26" t="n">
        <v>4</v>
      </c>
      <c r="AQ588" s="26" t="n">
        <v>5</v>
      </c>
      <c r="AR588" s="26" t="n">
        <v>3</v>
      </c>
      <c r="AS588" s="26" t="n">
        <v>2</v>
      </c>
      <c r="AT588" s="26" t="n">
        <v>7</v>
      </c>
      <c r="AU588" s="26" t="n">
        <v>8</v>
      </c>
      <c r="AV588" s="26" t="n">
        <f aca="false">SUM(AL588:AU588)</f>
        <v>58</v>
      </c>
      <c r="AW588" s="32" t="n">
        <f aca="false">IFERROR(AV588/R588*1000000,"")</f>
        <v>19917.5824175824</v>
      </c>
      <c r="AX588" s="33" t="n">
        <f aca="false">IFERROR((R588-AV588)/R588,"")</f>
        <v>0.980082417582418</v>
      </c>
      <c r="AY588" s="34" t="n">
        <f aca="false">IFERROR(AH588*AJ588*AX588,"")</f>
        <v>0.86421996124031</v>
      </c>
      <c r="AZ588" s="35"/>
    </row>
    <row r="589" customFormat="false" ht="12.75" hidden="false" customHeight="true" outlineLevel="0" collapsed="false">
      <c r="A589" s="24" t="n">
        <v>585</v>
      </c>
      <c r="B589" s="25" t="n">
        <v>46217</v>
      </c>
      <c r="C589" s="25" t="n">
        <v>12</v>
      </c>
      <c r="D589" s="26" t="s">
        <v>87</v>
      </c>
      <c r="E589" s="26" t="s">
        <v>88</v>
      </c>
      <c r="F589" s="26" t="s">
        <v>73</v>
      </c>
      <c r="G589" s="26" t="s">
        <v>10</v>
      </c>
      <c r="H589" s="27" t="n">
        <v>0.354166666666667</v>
      </c>
      <c r="I589" s="27" t="n">
        <v>0.854166666666667</v>
      </c>
      <c r="J589" s="26" t="n">
        <f aca="false">IFERROR((I589-H589)*24*60,"")</f>
        <v>720</v>
      </c>
      <c r="K589" s="26" t="s">
        <v>82</v>
      </c>
      <c r="L589" s="26" t="s">
        <v>75</v>
      </c>
      <c r="M589" s="26" t="s">
        <v>91</v>
      </c>
      <c r="N589" s="26" t="s">
        <v>92</v>
      </c>
      <c r="O589" s="26" t="n">
        <v>2</v>
      </c>
      <c r="P589" s="26" t="n">
        <v>73</v>
      </c>
      <c r="Q589" s="26" t="n">
        <f aca="false">IFERROR(3600/(P589/O589),"")</f>
        <v>98.6301369863014</v>
      </c>
      <c r="R589" s="26" t="n">
        <v>905</v>
      </c>
      <c r="S589" s="26" t="n">
        <v>57</v>
      </c>
      <c r="T589" s="26" t="n">
        <f aca="false">IFERROR(J589-S589,"")</f>
        <v>663</v>
      </c>
      <c r="U589" s="26"/>
      <c r="V589" s="26"/>
      <c r="W589" s="26"/>
      <c r="X589" s="26"/>
      <c r="Y589" s="26"/>
      <c r="Z589" s="26"/>
      <c r="AA589" s="26"/>
      <c r="AB589" s="26"/>
      <c r="AC589" s="26" t="n">
        <v>3</v>
      </c>
      <c r="AD589" s="26"/>
      <c r="AE589" s="26"/>
      <c r="AF589" s="26" t="n">
        <f aca="false">SUM(U589:AE589)</f>
        <v>3</v>
      </c>
      <c r="AG589" s="26" t="n">
        <f aca="false">T589-AF589</f>
        <v>660</v>
      </c>
      <c r="AH589" s="28" t="n">
        <f aca="false">IFERROR(AG589/T589,"")</f>
        <v>0.995475113122172</v>
      </c>
      <c r="AI589" s="29" t="n">
        <f aca="false">IFERROR(R589/AG589*60,"")</f>
        <v>82.2727272727273</v>
      </c>
      <c r="AJ589" s="30" t="n">
        <f aca="false">IFERROR(AI589/Q589,"")</f>
        <v>0.83415404040404</v>
      </c>
      <c r="AK589" s="31" t="n">
        <f aca="false">IFERROR(R589/(T589/60*Q589),"")</f>
        <v>0.830379587732529</v>
      </c>
      <c r="AL589" s="26" t="n">
        <v>2</v>
      </c>
      <c r="AM589" s="26" t="n">
        <v>4</v>
      </c>
      <c r="AN589" s="26" t="n">
        <v>2</v>
      </c>
      <c r="AO589" s="26" t="n">
        <v>1</v>
      </c>
      <c r="AP589" s="26" t="n">
        <v>2</v>
      </c>
      <c r="AQ589" s="26" t="n">
        <v>2</v>
      </c>
      <c r="AR589" s="26" t="n">
        <v>1</v>
      </c>
      <c r="AS589" s="26" t="n">
        <v>2</v>
      </c>
      <c r="AT589" s="26" t="n">
        <v>1</v>
      </c>
      <c r="AU589" s="26" t="n">
        <v>1</v>
      </c>
      <c r="AV589" s="26" t="n">
        <f aca="false">SUM(AL589:AU589)</f>
        <v>18</v>
      </c>
      <c r="AW589" s="32" t="n">
        <f aca="false">IFERROR(AV589/R589*1000000,"")</f>
        <v>19889.5027624309</v>
      </c>
      <c r="AX589" s="33" t="n">
        <f aca="false">IFERROR((R589-AV589)/R589,"")</f>
        <v>0.980110497237569</v>
      </c>
      <c r="AY589" s="34" t="n">
        <f aca="false">IFERROR(AH589*AJ589*AX589,"")</f>
        <v>0.813863750628457</v>
      </c>
      <c r="AZ589" s="35" t="s">
        <v>86</v>
      </c>
    </row>
    <row r="590" customFormat="false" ht="12.75" hidden="false" customHeight="true" outlineLevel="0" collapsed="false">
      <c r="A590" s="24" t="n">
        <v>586</v>
      </c>
      <c r="B590" s="25" t="n">
        <v>46218</v>
      </c>
      <c r="C590" s="25" t="n">
        <v>12</v>
      </c>
      <c r="D590" s="26" t="s">
        <v>71</v>
      </c>
      <c r="E590" s="26" t="s">
        <v>94</v>
      </c>
      <c r="F590" s="26" t="s">
        <v>81</v>
      </c>
      <c r="G590" s="26" t="s">
        <v>11</v>
      </c>
      <c r="H590" s="27" t="n">
        <v>0.354166666666667</v>
      </c>
      <c r="I590" s="27" t="n">
        <v>0.854166666666667</v>
      </c>
      <c r="J590" s="26" t="n">
        <f aca="false">IFERROR((I590-H590)*24*60,"")</f>
        <v>720</v>
      </c>
      <c r="K590" s="26" t="s">
        <v>89</v>
      </c>
      <c r="L590" s="26" t="s">
        <v>90</v>
      </c>
      <c r="M590" s="26" t="s">
        <v>95</v>
      </c>
      <c r="N590" s="26" t="s">
        <v>96</v>
      </c>
      <c r="O590" s="26" t="n">
        <v>8</v>
      </c>
      <c r="P590" s="26" t="n">
        <v>36</v>
      </c>
      <c r="Q590" s="26" t="n">
        <f aca="false">IFERROR(3600/(P590/O590),"")</f>
        <v>800</v>
      </c>
      <c r="R590" s="26" t="n">
        <v>7662</v>
      </c>
      <c r="S590" s="26" t="n">
        <v>30</v>
      </c>
      <c r="T590" s="26" t="n">
        <f aca="false">IFERROR(J590-S590,"")</f>
        <v>690</v>
      </c>
      <c r="U590" s="26"/>
      <c r="V590" s="26" t="n">
        <v>7</v>
      </c>
      <c r="W590" s="26"/>
      <c r="X590" s="26"/>
      <c r="Y590" s="26" t="n">
        <v>19</v>
      </c>
      <c r="Z590" s="26"/>
      <c r="AA590" s="26"/>
      <c r="AB590" s="26"/>
      <c r="AC590" s="26" t="n">
        <v>39</v>
      </c>
      <c r="AD590" s="26"/>
      <c r="AE590" s="26"/>
      <c r="AF590" s="26" t="n">
        <f aca="false">SUM(U590:AE590)</f>
        <v>65</v>
      </c>
      <c r="AG590" s="26" t="n">
        <f aca="false">T590-AF590</f>
        <v>625</v>
      </c>
      <c r="AH590" s="28" t="n">
        <f aca="false">IFERROR(AG590/T590,"")</f>
        <v>0.905797101449275</v>
      </c>
      <c r="AI590" s="29" t="n">
        <f aca="false">IFERROR(R590/AG590*60,"")</f>
        <v>735.552</v>
      </c>
      <c r="AJ590" s="30" t="n">
        <f aca="false">IFERROR(AI590/Q590,"")</f>
        <v>0.91944</v>
      </c>
      <c r="AK590" s="31" t="n">
        <f aca="false">IFERROR(R590/(T590/60*Q590),"")</f>
        <v>0.832826086956522</v>
      </c>
      <c r="AL590" s="26" t="n">
        <v>7</v>
      </c>
      <c r="AM590" s="26" t="n">
        <v>13</v>
      </c>
      <c r="AN590" s="26" t="n">
        <v>11</v>
      </c>
      <c r="AO590" s="26" t="n">
        <v>7</v>
      </c>
      <c r="AP590" s="26" t="n">
        <v>5</v>
      </c>
      <c r="AQ590" s="26" t="n">
        <v>12</v>
      </c>
      <c r="AR590" s="26" t="n">
        <v>18</v>
      </c>
      <c r="AS590" s="26" t="n">
        <v>16</v>
      </c>
      <c r="AT590" s="26" t="n">
        <v>16</v>
      </c>
      <c r="AU590" s="26" t="n">
        <v>13</v>
      </c>
      <c r="AV590" s="26" t="n">
        <f aca="false">SUM(AL590:AU590)</f>
        <v>118</v>
      </c>
      <c r="AW590" s="32" t="n">
        <f aca="false">IFERROR(AV590/R590*1000000,"")</f>
        <v>15400.6786739755</v>
      </c>
      <c r="AX590" s="33" t="n">
        <f aca="false">IFERROR((R590-AV590)/R590,"")</f>
        <v>0.984599321326025</v>
      </c>
      <c r="AY590" s="34" t="n">
        <f aca="false">IFERROR(AH590*AJ590*AX590,"")</f>
        <v>0.82</v>
      </c>
      <c r="AZ590" s="35" t="s">
        <v>78</v>
      </c>
    </row>
    <row r="591" customFormat="false" ht="12.75" hidden="false" customHeight="true" outlineLevel="0" collapsed="false">
      <c r="A591" s="24" t="n">
        <v>587</v>
      </c>
      <c r="B591" s="25" t="n">
        <v>46218</v>
      </c>
      <c r="C591" s="25" t="n">
        <v>12</v>
      </c>
      <c r="D591" s="26" t="s">
        <v>79</v>
      </c>
      <c r="E591" s="26" t="s">
        <v>97</v>
      </c>
      <c r="F591" s="26" t="s">
        <v>73</v>
      </c>
      <c r="G591" s="26" t="s">
        <v>12</v>
      </c>
      <c r="H591" s="27" t="n">
        <v>0.354166666666667</v>
      </c>
      <c r="I591" s="27" t="n">
        <v>0.854166666666667</v>
      </c>
      <c r="J591" s="26" t="n">
        <f aca="false">IFERROR((I591-H591)*24*60,"")</f>
        <v>720</v>
      </c>
      <c r="K591" s="26" t="s">
        <v>105</v>
      </c>
      <c r="L591" s="26" t="s">
        <v>102</v>
      </c>
      <c r="M591" s="26" t="s">
        <v>99</v>
      </c>
      <c r="N591" s="26" t="s">
        <v>100</v>
      </c>
      <c r="O591" s="26" t="n">
        <v>1</v>
      </c>
      <c r="P591" s="26" t="n">
        <v>24</v>
      </c>
      <c r="Q591" s="26" t="n">
        <f aca="false">IFERROR(3600/(P591/O591),"")</f>
        <v>150</v>
      </c>
      <c r="R591" s="26" t="n">
        <v>1418</v>
      </c>
      <c r="S591" s="26" t="n">
        <v>71</v>
      </c>
      <c r="T591" s="26" t="n">
        <f aca="false">IFERROR(J591-S591,"")</f>
        <v>649</v>
      </c>
      <c r="U591" s="26"/>
      <c r="V591" s="26"/>
      <c r="W591" s="26"/>
      <c r="X591" s="26"/>
      <c r="Y591" s="26" t="n">
        <v>11</v>
      </c>
      <c r="Z591" s="26"/>
      <c r="AA591" s="26"/>
      <c r="AB591" s="26"/>
      <c r="AC591" s="26"/>
      <c r="AD591" s="26"/>
      <c r="AE591" s="26"/>
      <c r="AF591" s="26" t="n">
        <f aca="false">SUM(U591:AE591)</f>
        <v>11</v>
      </c>
      <c r="AG591" s="26" t="n">
        <f aca="false">T591-AF591</f>
        <v>638</v>
      </c>
      <c r="AH591" s="28" t="n">
        <f aca="false">IFERROR(AG591/T591,"")</f>
        <v>0.983050847457627</v>
      </c>
      <c r="AI591" s="29" t="n">
        <f aca="false">IFERROR(R591/AG591*60,"")</f>
        <v>133.354231974922</v>
      </c>
      <c r="AJ591" s="30" t="n">
        <f aca="false">IFERROR(AI591/Q591,"")</f>
        <v>0.889028213166144</v>
      </c>
      <c r="AK591" s="31" t="n">
        <f aca="false">IFERROR(R591/(T591/60*Q591),"")</f>
        <v>0.873959938366718</v>
      </c>
      <c r="AL591" s="26" t="n">
        <v>4</v>
      </c>
      <c r="AM591" s="26" t="n">
        <v>3</v>
      </c>
      <c r="AN591" s="26" t="n">
        <v>3</v>
      </c>
      <c r="AO591" s="26" t="n">
        <v>2</v>
      </c>
      <c r="AP591" s="26"/>
      <c r="AQ591" s="26" t="n">
        <v>2</v>
      </c>
      <c r="AR591" s="26" t="n">
        <v>1</v>
      </c>
      <c r="AS591" s="26" t="n">
        <v>3</v>
      </c>
      <c r="AT591" s="26" t="n">
        <v>3</v>
      </c>
      <c r="AU591" s="26" t="n">
        <v>1</v>
      </c>
      <c r="AV591" s="26" t="n">
        <f aca="false">SUM(AL591:AU591)</f>
        <v>22</v>
      </c>
      <c r="AW591" s="32" t="n">
        <f aca="false">IFERROR(AV591/R591*1000000,"")</f>
        <v>15514.8095909732</v>
      </c>
      <c r="AX591" s="33" t="n">
        <f aca="false">IFERROR((R591-AV591)/R591,"")</f>
        <v>0.984485190409027</v>
      </c>
      <c r="AY591" s="34" t="n">
        <f aca="false">IFERROR(AH591*AJ591*AX591,"")</f>
        <v>0.86040061633282</v>
      </c>
      <c r="AZ591" s="35" t="s">
        <v>93</v>
      </c>
    </row>
    <row r="592" customFormat="false" ht="12.75" hidden="false" customHeight="true" outlineLevel="0" collapsed="false">
      <c r="A592" s="24" t="n">
        <v>588</v>
      </c>
      <c r="B592" s="25" t="n">
        <v>46218</v>
      </c>
      <c r="C592" s="25" t="n">
        <v>12</v>
      </c>
      <c r="D592" s="26" t="s">
        <v>87</v>
      </c>
      <c r="E592" s="26" t="s">
        <v>101</v>
      </c>
      <c r="F592" s="26" t="s">
        <v>81</v>
      </c>
      <c r="G592" s="26" t="s">
        <v>13</v>
      </c>
      <c r="H592" s="27" t="n">
        <v>0.354166666666667</v>
      </c>
      <c r="I592" s="27" t="n">
        <v>0.854166666666667</v>
      </c>
      <c r="J592" s="26" t="n">
        <f aca="false">IFERROR((I592-H592)*24*60,"")</f>
        <v>720</v>
      </c>
      <c r="K592" s="26" t="s">
        <v>82</v>
      </c>
      <c r="L592" s="26" t="s">
        <v>75</v>
      </c>
      <c r="M592" s="26" t="s">
        <v>103</v>
      </c>
      <c r="N592" s="26" t="s">
        <v>104</v>
      </c>
      <c r="O592" s="26" t="n">
        <v>8</v>
      </c>
      <c r="P592" s="26" t="n">
        <v>66</v>
      </c>
      <c r="Q592" s="26" t="n">
        <f aca="false">IFERROR(3600/(P592/O592),"")</f>
        <v>436.363636363636</v>
      </c>
      <c r="R592" s="26" t="n">
        <v>4528</v>
      </c>
      <c r="S592" s="26" t="n">
        <v>40</v>
      </c>
      <c r="T592" s="26" t="n">
        <f aca="false">IFERROR(J592-S592,"")</f>
        <v>680</v>
      </c>
      <c r="U592" s="26"/>
      <c r="V592" s="26"/>
      <c r="W592" s="26" t="n">
        <v>4</v>
      </c>
      <c r="X592" s="26" t="n">
        <v>3</v>
      </c>
      <c r="Y592" s="26"/>
      <c r="Z592" s="26"/>
      <c r="AA592" s="26"/>
      <c r="AB592" s="26"/>
      <c r="AC592" s="26"/>
      <c r="AD592" s="26"/>
      <c r="AE592" s="26"/>
      <c r="AF592" s="26" t="n">
        <f aca="false">SUM(U592:AE592)</f>
        <v>7</v>
      </c>
      <c r="AG592" s="26" t="n">
        <f aca="false">T592-AF592</f>
        <v>673</v>
      </c>
      <c r="AH592" s="28" t="n">
        <f aca="false">IFERROR(AG592/T592,"")</f>
        <v>0.989705882352941</v>
      </c>
      <c r="AI592" s="29" t="n">
        <f aca="false">IFERROR(R592/AG592*60,"")</f>
        <v>403.68499257058</v>
      </c>
      <c r="AJ592" s="30" t="n">
        <f aca="false">IFERROR(AI592/Q592,"")</f>
        <v>0.925111441307578</v>
      </c>
      <c r="AK592" s="31" t="n">
        <f aca="false">IFERROR(R592/(T592/60*Q592),"")</f>
        <v>0.915588235294118</v>
      </c>
      <c r="AL592" s="26" t="n">
        <v>8</v>
      </c>
      <c r="AM592" s="26" t="n">
        <v>3</v>
      </c>
      <c r="AN592" s="26" t="n">
        <v>7</v>
      </c>
      <c r="AO592" s="26" t="n">
        <v>12</v>
      </c>
      <c r="AP592" s="26" t="n">
        <v>15</v>
      </c>
      <c r="AQ592" s="26" t="n">
        <v>10</v>
      </c>
      <c r="AR592" s="26" t="n">
        <v>15</v>
      </c>
      <c r="AS592" s="26" t="n">
        <v>10</v>
      </c>
      <c r="AT592" s="26" t="n">
        <v>12</v>
      </c>
      <c r="AU592" s="26" t="n">
        <v>5</v>
      </c>
      <c r="AV592" s="26" t="n">
        <f aca="false">SUM(AL592:AU592)</f>
        <v>97</v>
      </c>
      <c r="AW592" s="32" t="n">
        <f aca="false">IFERROR(AV592/R592*1000000,"")</f>
        <v>21422.2614840989</v>
      </c>
      <c r="AX592" s="33" t="n">
        <f aca="false">IFERROR((R592-AV592)/R592,"")</f>
        <v>0.978577738515901</v>
      </c>
      <c r="AY592" s="34" t="n">
        <f aca="false">IFERROR(AH592*AJ592*AX592,"")</f>
        <v>0.895974264705882</v>
      </c>
      <c r="AZ592" s="35"/>
    </row>
    <row r="593" customFormat="false" ht="12.75" hidden="false" customHeight="true" outlineLevel="0" collapsed="false">
      <c r="A593" s="24" t="n">
        <v>589</v>
      </c>
      <c r="B593" s="25" t="n">
        <v>46219</v>
      </c>
      <c r="C593" s="25" t="n">
        <v>12</v>
      </c>
      <c r="D593" s="26" t="s">
        <v>71</v>
      </c>
      <c r="E593" s="26" t="s">
        <v>72</v>
      </c>
      <c r="F593" s="26" t="s">
        <v>73</v>
      </c>
      <c r="G593" s="26" t="s">
        <v>8</v>
      </c>
      <c r="H593" s="27" t="n">
        <v>0.354166666666667</v>
      </c>
      <c r="I593" s="27" t="n">
        <v>0.854166666666667</v>
      </c>
      <c r="J593" s="26" t="n">
        <f aca="false">IFERROR((I593-H593)*24*60,"")</f>
        <v>720</v>
      </c>
      <c r="K593" s="26" t="s">
        <v>74</v>
      </c>
      <c r="L593" s="26" t="s">
        <v>98</v>
      </c>
      <c r="M593" s="26" t="s">
        <v>76</v>
      </c>
      <c r="N593" s="26" t="s">
        <v>77</v>
      </c>
      <c r="O593" s="26" t="n">
        <v>1</v>
      </c>
      <c r="P593" s="26" t="n">
        <v>46</v>
      </c>
      <c r="Q593" s="26" t="n">
        <f aca="false">IFERROR(3600/(P593/O593),"")</f>
        <v>78.2608695652174</v>
      </c>
      <c r="R593" s="26" t="n">
        <v>568</v>
      </c>
      <c r="S593" s="26" t="n">
        <v>68</v>
      </c>
      <c r="T593" s="26" t="n">
        <f aca="false">IFERROR(J593-S593,"")</f>
        <v>652</v>
      </c>
      <c r="U593" s="26" t="n">
        <v>37</v>
      </c>
      <c r="V593" s="26"/>
      <c r="W593" s="26"/>
      <c r="X593" s="26"/>
      <c r="Y593" s="26"/>
      <c r="Z593" s="26" t="n">
        <v>16</v>
      </c>
      <c r="AA593" s="26"/>
      <c r="AB593" s="26"/>
      <c r="AC593" s="26"/>
      <c r="AD593" s="26"/>
      <c r="AE593" s="26"/>
      <c r="AF593" s="26" t="n">
        <f aca="false">SUM(U593:AE593)</f>
        <v>53</v>
      </c>
      <c r="AG593" s="26" t="n">
        <f aca="false">T593-AF593</f>
        <v>599</v>
      </c>
      <c r="AH593" s="28" t="n">
        <f aca="false">IFERROR(AG593/T593,"")</f>
        <v>0.918711656441718</v>
      </c>
      <c r="AI593" s="29" t="n">
        <f aca="false">IFERROR(R593/AG593*60,"")</f>
        <v>56.8948247078464</v>
      </c>
      <c r="AJ593" s="30" t="n">
        <f aca="false">IFERROR(AI593/Q593,"")</f>
        <v>0.726989426822482</v>
      </c>
      <c r="AK593" s="31" t="n">
        <f aca="false">IFERROR(R593/(T593/60*Q593),"")</f>
        <v>0.667893660531697</v>
      </c>
      <c r="AL593" s="26" t="n">
        <v>2</v>
      </c>
      <c r="AM593" s="26"/>
      <c r="AN593" s="26" t="n">
        <v>1</v>
      </c>
      <c r="AO593" s="26"/>
      <c r="AP593" s="26" t="n">
        <v>1</v>
      </c>
      <c r="AQ593" s="26"/>
      <c r="AR593" s="26" t="n">
        <v>1</v>
      </c>
      <c r="AS593" s="26" t="n">
        <v>2</v>
      </c>
      <c r="AT593" s="26" t="n">
        <v>1</v>
      </c>
      <c r="AU593" s="26"/>
      <c r="AV593" s="26" t="n">
        <f aca="false">SUM(AL593:AU593)</f>
        <v>8</v>
      </c>
      <c r="AW593" s="32" t="n">
        <f aca="false">IFERROR(AV593/R593*1000000,"")</f>
        <v>14084.5070422535</v>
      </c>
      <c r="AX593" s="33" t="n">
        <f aca="false">IFERROR((R593-AV593)/R593,"")</f>
        <v>0.985915492957747</v>
      </c>
      <c r="AY593" s="34" t="n">
        <f aca="false">IFERROR(AH593*AJ593*AX593,"")</f>
        <v>0.658486707566462</v>
      </c>
      <c r="AZ593" s="35" t="s">
        <v>86</v>
      </c>
    </row>
    <row r="594" customFormat="false" ht="12.75" hidden="false" customHeight="true" outlineLevel="0" collapsed="false">
      <c r="A594" s="24" t="n">
        <v>590</v>
      </c>
      <c r="B594" s="25" t="n">
        <v>46219</v>
      </c>
      <c r="C594" s="25" t="n">
        <v>12</v>
      </c>
      <c r="D594" s="26" t="s">
        <v>79</v>
      </c>
      <c r="E594" s="26" t="s">
        <v>80</v>
      </c>
      <c r="F594" s="26" t="s">
        <v>81</v>
      </c>
      <c r="G594" s="26" t="s">
        <v>9</v>
      </c>
      <c r="H594" s="27" t="n">
        <v>0.354166666666667</v>
      </c>
      <c r="I594" s="27" t="n">
        <v>0.854166666666667</v>
      </c>
      <c r="J594" s="26" t="n">
        <f aca="false">IFERROR((I594-H594)*24*60,"")</f>
        <v>720</v>
      </c>
      <c r="K594" s="26" t="s">
        <v>74</v>
      </c>
      <c r="L594" s="26" t="s">
        <v>106</v>
      </c>
      <c r="M594" s="26" t="s">
        <v>84</v>
      </c>
      <c r="N594" s="26" t="s">
        <v>85</v>
      </c>
      <c r="O594" s="26" t="n">
        <v>1</v>
      </c>
      <c r="P594" s="26" t="n">
        <v>68</v>
      </c>
      <c r="Q594" s="26" t="n">
        <f aca="false">IFERROR(3600/(P594/O594),"")</f>
        <v>52.9411764705882</v>
      </c>
      <c r="R594" s="26" t="n">
        <v>475</v>
      </c>
      <c r="S594" s="26" t="n">
        <v>68</v>
      </c>
      <c r="T594" s="26" t="n">
        <f aca="false">IFERROR(J594-S594,"")</f>
        <v>652</v>
      </c>
      <c r="U594" s="26"/>
      <c r="V594" s="26"/>
      <c r="W594" s="26"/>
      <c r="X594" s="26"/>
      <c r="Y594" s="26"/>
      <c r="Z594" s="26"/>
      <c r="AA594" s="26"/>
      <c r="AB594" s="26" t="n">
        <v>17</v>
      </c>
      <c r="AC594" s="26"/>
      <c r="AD594" s="26"/>
      <c r="AE594" s="26"/>
      <c r="AF594" s="26" t="n">
        <f aca="false">SUM(U594:AE594)</f>
        <v>17</v>
      </c>
      <c r="AG594" s="26" t="n">
        <f aca="false">T594-AF594</f>
        <v>635</v>
      </c>
      <c r="AH594" s="28" t="n">
        <f aca="false">IFERROR(AG594/T594,"")</f>
        <v>0.973926380368098</v>
      </c>
      <c r="AI594" s="29" t="n">
        <f aca="false">IFERROR(R594/AG594*60,"")</f>
        <v>44.8818897637795</v>
      </c>
      <c r="AJ594" s="30" t="n">
        <f aca="false">IFERROR(AI594/Q594,"")</f>
        <v>0.847769028871391</v>
      </c>
      <c r="AK594" s="31" t="n">
        <f aca="false">IFERROR(R594/(T594/60*Q594),"")</f>
        <v>0.825664621676892</v>
      </c>
      <c r="AL594" s="26" t="n">
        <v>2</v>
      </c>
      <c r="AM594" s="26" t="n">
        <v>1</v>
      </c>
      <c r="AN594" s="26"/>
      <c r="AO594" s="26" t="n">
        <v>1</v>
      </c>
      <c r="AP594" s="26" t="n">
        <v>1</v>
      </c>
      <c r="AQ594" s="26" t="n">
        <v>2</v>
      </c>
      <c r="AR594" s="26" t="n">
        <v>1</v>
      </c>
      <c r="AS594" s="26"/>
      <c r="AT594" s="26" t="n">
        <v>1</v>
      </c>
      <c r="AU594" s="26" t="n">
        <v>1</v>
      </c>
      <c r="AV594" s="26" t="n">
        <f aca="false">SUM(AL594:AU594)</f>
        <v>10</v>
      </c>
      <c r="AW594" s="32" t="n">
        <f aca="false">IFERROR(AV594/R594*1000000,"")</f>
        <v>21052.6315789474</v>
      </c>
      <c r="AX594" s="33" t="n">
        <f aca="false">IFERROR((R594-AV594)/R594,"")</f>
        <v>0.978947368421053</v>
      </c>
      <c r="AY594" s="34" t="n">
        <f aca="false">IFERROR(AH594*AJ594*AX594,"")</f>
        <v>0.808282208588957</v>
      </c>
      <c r="AZ594" s="35" t="s">
        <v>93</v>
      </c>
    </row>
    <row r="595" customFormat="false" ht="12.75" hidden="false" customHeight="true" outlineLevel="0" collapsed="false">
      <c r="A595" s="24" t="n">
        <v>591</v>
      </c>
      <c r="B595" s="25" t="n">
        <v>46219</v>
      </c>
      <c r="C595" s="25" t="n">
        <v>12</v>
      </c>
      <c r="D595" s="26" t="s">
        <v>87</v>
      </c>
      <c r="E595" s="26" t="s">
        <v>88</v>
      </c>
      <c r="F595" s="26" t="s">
        <v>73</v>
      </c>
      <c r="G595" s="26" t="s">
        <v>10</v>
      </c>
      <c r="H595" s="27" t="n">
        <v>0.354166666666667</v>
      </c>
      <c r="I595" s="27" t="n">
        <v>0.854166666666667</v>
      </c>
      <c r="J595" s="26" t="n">
        <f aca="false">IFERROR((I595-H595)*24*60,"")</f>
        <v>720</v>
      </c>
      <c r="K595" s="26" t="s">
        <v>74</v>
      </c>
      <c r="L595" s="26" t="s">
        <v>102</v>
      </c>
      <c r="M595" s="26" t="s">
        <v>91</v>
      </c>
      <c r="N595" s="26" t="s">
        <v>92</v>
      </c>
      <c r="O595" s="26" t="n">
        <v>1</v>
      </c>
      <c r="P595" s="26" t="n">
        <v>67</v>
      </c>
      <c r="Q595" s="26" t="n">
        <f aca="false">IFERROR(3600/(P595/O595),"")</f>
        <v>53.7313432835821</v>
      </c>
      <c r="R595" s="26" t="n">
        <v>429</v>
      </c>
      <c r="S595" s="26" t="n">
        <v>37</v>
      </c>
      <c r="T595" s="26" t="n">
        <f aca="false">IFERROR(J595-S595,"")</f>
        <v>683</v>
      </c>
      <c r="U595" s="26" t="n">
        <v>48</v>
      </c>
      <c r="V595" s="26"/>
      <c r="W595" s="26"/>
      <c r="X595" s="26"/>
      <c r="Y595" s="26"/>
      <c r="Z595" s="26" t="n">
        <v>7</v>
      </c>
      <c r="AA595" s="26"/>
      <c r="AB595" s="26"/>
      <c r="AC595" s="26"/>
      <c r="AD595" s="26"/>
      <c r="AE595" s="26"/>
      <c r="AF595" s="26" t="n">
        <f aca="false">SUM(U595:AE595)</f>
        <v>55</v>
      </c>
      <c r="AG595" s="26" t="n">
        <f aca="false">T595-AF595</f>
        <v>628</v>
      </c>
      <c r="AH595" s="28" t="n">
        <f aca="false">IFERROR(AG595/T595,"")</f>
        <v>0.919472913616398</v>
      </c>
      <c r="AI595" s="29" t="n">
        <f aca="false">IFERROR(R595/AG595*60,"")</f>
        <v>40.9872611464968</v>
      </c>
      <c r="AJ595" s="30" t="n">
        <f aca="false">IFERROR(AI595/Q595,"")</f>
        <v>0.76281847133758</v>
      </c>
      <c r="AK595" s="31" t="n">
        <f aca="false">IFERROR(R595/(T595/60*Q595),"")</f>
        <v>0.701390922401171</v>
      </c>
      <c r="AL595" s="26"/>
      <c r="AM595" s="26" t="n">
        <v>2</v>
      </c>
      <c r="AN595" s="26"/>
      <c r="AO595" s="26" t="n">
        <v>2</v>
      </c>
      <c r="AP595" s="26" t="n">
        <v>1</v>
      </c>
      <c r="AQ595" s="26" t="n">
        <v>1</v>
      </c>
      <c r="AR595" s="26"/>
      <c r="AS595" s="26"/>
      <c r="AT595" s="26" t="n">
        <v>1</v>
      </c>
      <c r="AU595" s="26"/>
      <c r="AV595" s="26" t="n">
        <f aca="false">SUM(AL595:AU595)</f>
        <v>7</v>
      </c>
      <c r="AW595" s="32" t="n">
        <f aca="false">IFERROR(AV595/R595*1000000,"")</f>
        <v>16317.0163170163</v>
      </c>
      <c r="AX595" s="33" t="n">
        <f aca="false">IFERROR((R595-AV595)/R595,"")</f>
        <v>0.983682983682984</v>
      </c>
      <c r="AY595" s="34" t="n">
        <f aca="false">IFERROR(AH595*AJ595*AX595,"")</f>
        <v>0.689946315275744</v>
      </c>
      <c r="AZ595" s="35" t="s">
        <v>93</v>
      </c>
    </row>
    <row r="596" customFormat="false" ht="12.75" hidden="false" customHeight="true" outlineLevel="0" collapsed="false">
      <c r="A596" s="24" t="n">
        <v>592</v>
      </c>
      <c r="B596" s="25" t="n">
        <v>46220</v>
      </c>
      <c r="C596" s="25" t="n">
        <v>12</v>
      </c>
      <c r="D596" s="26" t="s">
        <v>71</v>
      </c>
      <c r="E596" s="26" t="s">
        <v>94</v>
      </c>
      <c r="F596" s="26" t="s">
        <v>81</v>
      </c>
      <c r="G596" s="26" t="s">
        <v>11</v>
      </c>
      <c r="H596" s="27" t="n">
        <v>0.354166666666667</v>
      </c>
      <c r="I596" s="27" t="n">
        <v>0.854166666666667</v>
      </c>
      <c r="J596" s="26" t="n">
        <f aca="false">IFERROR((I596-H596)*24*60,"")</f>
        <v>720</v>
      </c>
      <c r="K596" s="26" t="s">
        <v>82</v>
      </c>
      <c r="L596" s="26" t="s">
        <v>83</v>
      </c>
      <c r="M596" s="26" t="s">
        <v>95</v>
      </c>
      <c r="N596" s="26" t="s">
        <v>96</v>
      </c>
      <c r="O596" s="26" t="n">
        <v>2</v>
      </c>
      <c r="P596" s="26" t="n">
        <v>72</v>
      </c>
      <c r="Q596" s="26" t="n">
        <f aca="false">IFERROR(3600/(P596/O596),"")</f>
        <v>100</v>
      </c>
      <c r="R596" s="26" t="n">
        <v>893</v>
      </c>
      <c r="S596" s="26" t="n">
        <v>73</v>
      </c>
      <c r="T596" s="26" t="n">
        <f aca="false">IFERROR(J596-S596,"")</f>
        <v>647</v>
      </c>
      <c r="U596" s="26"/>
      <c r="V596" s="26" t="n">
        <v>24</v>
      </c>
      <c r="W596" s="26"/>
      <c r="X596" s="26"/>
      <c r="Y596" s="26"/>
      <c r="Z596" s="26"/>
      <c r="AA596" s="26"/>
      <c r="AB596" s="26"/>
      <c r="AC596" s="26"/>
      <c r="AD596" s="26"/>
      <c r="AE596" s="26"/>
      <c r="AF596" s="26" t="n">
        <f aca="false">SUM(U596:AE596)</f>
        <v>24</v>
      </c>
      <c r="AG596" s="26" t="n">
        <f aca="false">T596-AF596</f>
        <v>623</v>
      </c>
      <c r="AH596" s="28" t="n">
        <f aca="false">IFERROR(AG596/T596,"")</f>
        <v>0.9629057187017</v>
      </c>
      <c r="AI596" s="29" t="n">
        <f aca="false">IFERROR(R596/AG596*60,"")</f>
        <v>86.0032102728732</v>
      </c>
      <c r="AJ596" s="30" t="n">
        <f aca="false">IFERROR(AI596/Q596,"")</f>
        <v>0.860032102728732</v>
      </c>
      <c r="AK596" s="31" t="n">
        <f aca="false">IFERROR(R596/(T596/60*Q596),"")</f>
        <v>0.828129829984544</v>
      </c>
      <c r="AL596" s="26" t="n">
        <v>1</v>
      </c>
      <c r="AM596" s="26"/>
      <c r="AN596" s="26"/>
      <c r="AO596" s="26" t="n">
        <v>1</v>
      </c>
      <c r="AP596" s="26"/>
      <c r="AQ596" s="26" t="n">
        <v>1</v>
      </c>
      <c r="AR596" s="26"/>
      <c r="AS596" s="26"/>
      <c r="AT596" s="26"/>
      <c r="AU596" s="26" t="n">
        <v>1</v>
      </c>
      <c r="AV596" s="26" t="n">
        <f aca="false">SUM(AL596:AU596)</f>
        <v>4</v>
      </c>
      <c r="AW596" s="32" t="n">
        <f aca="false">IFERROR(AV596/R596*1000000,"")</f>
        <v>4479.28331466965</v>
      </c>
      <c r="AX596" s="33" t="n">
        <f aca="false">IFERROR((R596-AV596)/R596,"")</f>
        <v>0.99552071668533</v>
      </c>
      <c r="AY596" s="34" t="n">
        <f aca="false">IFERROR(AH596*AJ596*AX596,"")</f>
        <v>0.824420401854714</v>
      </c>
      <c r="AZ596" s="35"/>
    </row>
    <row r="597" customFormat="false" ht="12.75" hidden="false" customHeight="true" outlineLevel="0" collapsed="false">
      <c r="A597" s="24" t="n">
        <v>593</v>
      </c>
      <c r="B597" s="25" t="n">
        <v>46220</v>
      </c>
      <c r="C597" s="25" t="n">
        <v>12</v>
      </c>
      <c r="D597" s="26" t="s">
        <v>79</v>
      </c>
      <c r="E597" s="26" t="s">
        <v>97</v>
      </c>
      <c r="F597" s="26" t="s">
        <v>73</v>
      </c>
      <c r="G597" s="26" t="s">
        <v>12</v>
      </c>
      <c r="H597" s="27" t="n">
        <v>0.354166666666667</v>
      </c>
      <c r="I597" s="27" t="n">
        <v>0.854166666666667</v>
      </c>
      <c r="J597" s="26" t="n">
        <f aca="false">IFERROR((I597-H597)*24*60,"")</f>
        <v>720</v>
      </c>
      <c r="K597" s="26" t="s">
        <v>89</v>
      </c>
      <c r="L597" s="26" t="s">
        <v>98</v>
      </c>
      <c r="M597" s="26" t="s">
        <v>99</v>
      </c>
      <c r="N597" s="26" t="s">
        <v>100</v>
      </c>
      <c r="O597" s="26" t="n">
        <v>8</v>
      </c>
      <c r="P597" s="26" t="n">
        <v>40</v>
      </c>
      <c r="Q597" s="26" t="n">
        <f aca="false">IFERROR(3600/(P597/O597),"")</f>
        <v>720</v>
      </c>
      <c r="R597" s="26" t="n">
        <v>5861</v>
      </c>
      <c r="S597" s="26" t="n">
        <v>52</v>
      </c>
      <c r="T597" s="26" t="n">
        <f aca="false">IFERROR(J597-S597,"")</f>
        <v>668</v>
      </c>
      <c r="U597" s="26"/>
      <c r="V597" s="26"/>
      <c r="W597" s="26" t="n">
        <v>6</v>
      </c>
      <c r="X597" s="26"/>
      <c r="Y597" s="26"/>
      <c r="Z597" s="26"/>
      <c r="AA597" s="26"/>
      <c r="AB597" s="26"/>
      <c r="AC597" s="26"/>
      <c r="AD597" s="26"/>
      <c r="AE597" s="26" t="n">
        <v>16</v>
      </c>
      <c r="AF597" s="26" t="n">
        <f aca="false">SUM(U597:AE597)</f>
        <v>22</v>
      </c>
      <c r="AG597" s="26" t="n">
        <f aca="false">T597-AF597</f>
        <v>646</v>
      </c>
      <c r="AH597" s="28" t="n">
        <f aca="false">IFERROR(AG597/T597,"")</f>
        <v>0.967065868263473</v>
      </c>
      <c r="AI597" s="29" t="n">
        <f aca="false">IFERROR(R597/AG597*60,"")</f>
        <v>544.365325077399</v>
      </c>
      <c r="AJ597" s="30" t="n">
        <f aca="false">IFERROR(AI597/Q597,"")</f>
        <v>0.756062951496388</v>
      </c>
      <c r="AK597" s="31" t="n">
        <f aca="false">IFERROR(R597/(T597/60*Q597),"")</f>
        <v>0.731162674650699</v>
      </c>
      <c r="AL597" s="26" t="n">
        <v>11</v>
      </c>
      <c r="AM597" s="26" t="n">
        <v>14</v>
      </c>
      <c r="AN597" s="26" t="n">
        <v>11</v>
      </c>
      <c r="AO597" s="26" t="n">
        <v>13</v>
      </c>
      <c r="AP597" s="26" t="n">
        <v>10</v>
      </c>
      <c r="AQ597" s="26" t="n">
        <v>16</v>
      </c>
      <c r="AR597" s="26" t="n">
        <v>12</v>
      </c>
      <c r="AS597" s="26" t="n">
        <v>10</v>
      </c>
      <c r="AT597" s="26" t="n">
        <v>12</v>
      </c>
      <c r="AU597" s="26" t="n">
        <v>11</v>
      </c>
      <c r="AV597" s="26" t="n">
        <f aca="false">SUM(AL597:AU597)</f>
        <v>120</v>
      </c>
      <c r="AW597" s="32" t="n">
        <f aca="false">IFERROR(AV597/R597*1000000,"")</f>
        <v>20474.3217880908</v>
      </c>
      <c r="AX597" s="33" t="n">
        <f aca="false">IFERROR((R597-AV597)/R597,"")</f>
        <v>0.979525678211909</v>
      </c>
      <c r="AY597" s="34" t="n">
        <f aca="false">IFERROR(AH597*AJ597*AX597,"")</f>
        <v>0.716192614770459</v>
      </c>
      <c r="AZ597" s="35" t="s">
        <v>93</v>
      </c>
    </row>
    <row r="598" customFormat="false" ht="12.75" hidden="false" customHeight="true" outlineLevel="0" collapsed="false">
      <c r="A598" s="24" t="n">
        <v>594</v>
      </c>
      <c r="B598" s="25" t="n">
        <v>46220</v>
      </c>
      <c r="C598" s="25" t="n">
        <v>12</v>
      </c>
      <c r="D598" s="26" t="s">
        <v>87</v>
      </c>
      <c r="E598" s="26" t="s">
        <v>101</v>
      </c>
      <c r="F598" s="26" t="s">
        <v>81</v>
      </c>
      <c r="G598" s="26" t="s">
        <v>13</v>
      </c>
      <c r="H598" s="27" t="n">
        <v>0.354166666666667</v>
      </c>
      <c r="I598" s="27" t="n">
        <v>0.854166666666667</v>
      </c>
      <c r="J598" s="26" t="n">
        <f aca="false">IFERROR((I598-H598)*24*60,"")</f>
        <v>720</v>
      </c>
      <c r="K598" s="26" t="s">
        <v>74</v>
      </c>
      <c r="L598" s="26" t="s">
        <v>107</v>
      </c>
      <c r="M598" s="26" t="s">
        <v>103</v>
      </c>
      <c r="N598" s="26" t="s">
        <v>104</v>
      </c>
      <c r="O598" s="26" t="n">
        <v>2</v>
      </c>
      <c r="P598" s="26" t="n">
        <v>74</v>
      </c>
      <c r="Q598" s="26" t="n">
        <f aca="false">IFERROR(3600/(P598/O598),"")</f>
        <v>97.2972972972973</v>
      </c>
      <c r="R598" s="26" t="n">
        <v>1025</v>
      </c>
      <c r="S598" s="26" t="n">
        <v>32</v>
      </c>
      <c r="T598" s="26" t="n">
        <f aca="false">IFERROR(J598-S598,"")</f>
        <v>688</v>
      </c>
      <c r="U598" s="26"/>
      <c r="V598" s="26"/>
      <c r="W598" s="26"/>
      <c r="X598" s="26"/>
      <c r="Y598" s="26" t="n">
        <v>6</v>
      </c>
      <c r="Z598" s="26"/>
      <c r="AA598" s="26"/>
      <c r="AB598" s="26"/>
      <c r="AC598" s="26"/>
      <c r="AD598" s="26"/>
      <c r="AE598" s="26"/>
      <c r="AF598" s="26" t="n">
        <f aca="false">SUM(U598:AE598)</f>
        <v>6</v>
      </c>
      <c r="AG598" s="26" t="n">
        <f aca="false">T598-AF598</f>
        <v>682</v>
      </c>
      <c r="AH598" s="28" t="n">
        <f aca="false">IFERROR(AG598/T598,"")</f>
        <v>0.991279069767442</v>
      </c>
      <c r="AI598" s="29" t="n">
        <f aca="false">IFERROR(R598/AG598*60,"")</f>
        <v>90.1759530791789</v>
      </c>
      <c r="AJ598" s="30" t="n">
        <f aca="false">IFERROR(AI598/Q598,"")</f>
        <v>0.926808406647116</v>
      </c>
      <c r="AK598" s="31" t="n">
        <f aca="false">IFERROR(R598/(T598/60*Q598),"")</f>
        <v>0.918725775193799</v>
      </c>
      <c r="AL598" s="26"/>
      <c r="AM598" s="26"/>
      <c r="AN598" s="26"/>
      <c r="AO598" s="26"/>
      <c r="AP598" s="26"/>
      <c r="AQ598" s="26" t="n">
        <v>2</v>
      </c>
      <c r="AR598" s="26" t="n">
        <v>1</v>
      </c>
      <c r="AS598" s="26" t="n">
        <v>2</v>
      </c>
      <c r="AT598" s="26"/>
      <c r="AU598" s="26"/>
      <c r="AV598" s="26" t="n">
        <f aca="false">SUM(AL598:AU598)</f>
        <v>5</v>
      </c>
      <c r="AW598" s="32" t="n">
        <f aca="false">IFERROR(AV598/R598*1000000,"")</f>
        <v>4878.04878048781</v>
      </c>
      <c r="AX598" s="33" t="n">
        <f aca="false">IFERROR((R598-AV598)/R598,"")</f>
        <v>0.995121951219512</v>
      </c>
      <c r="AY598" s="34" t="n">
        <f aca="false">IFERROR(AH598*AJ598*AX598,"")</f>
        <v>0.914244186046512</v>
      </c>
      <c r="AZ598" s="35" t="s">
        <v>78</v>
      </c>
    </row>
    <row r="599" customFormat="false" ht="12.75" hidden="false" customHeight="true" outlineLevel="0" collapsed="false">
      <c r="A599" s="24" t="n">
        <v>595</v>
      </c>
      <c r="B599" s="25" t="n">
        <v>46221</v>
      </c>
      <c r="C599" s="25" t="n">
        <v>12</v>
      </c>
      <c r="D599" s="26" t="s">
        <v>71</v>
      </c>
      <c r="E599" s="26" t="s">
        <v>72</v>
      </c>
      <c r="F599" s="26" t="s">
        <v>73</v>
      </c>
      <c r="G599" s="26" t="s">
        <v>8</v>
      </c>
      <c r="H599" s="27" t="n">
        <v>0.354166666666667</v>
      </c>
      <c r="I599" s="27" t="n">
        <v>0.854166666666667</v>
      </c>
      <c r="J599" s="26" t="n">
        <f aca="false">IFERROR((I599-H599)*24*60,"")</f>
        <v>720</v>
      </c>
      <c r="K599" s="26" t="s">
        <v>74</v>
      </c>
      <c r="L599" s="26" t="s">
        <v>108</v>
      </c>
      <c r="M599" s="26" t="s">
        <v>76</v>
      </c>
      <c r="N599" s="26" t="s">
        <v>77</v>
      </c>
      <c r="O599" s="26" t="n">
        <v>4</v>
      </c>
      <c r="P599" s="26" t="n">
        <v>61</v>
      </c>
      <c r="Q599" s="26" t="n">
        <f aca="false">IFERROR(3600/(P599/O599),"")</f>
        <v>236.065573770492</v>
      </c>
      <c r="R599" s="26" t="n">
        <v>1698</v>
      </c>
      <c r="S599" s="26" t="n">
        <v>75</v>
      </c>
      <c r="T599" s="26" t="n">
        <f aca="false">IFERROR(J599-S599,"")</f>
        <v>645</v>
      </c>
      <c r="U599" s="26"/>
      <c r="V599" s="26" t="n">
        <v>6</v>
      </c>
      <c r="W599" s="26"/>
      <c r="X599" s="26"/>
      <c r="Y599" s="26" t="n">
        <v>23</v>
      </c>
      <c r="Z599" s="26"/>
      <c r="AA599" s="26"/>
      <c r="AB599" s="26"/>
      <c r="AC599" s="26"/>
      <c r="AD599" s="26"/>
      <c r="AE599" s="26"/>
      <c r="AF599" s="26" t="n">
        <f aca="false">SUM(U599:AE599)</f>
        <v>29</v>
      </c>
      <c r="AG599" s="26" t="n">
        <f aca="false">T599-AF599</f>
        <v>616</v>
      </c>
      <c r="AH599" s="28" t="n">
        <f aca="false">IFERROR(AG599/T599,"")</f>
        <v>0.955038759689923</v>
      </c>
      <c r="AI599" s="29" t="n">
        <f aca="false">IFERROR(R599/AG599*60,"")</f>
        <v>165.38961038961</v>
      </c>
      <c r="AJ599" s="30" t="n">
        <f aca="false">IFERROR(AI599/Q599,"")</f>
        <v>0.700608766233766</v>
      </c>
      <c r="AK599" s="31" t="n">
        <f aca="false">IFERROR(R599/(T599/60*Q599),"")</f>
        <v>0.669108527131783</v>
      </c>
      <c r="AL599" s="26" t="n">
        <v>2</v>
      </c>
      <c r="AM599" s="26" t="n">
        <v>4</v>
      </c>
      <c r="AN599" s="26" t="n">
        <v>2</v>
      </c>
      <c r="AO599" s="26" t="n">
        <v>3</v>
      </c>
      <c r="AP599" s="26" t="n">
        <v>1</v>
      </c>
      <c r="AQ599" s="26" t="n">
        <v>2</v>
      </c>
      <c r="AR599" s="26" t="n">
        <v>2</v>
      </c>
      <c r="AS599" s="26" t="n">
        <v>3</v>
      </c>
      <c r="AT599" s="26"/>
      <c r="AU599" s="26" t="n">
        <v>4</v>
      </c>
      <c r="AV599" s="26" t="n">
        <f aca="false">SUM(AL599:AU599)</f>
        <v>23</v>
      </c>
      <c r="AW599" s="32" t="n">
        <f aca="false">IFERROR(AV599/R599*1000000,"")</f>
        <v>13545.347467609</v>
      </c>
      <c r="AX599" s="33" t="n">
        <f aca="false">IFERROR((R599-AV599)/R599,"")</f>
        <v>0.986454652532391</v>
      </c>
      <c r="AY599" s="34" t="n">
        <f aca="false">IFERROR(AH599*AJ599*AX599,"")</f>
        <v>0.660045219638243</v>
      </c>
      <c r="AZ599" s="35" t="s">
        <v>93</v>
      </c>
    </row>
    <row r="600" customFormat="false" ht="12.75" hidden="false" customHeight="true" outlineLevel="0" collapsed="false">
      <c r="A600" s="24" t="n">
        <v>596</v>
      </c>
      <c r="B600" s="25" t="n">
        <v>46221</v>
      </c>
      <c r="C600" s="25" t="n">
        <v>12</v>
      </c>
      <c r="D600" s="26" t="s">
        <v>79</v>
      </c>
      <c r="E600" s="26" t="s">
        <v>80</v>
      </c>
      <c r="F600" s="26" t="s">
        <v>81</v>
      </c>
      <c r="G600" s="26" t="s">
        <v>9</v>
      </c>
      <c r="H600" s="27" t="n">
        <v>0.354166666666667</v>
      </c>
      <c r="I600" s="27" t="n">
        <v>0.854166666666667</v>
      </c>
      <c r="J600" s="26" t="n">
        <f aca="false">IFERROR((I600-H600)*24*60,"")</f>
        <v>720</v>
      </c>
      <c r="K600" s="26" t="s">
        <v>82</v>
      </c>
      <c r="L600" s="26" t="s">
        <v>98</v>
      </c>
      <c r="M600" s="26" t="s">
        <v>84</v>
      </c>
      <c r="N600" s="26" t="s">
        <v>85</v>
      </c>
      <c r="O600" s="26" t="n">
        <v>2</v>
      </c>
      <c r="P600" s="26" t="n">
        <v>34</v>
      </c>
      <c r="Q600" s="26" t="n">
        <f aca="false">IFERROR(3600/(P600/O600),"")</f>
        <v>211.764705882353</v>
      </c>
      <c r="R600" s="26" t="n">
        <v>1940</v>
      </c>
      <c r="S600" s="26" t="n">
        <v>34</v>
      </c>
      <c r="T600" s="26" t="n">
        <f aca="false">IFERROR(J600-S600,"")</f>
        <v>686</v>
      </c>
      <c r="U600" s="26"/>
      <c r="V600" s="26" t="n">
        <v>22</v>
      </c>
      <c r="W600" s="26"/>
      <c r="X600" s="26"/>
      <c r="Y600" s="26"/>
      <c r="Z600" s="26"/>
      <c r="AA600" s="26"/>
      <c r="AB600" s="26"/>
      <c r="AC600" s="26"/>
      <c r="AD600" s="26"/>
      <c r="AE600" s="26" t="n">
        <v>7</v>
      </c>
      <c r="AF600" s="26" t="n">
        <f aca="false">SUM(U600:AE600)</f>
        <v>29</v>
      </c>
      <c r="AG600" s="26" t="n">
        <f aca="false">T600-AF600</f>
        <v>657</v>
      </c>
      <c r="AH600" s="28" t="n">
        <f aca="false">IFERROR(AG600/T600,"")</f>
        <v>0.957725947521866</v>
      </c>
      <c r="AI600" s="29" t="n">
        <f aca="false">IFERROR(R600/AG600*60,"")</f>
        <v>177.16894977169</v>
      </c>
      <c r="AJ600" s="30" t="n">
        <f aca="false">IFERROR(AI600/Q600,"")</f>
        <v>0.836631151699645</v>
      </c>
      <c r="AK600" s="31" t="n">
        <f aca="false">IFERROR(R600/(T600/60*Q600),"")</f>
        <v>0.801263362487852</v>
      </c>
      <c r="AL600" s="26" t="n">
        <v>3</v>
      </c>
      <c r="AM600" s="26" t="n">
        <v>4</v>
      </c>
      <c r="AN600" s="26" t="n">
        <v>3</v>
      </c>
      <c r="AO600" s="26" t="n">
        <v>4</v>
      </c>
      <c r="AP600" s="26" t="n">
        <v>1</v>
      </c>
      <c r="AQ600" s="26" t="n">
        <v>4</v>
      </c>
      <c r="AR600" s="26" t="n">
        <v>2</v>
      </c>
      <c r="AS600" s="26" t="n">
        <v>7</v>
      </c>
      <c r="AT600" s="26" t="n">
        <v>3</v>
      </c>
      <c r="AU600" s="26" t="n">
        <v>6</v>
      </c>
      <c r="AV600" s="26" t="n">
        <f aca="false">SUM(AL600:AU600)</f>
        <v>37</v>
      </c>
      <c r="AW600" s="32" t="n">
        <f aca="false">IFERROR(AV600/R600*1000000,"")</f>
        <v>19072.1649484536</v>
      </c>
      <c r="AX600" s="33" t="n">
        <f aca="false">IFERROR((R600-AV600)/R600,"")</f>
        <v>0.980927835051546</v>
      </c>
      <c r="AY600" s="34" t="n">
        <f aca="false">IFERROR(AH600*AJ600*AX600,"")</f>
        <v>0.785981535471332</v>
      </c>
      <c r="AZ600" s="35" t="s">
        <v>93</v>
      </c>
    </row>
    <row r="601" customFormat="false" ht="12.75" hidden="false" customHeight="true" outlineLevel="0" collapsed="false">
      <c r="A601" s="24" t="n">
        <v>597</v>
      </c>
      <c r="B601" s="25" t="n">
        <v>46221</v>
      </c>
      <c r="C601" s="25" t="n">
        <v>12</v>
      </c>
      <c r="D601" s="26" t="s">
        <v>87</v>
      </c>
      <c r="E601" s="26" t="s">
        <v>88</v>
      </c>
      <c r="F601" s="26" t="s">
        <v>73</v>
      </c>
      <c r="G601" s="26" t="s">
        <v>10</v>
      </c>
      <c r="H601" s="27" t="n">
        <v>0.354166666666667</v>
      </c>
      <c r="I601" s="27" t="n">
        <v>0.854166666666667</v>
      </c>
      <c r="J601" s="26" t="n">
        <f aca="false">IFERROR((I601-H601)*24*60,"")</f>
        <v>720</v>
      </c>
      <c r="K601" s="26" t="s">
        <v>74</v>
      </c>
      <c r="L601" s="26" t="s">
        <v>107</v>
      </c>
      <c r="M601" s="26" t="s">
        <v>91</v>
      </c>
      <c r="N601" s="26" t="s">
        <v>92</v>
      </c>
      <c r="O601" s="26" t="n">
        <v>2</v>
      </c>
      <c r="P601" s="26" t="n">
        <v>24</v>
      </c>
      <c r="Q601" s="26" t="n">
        <f aca="false">IFERROR(3600/(P601/O601),"")</f>
        <v>300</v>
      </c>
      <c r="R601" s="26" t="n">
        <v>2579</v>
      </c>
      <c r="S601" s="26" t="n">
        <v>33</v>
      </c>
      <c r="T601" s="26" t="n">
        <f aca="false">IFERROR(J601-S601,"")</f>
        <v>687</v>
      </c>
      <c r="U601" s="26"/>
      <c r="V601" s="26"/>
      <c r="W601" s="26"/>
      <c r="X601" s="26"/>
      <c r="Y601" s="26"/>
      <c r="Z601" s="26"/>
      <c r="AA601" s="26"/>
      <c r="AB601" s="26" t="n">
        <v>4</v>
      </c>
      <c r="AC601" s="26" t="n">
        <v>7</v>
      </c>
      <c r="AD601" s="26"/>
      <c r="AE601" s="26"/>
      <c r="AF601" s="26" t="n">
        <f aca="false">SUM(U601:AE601)</f>
        <v>11</v>
      </c>
      <c r="AG601" s="26" t="n">
        <f aca="false">T601-AF601</f>
        <v>676</v>
      </c>
      <c r="AH601" s="28" t="n">
        <f aca="false">IFERROR(AG601/T601,"")</f>
        <v>0.983988355167395</v>
      </c>
      <c r="AI601" s="29" t="n">
        <f aca="false">IFERROR(R601/AG601*60,"")</f>
        <v>228.905325443787</v>
      </c>
      <c r="AJ601" s="30" t="n">
        <f aca="false">IFERROR(AI601/Q601,"")</f>
        <v>0.76301775147929</v>
      </c>
      <c r="AK601" s="31" t="n">
        <f aca="false">IFERROR(R601/(T601/60*Q601),"")</f>
        <v>0.75080058224163</v>
      </c>
      <c r="AL601" s="26" t="n">
        <v>6</v>
      </c>
      <c r="AM601" s="26" t="n">
        <v>3</v>
      </c>
      <c r="AN601" s="26" t="n">
        <v>3</v>
      </c>
      <c r="AO601" s="26" t="n">
        <v>5</v>
      </c>
      <c r="AP601" s="26" t="n">
        <v>4</v>
      </c>
      <c r="AQ601" s="26" t="n">
        <v>3</v>
      </c>
      <c r="AR601" s="26" t="n">
        <v>4</v>
      </c>
      <c r="AS601" s="26" t="n">
        <v>3</v>
      </c>
      <c r="AT601" s="26" t="n">
        <v>5</v>
      </c>
      <c r="AU601" s="26" t="n">
        <v>2</v>
      </c>
      <c r="AV601" s="26" t="n">
        <f aca="false">SUM(AL601:AU601)</f>
        <v>38</v>
      </c>
      <c r="AW601" s="32" t="n">
        <f aca="false">IFERROR(AV601/R601*1000000,"")</f>
        <v>14734.3931756495</v>
      </c>
      <c r="AX601" s="33" t="n">
        <f aca="false">IFERROR((R601-AV601)/R601,"")</f>
        <v>0.985265606824351</v>
      </c>
      <c r="AY601" s="34" t="n">
        <f aca="false">IFERROR(AH601*AJ601*AX601,"")</f>
        <v>0.739737991266376</v>
      </c>
      <c r="AZ601" s="35" t="s">
        <v>78</v>
      </c>
    </row>
    <row r="602" customFormat="false" ht="12.75" hidden="false" customHeight="true" outlineLevel="0" collapsed="false">
      <c r="A602" s="24" t="n">
        <v>598</v>
      </c>
      <c r="B602" s="25" t="n">
        <v>46222</v>
      </c>
      <c r="C602" s="25" t="n">
        <v>12</v>
      </c>
      <c r="D602" s="26" t="s">
        <v>71</v>
      </c>
      <c r="E602" s="26" t="s">
        <v>94</v>
      </c>
      <c r="F602" s="26" t="s">
        <v>81</v>
      </c>
      <c r="G602" s="26" t="s">
        <v>11</v>
      </c>
      <c r="H602" s="27" t="n">
        <v>0.354166666666667</v>
      </c>
      <c r="I602" s="27" t="n">
        <v>0.854166666666667</v>
      </c>
      <c r="J602" s="26" t="n">
        <f aca="false">IFERROR((I602-H602)*24*60,"")</f>
        <v>720</v>
      </c>
      <c r="K602" s="26" t="s">
        <v>89</v>
      </c>
      <c r="L602" s="26" t="s">
        <v>107</v>
      </c>
      <c r="M602" s="26" t="s">
        <v>95</v>
      </c>
      <c r="N602" s="26" t="s">
        <v>96</v>
      </c>
      <c r="O602" s="26" t="n">
        <v>2</v>
      </c>
      <c r="P602" s="26" t="n">
        <v>39</v>
      </c>
      <c r="Q602" s="26" t="n">
        <f aca="false">IFERROR(3600/(P602/O602),"")</f>
        <v>184.615384615385</v>
      </c>
      <c r="R602" s="26" t="n">
        <v>1620</v>
      </c>
      <c r="S602" s="26" t="n">
        <v>50</v>
      </c>
      <c r="T602" s="26" t="n">
        <f aca="false">IFERROR(J602-S602,"")</f>
        <v>670</v>
      </c>
      <c r="U602" s="26"/>
      <c r="V602" s="26"/>
      <c r="W602" s="26"/>
      <c r="X602" s="26"/>
      <c r="Y602" s="26"/>
      <c r="Z602" s="26"/>
      <c r="AA602" s="26"/>
      <c r="AB602" s="26"/>
      <c r="AC602" s="26" t="n">
        <v>4</v>
      </c>
      <c r="AD602" s="26"/>
      <c r="AE602" s="26"/>
      <c r="AF602" s="26" t="n">
        <f aca="false">SUM(U602:AE602)</f>
        <v>4</v>
      </c>
      <c r="AG602" s="26" t="n">
        <f aca="false">T602-AF602</f>
        <v>666</v>
      </c>
      <c r="AH602" s="28" t="n">
        <f aca="false">IFERROR(AG602/T602,"")</f>
        <v>0.994029850746269</v>
      </c>
      <c r="AI602" s="29" t="n">
        <f aca="false">IFERROR(R602/AG602*60,"")</f>
        <v>145.945945945946</v>
      </c>
      <c r="AJ602" s="30" t="n">
        <f aca="false">IFERROR(AI602/Q602,"")</f>
        <v>0.790540540540541</v>
      </c>
      <c r="AK602" s="31" t="n">
        <f aca="false">IFERROR(R602/(T602/60*Q602),"")</f>
        <v>0.785820895522388</v>
      </c>
      <c r="AL602" s="26" t="n">
        <v>2</v>
      </c>
      <c r="AM602" s="26" t="n">
        <v>2</v>
      </c>
      <c r="AN602" s="26" t="n">
        <v>3</v>
      </c>
      <c r="AO602" s="26" t="n">
        <v>3</v>
      </c>
      <c r="AP602" s="26"/>
      <c r="AQ602" s="26" t="n">
        <v>1</v>
      </c>
      <c r="AR602" s="26"/>
      <c r="AS602" s="26"/>
      <c r="AT602" s="26" t="n">
        <v>3</v>
      </c>
      <c r="AU602" s="26"/>
      <c r="AV602" s="26" t="n">
        <f aca="false">SUM(AL602:AU602)</f>
        <v>14</v>
      </c>
      <c r="AW602" s="32" t="n">
        <f aca="false">IFERROR(AV602/R602*1000000,"")</f>
        <v>8641.97530864198</v>
      </c>
      <c r="AX602" s="33" t="n">
        <f aca="false">IFERROR((R602-AV602)/R602,"")</f>
        <v>0.991358024691358</v>
      </c>
      <c r="AY602" s="34" t="n">
        <f aca="false">IFERROR(AH602*AJ602*AX602,"")</f>
        <v>0.779029850746269</v>
      </c>
      <c r="AZ602" s="35"/>
    </row>
    <row r="603" customFormat="false" ht="12.75" hidden="false" customHeight="true" outlineLevel="0" collapsed="false">
      <c r="A603" s="24" t="n">
        <v>599</v>
      </c>
      <c r="B603" s="25" t="n">
        <v>46222</v>
      </c>
      <c r="C603" s="25" t="n">
        <v>12</v>
      </c>
      <c r="D603" s="26" t="s">
        <v>79</v>
      </c>
      <c r="E603" s="26" t="s">
        <v>97</v>
      </c>
      <c r="F603" s="26" t="s">
        <v>73</v>
      </c>
      <c r="G603" s="26" t="s">
        <v>12</v>
      </c>
      <c r="H603" s="27" t="n">
        <v>0.354166666666667</v>
      </c>
      <c r="I603" s="27" t="n">
        <v>0.854166666666667</v>
      </c>
      <c r="J603" s="26" t="n">
        <f aca="false">IFERROR((I603-H603)*24*60,"")</f>
        <v>720</v>
      </c>
      <c r="K603" s="26" t="s">
        <v>89</v>
      </c>
      <c r="L603" s="26" t="s">
        <v>90</v>
      </c>
      <c r="M603" s="26" t="s">
        <v>99</v>
      </c>
      <c r="N603" s="26" t="s">
        <v>100</v>
      </c>
      <c r="O603" s="26" t="n">
        <v>1</v>
      </c>
      <c r="P603" s="26" t="n">
        <v>39</v>
      </c>
      <c r="Q603" s="26" t="n">
        <f aca="false">IFERROR(3600/(P603/O603),"")</f>
        <v>92.3076923076923</v>
      </c>
      <c r="R603" s="26" t="n">
        <v>846</v>
      </c>
      <c r="S603" s="26" t="n">
        <v>44</v>
      </c>
      <c r="T603" s="26" t="n">
        <f aca="false">IFERROR(J603-S603,"")</f>
        <v>676</v>
      </c>
      <c r="U603" s="26"/>
      <c r="V603" s="26"/>
      <c r="W603" s="26"/>
      <c r="X603" s="26"/>
      <c r="Y603" s="26"/>
      <c r="Z603" s="26"/>
      <c r="AA603" s="26"/>
      <c r="AB603" s="26" t="n">
        <v>34</v>
      </c>
      <c r="AC603" s="26"/>
      <c r="AD603" s="26"/>
      <c r="AE603" s="26" t="n">
        <v>29</v>
      </c>
      <c r="AF603" s="26" t="n">
        <f aca="false">SUM(U603:AE603)</f>
        <v>63</v>
      </c>
      <c r="AG603" s="26" t="n">
        <f aca="false">T603-AF603</f>
        <v>613</v>
      </c>
      <c r="AH603" s="28" t="n">
        <f aca="false">IFERROR(AG603/T603,"")</f>
        <v>0.906804733727811</v>
      </c>
      <c r="AI603" s="29" t="n">
        <f aca="false">IFERROR(R603/AG603*60,"")</f>
        <v>82.8058727569331</v>
      </c>
      <c r="AJ603" s="30" t="n">
        <f aca="false">IFERROR(AI603/Q603,"")</f>
        <v>0.897063621533442</v>
      </c>
      <c r="AK603" s="31" t="n">
        <f aca="false">IFERROR(R603/(T603/60*Q603),"")</f>
        <v>0.813461538461539</v>
      </c>
      <c r="AL603" s="26" t="n">
        <v>5</v>
      </c>
      <c r="AM603" s="26" t="n">
        <v>2</v>
      </c>
      <c r="AN603" s="26" t="n">
        <v>2</v>
      </c>
      <c r="AO603" s="26"/>
      <c r="AP603" s="26" t="n">
        <v>2</v>
      </c>
      <c r="AQ603" s="26" t="n">
        <v>1</v>
      </c>
      <c r="AR603" s="26" t="n">
        <v>2</v>
      </c>
      <c r="AS603" s="26" t="n">
        <v>3</v>
      </c>
      <c r="AT603" s="26" t="n">
        <v>1</v>
      </c>
      <c r="AU603" s="26" t="n">
        <v>2</v>
      </c>
      <c r="AV603" s="26" t="n">
        <f aca="false">SUM(AL603:AU603)</f>
        <v>20</v>
      </c>
      <c r="AW603" s="32" t="n">
        <f aca="false">IFERROR(AV603/R603*1000000,"")</f>
        <v>23640.6619385343</v>
      </c>
      <c r="AX603" s="33" t="n">
        <f aca="false">IFERROR((R603-AV603)/R603,"")</f>
        <v>0.976359338061466</v>
      </c>
      <c r="AY603" s="34" t="n">
        <f aca="false">IFERROR(AH603*AJ603*AX603,"")</f>
        <v>0.794230769230769</v>
      </c>
      <c r="AZ603" s="35"/>
    </row>
    <row r="604" customFormat="false" ht="12.75" hidden="false" customHeight="true" outlineLevel="0" collapsed="false">
      <c r="A604" s="24" t="n">
        <v>600</v>
      </c>
      <c r="B604" s="25" t="n">
        <v>46222</v>
      </c>
      <c r="C604" s="25" t="n">
        <v>12</v>
      </c>
      <c r="D604" s="26" t="s">
        <v>87</v>
      </c>
      <c r="E604" s="26" t="s">
        <v>101</v>
      </c>
      <c r="F604" s="26" t="s">
        <v>81</v>
      </c>
      <c r="G604" s="26" t="s">
        <v>13</v>
      </c>
      <c r="H604" s="27" t="n">
        <v>0.354166666666667</v>
      </c>
      <c r="I604" s="27" t="n">
        <v>0.854166666666667</v>
      </c>
      <c r="J604" s="26" t="n">
        <f aca="false">IFERROR((I604-H604)*24*60,"")</f>
        <v>720</v>
      </c>
      <c r="K604" s="26" t="s">
        <v>105</v>
      </c>
      <c r="L604" s="26" t="s">
        <v>83</v>
      </c>
      <c r="M604" s="26" t="s">
        <v>103</v>
      </c>
      <c r="N604" s="26" t="s">
        <v>104</v>
      </c>
      <c r="O604" s="26" t="n">
        <v>2</v>
      </c>
      <c r="P604" s="26" t="n">
        <v>41</v>
      </c>
      <c r="Q604" s="26" t="n">
        <f aca="false">IFERROR(3600/(P604/O604),"")</f>
        <v>175.609756097561</v>
      </c>
      <c r="R604" s="26" t="n">
        <v>1636</v>
      </c>
      <c r="S604" s="26" t="n">
        <v>37</v>
      </c>
      <c r="T604" s="26" t="n">
        <f aca="false">IFERROR(J604-S604,"")</f>
        <v>683</v>
      </c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 t="n">
        <v>28</v>
      </c>
      <c r="AF604" s="26" t="n">
        <f aca="false">SUM(U604:AE604)</f>
        <v>28</v>
      </c>
      <c r="AG604" s="26" t="n">
        <f aca="false">T604-AF604</f>
        <v>655</v>
      </c>
      <c r="AH604" s="28" t="n">
        <f aca="false">IFERROR(AG604/T604,"")</f>
        <v>0.95900439238653</v>
      </c>
      <c r="AI604" s="29" t="n">
        <f aca="false">IFERROR(R604/AG604*60,"")</f>
        <v>149.862595419847</v>
      </c>
      <c r="AJ604" s="30" t="n">
        <f aca="false">IFERROR(AI604/Q604,"")</f>
        <v>0.853384223918575</v>
      </c>
      <c r="AK604" s="31" t="n">
        <f aca="false">IFERROR(R604/(T604/60*Q604),"")</f>
        <v>0.818399219131284</v>
      </c>
      <c r="AL604" s="26" t="n">
        <v>1</v>
      </c>
      <c r="AM604" s="26" t="n">
        <v>4</v>
      </c>
      <c r="AN604" s="26" t="n">
        <v>2</v>
      </c>
      <c r="AO604" s="26" t="n">
        <v>1</v>
      </c>
      <c r="AP604" s="26" t="n">
        <v>3</v>
      </c>
      <c r="AQ604" s="26" t="n">
        <v>6</v>
      </c>
      <c r="AR604" s="26" t="n">
        <v>3</v>
      </c>
      <c r="AS604" s="26" t="n">
        <v>2</v>
      </c>
      <c r="AT604" s="26" t="n">
        <v>1</v>
      </c>
      <c r="AU604" s="26" t="n">
        <v>5</v>
      </c>
      <c r="AV604" s="26" t="n">
        <f aca="false">SUM(AL604:AU604)</f>
        <v>28</v>
      </c>
      <c r="AW604" s="32" t="n">
        <f aca="false">IFERROR(AV604/R604*1000000,"")</f>
        <v>17114.9144254279</v>
      </c>
      <c r="AX604" s="33" t="n">
        <f aca="false">IFERROR((R604-AV604)/R604,"")</f>
        <v>0.982885085574572</v>
      </c>
      <c r="AY604" s="34" t="n">
        <f aca="false">IFERROR(AH604*AJ604*AX604,"")</f>
        <v>0.804392386530015</v>
      </c>
      <c r="AZ604" s="35"/>
    </row>
    <row r="605" customFormat="false" ht="12.75" hidden="false" customHeight="true" outlineLevel="0" collapsed="false">
      <c r="A605" s="24" t="n">
        <v>601</v>
      </c>
      <c r="B605" s="25" t="n">
        <v>46223</v>
      </c>
      <c r="C605" s="25" t="n">
        <v>12</v>
      </c>
      <c r="D605" s="26" t="s">
        <v>71</v>
      </c>
      <c r="E605" s="26" t="s">
        <v>72</v>
      </c>
      <c r="F605" s="26" t="s">
        <v>73</v>
      </c>
      <c r="G605" s="26" t="s">
        <v>8</v>
      </c>
      <c r="H605" s="27" t="n">
        <v>0.354166666666667</v>
      </c>
      <c r="I605" s="27" t="n">
        <v>0.854166666666667</v>
      </c>
      <c r="J605" s="26" t="n">
        <f aca="false">IFERROR((I605-H605)*24*60,"")</f>
        <v>720</v>
      </c>
      <c r="K605" s="26" t="s">
        <v>89</v>
      </c>
      <c r="L605" s="26" t="s">
        <v>75</v>
      </c>
      <c r="M605" s="26" t="s">
        <v>76</v>
      </c>
      <c r="N605" s="26" t="s">
        <v>77</v>
      </c>
      <c r="O605" s="26" t="n">
        <v>1</v>
      </c>
      <c r="P605" s="26" t="n">
        <v>39</v>
      </c>
      <c r="Q605" s="26" t="n">
        <f aca="false">IFERROR(3600/(P605/O605),"")</f>
        <v>92.3076923076923</v>
      </c>
      <c r="R605" s="26" t="n">
        <v>785</v>
      </c>
      <c r="S605" s="26" t="n">
        <v>57</v>
      </c>
      <c r="T605" s="26" t="n">
        <f aca="false">IFERROR(J605-S605,"")</f>
        <v>663</v>
      </c>
      <c r="U605" s="26"/>
      <c r="V605" s="26"/>
      <c r="W605" s="26"/>
      <c r="X605" s="26"/>
      <c r="Y605" s="26"/>
      <c r="Z605" s="26"/>
      <c r="AA605" s="26" t="n">
        <v>44</v>
      </c>
      <c r="AB605" s="26"/>
      <c r="AC605" s="26" t="n">
        <v>19</v>
      </c>
      <c r="AD605" s="26"/>
      <c r="AE605" s="26" t="n">
        <v>10</v>
      </c>
      <c r="AF605" s="26" t="n">
        <f aca="false">SUM(U605:AE605)</f>
        <v>73</v>
      </c>
      <c r="AG605" s="26" t="n">
        <f aca="false">T605-AF605</f>
        <v>590</v>
      </c>
      <c r="AH605" s="28" t="n">
        <f aca="false">IFERROR(AG605/T605,"")</f>
        <v>0.889894419306184</v>
      </c>
      <c r="AI605" s="29" t="n">
        <f aca="false">IFERROR(R605/AG605*60,"")</f>
        <v>79.8305084745763</v>
      </c>
      <c r="AJ605" s="30" t="n">
        <f aca="false">IFERROR(AI605/Q605,"")</f>
        <v>0.864830508474576</v>
      </c>
      <c r="AK605" s="31" t="n">
        <f aca="false">IFERROR(R605/(T605/60*Q605),"")</f>
        <v>0.769607843137255</v>
      </c>
      <c r="AL605" s="26" t="n">
        <v>1</v>
      </c>
      <c r="AM605" s="26" t="n">
        <v>1</v>
      </c>
      <c r="AN605" s="26" t="n">
        <v>1</v>
      </c>
      <c r="AO605" s="26" t="n">
        <v>2</v>
      </c>
      <c r="AP605" s="26"/>
      <c r="AQ605" s="26" t="n">
        <v>3</v>
      </c>
      <c r="AR605" s="26" t="n">
        <v>4</v>
      </c>
      <c r="AS605" s="26" t="n">
        <v>1</v>
      </c>
      <c r="AT605" s="26" t="n">
        <v>1</v>
      </c>
      <c r="AU605" s="26" t="n">
        <v>1</v>
      </c>
      <c r="AV605" s="26" t="n">
        <f aca="false">SUM(AL605:AU605)</f>
        <v>15</v>
      </c>
      <c r="AW605" s="32" t="n">
        <f aca="false">IFERROR(AV605/R605*1000000,"")</f>
        <v>19108.2802547771</v>
      </c>
      <c r="AX605" s="33" t="n">
        <f aca="false">IFERROR((R605-AV605)/R605,"")</f>
        <v>0.980891719745223</v>
      </c>
      <c r="AY605" s="34" t="n">
        <f aca="false">IFERROR(AH605*AJ605*AX605,"")</f>
        <v>0.754901960784314</v>
      </c>
      <c r="AZ605" s="35"/>
    </row>
    <row r="606" customFormat="false" ht="12.75" hidden="false" customHeight="true" outlineLevel="0" collapsed="false">
      <c r="A606" s="24" t="n">
        <v>602</v>
      </c>
      <c r="B606" s="25" t="n">
        <v>46223</v>
      </c>
      <c r="C606" s="25" t="n">
        <v>12</v>
      </c>
      <c r="D606" s="26" t="s">
        <v>79</v>
      </c>
      <c r="E606" s="26" t="s">
        <v>80</v>
      </c>
      <c r="F606" s="26" t="s">
        <v>81</v>
      </c>
      <c r="G606" s="26" t="s">
        <v>9</v>
      </c>
      <c r="H606" s="27" t="n">
        <v>0.354166666666667</v>
      </c>
      <c r="I606" s="27" t="n">
        <v>0.854166666666667</v>
      </c>
      <c r="J606" s="26" t="n">
        <f aca="false">IFERROR((I606-H606)*24*60,"")</f>
        <v>720</v>
      </c>
      <c r="K606" s="26" t="s">
        <v>74</v>
      </c>
      <c r="L606" s="26" t="s">
        <v>107</v>
      </c>
      <c r="M606" s="26" t="s">
        <v>84</v>
      </c>
      <c r="N606" s="26" t="s">
        <v>85</v>
      </c>
      <c r="O606" s="26" t="n">
        <v>8</v>
      </c>
      <c r="P606" s="26" t="n">
        <v>71</v>
      </c>
      <c r="Q606" s="26" t="n">
        <f aca="false">IFERROR(3600/(P606/O606),"")</f>
        <v>405.633802816901</v>
      </c>
      <c r="R606" s="26" t="n">
        <v>3573</v>
      </c>
      <c r="S606" s="26" t="n">
        <v>36</v>
      </c>
      <c r="T606" s="26" t="n">
        <f aca="false">IFERROR(J606-S606,"")</f>
        <v>684</v>
      </c>
      <c r="U606" s="26"/>
      <c r="V606" s="26"/>
      <c r="W606" s="26" t="n">
        <v>5</v>
      </c>
      <c r="X606" s="26"/>
      <c r="Y606" s="26"/>
      <c r="Z606" s="26"/>
      <c r="AA606" s="26"/>
      <c r="AB606" s="26"/>
      <c r="AC606" s="26"/>
      <c r="AD606" s="26"/>
      <c r="AE606" s="26"/>
      <c r="AF606" s="26" t="n">
        <f aca="false">SUM(U606:AE606)</f>
        <v>5</v>
      </c>
      <c r="AG606" s="26" t="n">
        <f aca="false">T606-AF606</f>
        <v>679</v>
      </c>
      <c r="AH606" s="28" t="n">
        <f aca="false">IFERROR(AG606/T606,"")</f>
        <v>0.992690058479532</v>
      </c>
      <c r="AI606" s="29" t="n">
        <f aca="false">IFERROR(R606/AG606*60,"")</f>
        <v>315.729013254786</v>
      </c>
      <c r="AJ606" s="30" t="n">
        <f aca="false">IFERROR(AI606/Q606,"")</f>
        <v>0.77835972017673</v>
      </c>
      <c r="AK606" s="31" t="n">
        <f aca="false">IFERROR(R606/(T606/60*Q606),"")</f>
        <v>0.772669956140351</v>
      </c>
      <c r="AL606" s="26" t="n">
        <v>1</v>
      </c>
      <c r="AM606" s="26" t="n">
        <v>5</v>
      </c>
      <c r="AN606" s="26" t="n">
        <v>3</v>
      </c>
      <c r="AO606" s="26" t="n">
        <v>2</v>
      </c>
      <c r="AP606" s="26" t="n">
        <v>6</v>
      </c>
      <c r="AQ606" s="26" t="n">
        <v>1</v>
      </c>
      <c r="AR606" s="26" t="n">
        <v>5</v>
      </c>
      <c r="AS606" s="26" t="n">
        <v>2</v>
      </c>
      <c r="AT606" s="26"/>
      <c r="AU606" s="26"/>
      <c r="AV606" s="26" t="n">
        <f aca="false">SUM(AL606:AU606)</f>
        <v>25</v>
      </c>
      <c r="AW606" s="32" t="n">
        <f aca="false">IFERROR(AV606/R606*1000000,"")</f>
        <v>6996.92135460398</v>
      </c>
      <c r="AX606" s="33" t="n">
        <f aca="false">IFERROR((R606-AV606)/R606,"")</f>
        <v>0.993003078645396</v>
      </c>
      <c r="AY606" s="34" t="n">
        <f aca="false">IFERROR(AH606*AJ606*AX606,"")</f>
        <v>0.767263645224172</v>
      </c>
      <c r="AZ606" s="35"/>
    </row>
    <row r="607" customFormat="false" ht="12.75" hidden="false" customHeight="true" outlineLevel="0" collapsed="false">
      <c r="A607" s="24" t="n">
        <v>603</v>
      </c>
      <c r="B607" s="25" t="n">
        <v>46223</v>
      </c>
      <c r="C607" s="25" t="n">
        <v>12</v>
      </c>
      <c r="D607" s="26" t="s">
        <v>87</v>
      </c>
      <c r="E607" s="26" t="s">
        <v>88</v>
      </c>
      <c r="F607" s="26" t="s">
        <v>73</v>
      </c>
      <c r="G607" s="26" t="s">
        <v>10</v>
      </c>
      <c r="H607" s="27" t="n">
        <v>0.354166666666667</v>
      </c>
      <c r="I607" s="27" t="n">
        <v>0.854166666666667</v>
      </c>
      <c r="J607" s="26" t="n">
        <f aca="false">IFERROR((I607-H607)*24*60,"")</f>
        <v>720</v>
      </c>
      <c r="K607" s="26" t="s">
        <v>74</v>
      </c>
      <c r="L607" s="26" t="s">
        <v>90</v>
      </c>
      <c r="M607" s="26" t="s">
        <v>91</v>
      </c>
      <c r="N607" s="26" t="s">
        <v>92</v>
      </c>
      <c r="O607" s="26" t="n">
        <v>2</v>
      </c>
      <c r="P607" s="26" t="n">
        <v>50</v>
      </c>
      <c r="Q607" s="26" t="n">
        <f aca="false">IFERROR(3600/(P607/O607),"")</f>
        <v>144</v>
      </c>
      <c r="R607" s="26" t="n">
        <v>1147</v>
      </c>
      <c r="S607" s="26" t="n">
        <v>64</v>
      </c>
      <c r="T607" s="26" t="n">
        <f aca="false">IFERROR(J607-S607,"")</f>
        <v>656</v>
      </c>
      <c r="U607" s="26"/>
      <c r="V607" s="26"/>
      <c r="W607" s="26"/>
      <c r="X607" s="26"/>
      <c r="Y607" s="26" t="n">
        <v>29</v>
      </c>
      <c r="Z607" s="26"/>
      <c r="AA607" s="26"/>
      <c r="AB607" s="26"/>
      <c r="AC607" s="26"/>
      <c r="AD607" s="26"/>
      <c r="AE607" s="26"/>
      <c r="AF607" s="26" t="n">
        <f aca="false">SUM(U607:AE607)</f>
        <v>29</v>
      </c>
      <c r="AG607" s="26" t="n">
        <f aca="false">T607-AF607</f>
        <v>627</v>
      </c>
      <c r="AH607" s="28" t="n">
        <f aca="false">IFERROR(AG607/T607,"")</f>
        <v>0.955792682926829</v>
      </c>
      <c r="AI607" s="29" t="n">
        <f aca="false">IFERROR(R607/AG607*60,"")</f>
        <v>109.760765550239</v>
      </c>
      <c r="AJ607" s="30" t="n">
        <f aca="false">IFERROR(AI607/Q607,"")</f>
        <v>0.762227538543328</v>
      </c>
      <c r="AK607" s="31" t="n">
        <f aca="false">IFERROR(R607/(T607/60*Q607),"")</f>
        <v>0.728531504065041</v>
      </c>
      <c r="AL607" s="26" t="n">
        <v>1</v>
      </c>
      <c r="AM607" s="26"/>
      <c r="AN607" s="26"/>
      <c r="AO607" s="26" t="n">
        <v>1</v>
      </c>
      <c r="AP607" s="26"/>
      <c r="AQ607" s="26"/>
      <c r="AR607" s="26" t="n">
        <v>3</v>
      </c>
      <c r="AS607" s="26" t="n">
        <v>1</v>
      </c>
      <c r="AT607" s="26" t="n">
        <v>4</v>
      </c>
      <c r="AU607" s="26" t="n">
        <v>2</v>
      </c>
      <c r="AV607" s="26" t="n">
        <f aca="false">SUM(AL607:AU607)</f>
        <v>12</v>
      </c>
      <c r="AW607" s="32" t="n">
        <f aca="false">IFERROR(AV607/R607*1000000,"")</f>
        <v>10462.074978204</v>
      </c>
      <c r="AX607" s="33" t="n">
        <f aca="false">IFERROR((R607-AV607)/R607,"")</f>
        <v>0.989537925021796</v>
      </c>
      <c r="AY607" s="34" t="n">
        <f aca="false">IFERROR(AH607*AJ607*AX607,"")</f>
        <v>0.720909552845528</v>
      </c>
      <c r="AZ607" s="35" t="s">
        <v>78</v>
      </c>
    </row>
    <row r="608" customFormat="false" ht="12.75" hidden="false" customHeight="true" outlineLevel="0" collapsed="false">
      <c r="A608" s="24" t="n">
        <v>604</v>
      </c>
      <c r="B608" s="25" t="n">
        <v>46224</v>
      </c>
      <c r="C608" s="25" t="n">
        <v>12</v>
      </c>
      <c r="D608" s="26" t="s">
        <v>71</v>
      </c>
      <c r="E608" s="26" t="s">
        <v>94</v>
      </c>
      <c r="F608" s="26" t="s">
        <v>81</v>
      </c>
      <c r="G608" s="26" t="s">
        <v>11</v>
      </c>
      <c r="H608" s="27" t="n">
        <v>0.354166666666667</v>
      </c>
      <c r="I608" s="27" t="n">
        <v>0.854166666666667</v>
      </c>
      <c r="J608" s="26" t="n">
        <f aca="false">IFERROR((I608-H608)*24*60,"")</f>
        <v>720</v>
      </c>
      <c r="K608" s="26" t="s">
        <v>74</v>
      </c>
      <c r="L608" s="26" t="s">
        <v>83</v>
      </c>
      <c r="M608" s="26" t="s">
        <v>95</v>
      </c>
      <c r="N608" s="26" t="s">
        <v>96</v>
      </c>
      <c r="O608" s="26" t="n">
        <v>2</v>
      </c>
      <c r="P608" s="26" t="n">
        <v>55</v>
      </c>
      <c r="Q608" s="26" t="n">
        <f aca="false">IFERROR(3600/(P608/O608),"")</f>
        <v>130.909090909091</v>
      </c>
      <c r="R608" s="26" t="n">
        <v>1225</v>
      </c>
      <c r="S608" s="26" t="n">
        <v>47</v>
      </c>
      <c r="T608" s="26" t="n">
        <f aca="false">IFERROR(J608-S608,"")</f>
        <v>673</v>
      </c>
      <c r="U608" s="26"/>
      <c r="V608" s="26" t="n">
        <v>36</v>
      </c>
      <c r="W608" s="26"/>
      <c r="X608" s="26" t="n">
        <v>26</v>
      </c>
      <c r="Y608" s="26"/>
      <c r="Z608" s="26"/>
      <c r="AA608" s="26" t="n">
        <v>17</v>
      </c>
      <c r="AB608" s="26"/>
      <c r="AC608" s="26"/>
      <c r="AD608" s="26"/>
      <c r="AE608" s="26"/>
      <c r="AF608" s="26" t="n">
        <f aca="false">SUM(U608:AE608)</f>
        <v>79</v>
      </c>
      <c r="AG608" s="26" t="n">
        <f aca="false">T608-AF608</f>
        <v>594</v>
      </c>
      <c r="AH608" s="28" t="n">
        <f aca="false">IFERROR(AG608/T608,"")</f>
        <v>0.882615156017831</v>
      </c>
      <c r="AI608" s="29" t="n">
        <f aca="false">IFERROR(R608/AG608*60,"")</f>
        <v>123.737373737374</v>
      </c>
      <c r="AJ608" s="30" t="n">
        <f aca="false">IFERROR(AI608/Q608,"")</f>
        <v>0.945216049382716</v>
      </c>
      <c r="AK608" s="31" t="n">
        <f aca="false">IFERROR(R608/(T608/60*Q608),"")</f>
        <v>0.834262010896483</v>
      </c>
      <c r="AL608" s="26" t="n">
        <v>3</v>
      </c>
      <c r="AM608" s="26" t="n">
        <v>4</v>
      </c>
      <c r="AN608" s="26" t="n">
        <v>4</v>
      </c>
      <c r="AO608" s="26" t="n">
        <v>1</v>
      </c>
      <c r="AP608" s="26" t="n">
        <v>2</v>
      </c>
      <c r="AQ608" s="26" t="n">
        <v>1</v>
      </c>
      <c r="AR608" s="26" t="n">
        <v>2</v>
      </c>
      <c r="AS608" s="26" t="n">
        <v>2</v>
      </c>
      <c r="AT608" s="26" t="n">
        <v>1</v>
      </c>
      <c r="AU608" s="26" t="n">
        <v>4</v>
      </c>
      <c r="AV608" s="26" t="n">
        <f aca="false">SUM(AL608:AU608)</f>
        <v>24</v>
      </c>
      <c r="AW608" s="32" t="n">
        <f aca="false">IFERROR(AV608/R608*1000000,"")</f>
        <v>19591.8367346939</v>
      </c>
      <c r="AX608" s="33" t="n">
        <f aca="false">IFERROR((R608-AV608)/R608,"")</f>
        <v>0.980408163265306</v>
      </c>
      <c r="AY608" s="34" t="n">
        <f aca="false">IFERROR(AH608*AJ608*AX608,"")</f>
        <v>0.817917285785042</v>
      </c>
      <c r="AZ608" s="35" t="s">
        <v>86</v>
      </c>
    </row>
    <row r="609" customFormat="false" ht="12.75" hidden="false" customHeight="true" outlineLevel="0" collapsed="false">
      <c r="A609" s="24" t="n">
        <v>605</v>
      </c>
      <c r="B609" s="25" t="n">
        <v>46224</v>
      </c>
      <c r="C609" s="25" t="n">
        <v>12</v>
      </c>
      <c r="D609" s="26" t="s">
        <v>79</v>
      </c>
      <c r="E609" s="26" t="s">
        <v>97</v>
      </c>
      <c r="F609" s="26" t="s">
        <v>73</v>
      </c>
      <c r="G609" s="26" t="s">
        <v>12</v>
      </c>
      <c r="H609" s="27" t="n">
        <v>0.354166666666667</v>
      </c>
      <c r="I609" s="27" t="n">
        <v>0.854166666666667</v>
      </c>
      <c r="J609" s="26" t="n">
        <f aca="false">IFERROR((I609-H609)*24*60,"")</f>
        <v>720</v>
      </c>
      <c r="K609" s="26" t="s">
        <v>82</v>
      </c>
      <c r="L609" s="26" t="s">
        <v>102</v>
      </c>
      <c r="M609" s="26" t="s">
        <v>99</v>
      </c>
      <c r="N609" s="26" t="s">
        <v>100</v>
      </c>
      <c r="O609" s="26" t="n">
        <v>1</v>
      </c>
      <c r="P609" s="26" t="n">
        <v>57</v>
      </c>
      <c r="Q609" s="26" t="n">
        <f aca="false">IFERROR(3600/(P609/O609),"")</f>
        <v>63.1578947368421</v>
      </c>
      <c r="R609" s="26" t="n">
        <v>496</v>
      </c>
      <c r="S609" s="26" t="n">
        <v>47</v>
      </c>
      <c r="T609" s="26" t="n">
        <f aca="false">IFERROR(J609-S609,"")</f>
        <v>673</v>
      </c>
      <c r="U609" s="26"/>
      <c r="V609" s="26"/>
      <c r="W609" s="26"/>
      <c r="X609" s="26"/>
      <c r="Y609" s="26"/>
      <c r="Z609" s="26"/>
      <c r="AA609" s="26"/>
      <c r="AB609" s="26" t="n">
        <v>10</v>
      </c>
      <c r="AC609" s="26"/>
      <c r="AD609" s="26"/>
      <c r="AE609" s="26"/>
      <c r="AF609" s="26" t="n">
        <f aca="false">SUM(U609:AE609)</f>
        <v>10</v>
      </c>
      <c r="AG609" s="26" t="n">
        <f aca="false">T609-AF609</f>
        <v>663</v>
      </c>
      <c r="AH609" s="28" t="n">
        <f aca="false">IFERROR(AG609/T609,"")</f>
        <v>0.985141158989599</v>
      </c>
      <c r="AI609" s="29" t="n">
        <f aca="false">IFERROR(R609/AG609*60,"")</f>
        <v>44.8868778280543</v>
      </c>
      <c r="AJ609" s="30" t="n">
        <f aca="false">IFERROR(AI609/Q609,"")</f>
        <v>0.710708898944193</v>
      </c>
      <c r="AK609" s="31" t="n">
        <f aca="false">IFERROR(R609/(T609/60*Q609),"")</f>
        <v>0.700148588410104</v>
      </c>
      <c r="AL609" s="26" t="n">
        <v>1</v>
      </c>
      <c r="AM609" s="26"/>
      <c r="AN609" s="26"/>
      <c r="AO609" s="26"/>
      <c r="AP609" s="26"/>
      <c r="AQ609" s="26" t="n">
        <v>1</v>
      </c>
      <c r="AR609" s="26" t="n">
        <v>1</v>
      </c>
      <c r="AS609" s="26" t="n">
        <v>2</v>
      </c>
      <c r="AT609" s="26" t="n">
        <v>2</v>
      </c>
      <c r="AU609" s="26" t="n">
        <v>1</v>
      </c>
      <c r="AV609" s="26" t="n">
        <f aca="false">SUM(AL609:AU609)</f>
        <v>8</v>
      </c>
      <c r="AW609" s="32" t="n">
        <f aca="false">IFERROR(AV609/R609*1000000,"")</f>
        <v>16129.0322580645</v>
      </c>
      <c r="AX609" s="33" t="n">
        <f aca="false">IFERROR((R609-AV609)/R609,"")</f>
        <v>0.983870967741936</v>
      </c>
      <c r="AY609" s="34" t="n">
        <f aca="false">IFERROR(AH609*AJ609*AX609,"")</f>
        <v>0.688855869242199</v>
      </c>
      <c r="AZ609" s="35" t="s">
        <v>93</v>
      </c>
    </row>
    <row r="610" customFormat="false" ht="12.75" hidden="false" customHeight="true" outlineLevel="0" collapsed="false">
      <c r="A610" s="24" t="n">
        <v>606</v>
      </c>
      <c r="B610" s="25" t="n">
        <v>46224</v>
      </c>
      <c r="C610" s="25" t="n">
        <v>12</v>
      </c>
      <c r="D610" s="26" t="s">
        <v>87</v>
      </c>
      <c r="E610" s="26" t="s">
        <v>101</v>
      </c>
      <c r="F610" s="26" t="s">
        <v>81</v>
      </c>
      <c r="G610" s="26" t="s">
        <v>13</v>
      </c>
      <c r="H610" s="27" t="n">
        <v>0.354166666666667</v>
      </c>
      <c r="I610" s="27" t="n">
        <v>0.854166666666667</v>
      </c>
      <c r="J610" s="26" t="n">
        <f aca="false">IFERROR((I610-H610)*24*60,"")</f>
        <v>720</v>
      </c>
      <c r="K610" s="26" t="s">
        <v>89</v>
      </c>
      <c r="L610" s="26" t="s">
        <v>106</v>
      </c>
      <c r="M610" s="26" t="s">
        <v>103</v>
      </c>
      <c r="N610" s="26" t="s">
        <v>104</v>
      </c>
      <c r="O610" s="26" t="n">
        <v>1</v>
      </c>
      <c r="P610" s="26" t="n">
        <v>44</v>
      </c>
      <c r="Q610" s="26" t="n">
        <f aca="false">IFERROR(3600/(P610/O610),"")</f>
        <v>81.8181818181818</v>
      </c>
      <c r="R610" s="26" t="n">
        <v>617</v>
      </c>
      <c r="S610" s="26" t="n">
        <v>67</v>
      </c>
      <c r="T610" s="26" t="n">
        <f aca="false">IFERROR(J610-S610,"")</f>
        <v>653</v>
      </c>
      <c r="U610" s="26"/>
      <c r="V610" s="26"/>
      <c r="W610" s="26"/>
      <c r="X610" s="26"/>
      <c r="Y610" s="26"/>
      <c r="Z610" s="26"/>
      <c r="AA610" s="26"/>
      <c r="AB610" s="26" t="n">
        <v>6</v>
      </c>
      <c r="AC610" s="26"/>
      <c r="AD610" s="26"/>
      <c r="AE610" s="26"/>
      <c r="AF610" s="26" t="n">
        <f aca="false">SUM(U610:AE610)</f>
        <v>6</v>
      </c>
      <c r="AG610" s="26" t="n">
        <f aca="false">T610-AF610</f>
        <v>647</v>
      </c>
      <c r="AH610" s="28" t="n">
        <f aca="false">IFERROR(AG610/T610,"")</f>
        <v>0.990811638591118</v>
      </c>
      <c r="AI610" s="29" t="n">
        <f aca="false">IFERROR(R610/AG610*60,"")</f>
        <v>57.2179289026275</v>
      </c>
      <c r="AJ610" s="30" t="n">
        <f aca="false">IFERROR(AI610/Q610,"")</f>
        <v>0.699330242143225</v>
      </c>
      <c r="AK610" s="31" t="n">
        <f aca="false">IFERROR(R610/(T610/60*Q610),"")</f>
        <v>0.692904543134252</v>
      </c>
      <c r="AL610" s="26"/>
      <c r="AM610" s="26"/>
      <c r="AN610" s="26"/>
      <c r="AO610" s="26"/>
      <c r="AP610" s="26" t="n">
        <v>1</v>
      </c>
      <c r="AQ610" s="26"/>
      <c r="AR610" s="26"/>
      <c r="AS610" s="26"/>
      <c r="AT610" s="26" t="n">
        <v>1</v>
      </c>
      <c r="AU610" s="26"/>
      <c r="AV610" s="26" t="n">
        <f aca="false">SUM(AL610:AU610)</f>
        <v>2</v>
      </c>
      <c r="AW610" s="32" t="n">
        <f aca="false">IFERROR(AV610/R610*1000000,"")</f>
        <v>3241.49108589951</v>
      </c>
      <c r="AX610" s="33" t="n">
        <f aca="false">IFERROR((R610-AV610)/R610,"")</f>
        <v>0.9967585089141</v>
      </c>
      <c r="AY610" s="34" t="n">
        <f aca="false">IFERROR(AH610*AJ610*AX610,"")</f>
        <v>0.690658499234303</v>
      </c>
      <c r="AZ610" s="35"/>
    </row>
    <row r="611" customFormat="false" ht="12.75" hidden="false" customHeight="true" outlineLevel="0" collapsed="false">
      <c r="A611" s="24" t="n">
        <v>607</v>
      </c>
      <c r="B611" s="25" t="n">
        <v>46225</v>
      </c>
      <c r="C611" s="25" t="n">
        <v>12</v>
      </c>
      <c r="D611" s="26" t="s">
        <v>71</v>
      </c>
      <c r="E611" s="26" t="s">
        <v>72</v>
      </c>
      <c r="F611" s="26" t="s">
        <v>73</v>
      </c>
      <c r="G611" s="26" t="s">
        <v>8</v>
      </c>
      <c r="H611" s="27" t="n">
        <v>0.354166666666667</v>
      </c>
      <c r="I611" s="27" t="n">
        <v>0.854166666666667</v>
      </c>
      <c r="J611" s="26" t="n">
        <f aca="false">IFERROR((I611-H611)*24*60,"")</f>
        <v>720</v>
      </c>
      <c r="K611" s="26" t="s">
        <v>105</v>
      </c>
      <c r="L611" s="26" t="s">
        <v>108</v>
      </c>
      <c r="M611" s="26" t="s">
        <v>76</v>
      </c>
      <c r="N611" s="26" t="s">
        <v>77</v>
      </c>
      <c r="O611" s="26" t="n">
        <v>1</v>
      </c>
      <c r="P611" s="26" t="n">
        <v>59</v>
      </c>
      <c r="Q611" s="26" t="n">
        <f aca="false">IFERROR(3600/(P611/O611),"")</f>
        <v>61.0169491525424</v>
      </c>
      <c r="R611" s="26" t="n">
        <v>556</v>
      </c>
      <c r="S611" s="26" t="n">
        <v>52</v>
      </c>
      <c r="T611" s="26" t="n">
        <f aca="false">IFERROR(J611-S611,"")</f>
        <v>668</v>
      </c>
      <c r="U611" s="26" t="n">
        <v>9</v>
      </c>
      <c r="V611" s="26" t="n">
        <v>16</v>
      </c>
      <c r="W611" s="26"/>
      <c r="X611" s="26"/>
      <c r="Y611" s="26"/>
      <c r="Z611" s="26"/>
      <c r="AA611" s="26"/>
      <c r="AB611" s="26" t="n">
        <v>51</v>
      </c>
      <c r="AC611" s="26"/>
      <c r="AD611" s="26"/>
      <c r="AE611" s="26"/>
      <c r="AF611" s="26" t="n">
        <f aca="false">SUM(U611:AE611)</f>
        <v>76</v>
      </c>
      <c r="AG611" s="26" t="n">
        <f aca="false">T611-AF611</f>
        <v>592</v>
      </c>
      <c r="AH611" s="28" t="n">
        <f aca="false">IFERROR(AG611/T611,"")</f>
        <v>0.88622754491018</v>
      </c>
      <c r="AI611" s="29" t="n">
        <f aca="false">IFERROR(R611/AG611*60,"")</f>
        <v>56.3513513513514</v>
      </c>
      <c r="AJ611" s="30" t="n">
        <f aca="false">IFERROR(AI611/Q611,"")</f>
        <v>0.923536036036036</v>
      </c>
      <c r="AK611" s="31" t="n">
        <f aca="false">IFERROR(R611/(T611/60*Q611),"")</f>
        <v>0.818463073852295</v>
      </c>
      <c r="AL611" s="26"/>
      <c r="AM611" s="26"/>
      <c r="AN611" s="26"/>
      <c r="AO611" s="26" t="n">
        <v>1</v>
      </c>
      <c r="AP611" s="26"/>
      <c r="AQ611" s="26" t="n">
        <v>1</v>
      </c>
      <c r="AR611" s="26" t="n">
        <v>1</v>
      </c>
      <c r="AS611" s="26"/>
      <c r="AT611" s="26"/>
      <c r="AU611" s="26"/>
      <c r="AV611" s="26" t="n">
        <f aca="false">SUM(AL611:AU611)</f>
        <v>3</v>
      </c>
      <c r="AW611" s="32" t="n">
        <f aca="false">IFERROR(AV611/R611*1000000,"")</f>
        <v>5395.68345323741</v>
      </c>
      <c r="AX611" s="33" t="n">
        <f aca="false">IFERROR((R611-AV611)/R611,"")</f>
        <v>0.994604316546763</v>
      </c>
      <c r="AY611" s="34" t="n">
        <f aca="false">IFERROR(AH611*AJ611*AX611,"")</f>
        <v>0.814046906187625</v>
      </c>
      <c r="AZ611" s="35" t="s">
        <v>86</v>
      </c>
    </row>
    <row r="612" customFormat="false" ht="12.75" hidden="false" customHeight="true" outlineLevel="0" collapsed="false">
      <c r="A612" s="24" t="n">
        <v>608</v>
      </c>
      <c r="B612" s="25" t="n">
        <v>46225</v>
      </c>
      <c r="C612" s="25" t="n">
        <v>12</v>
      </c>
      <c r="D612" s="26" t="s">
        <v>79</v>
      </c>
      <c r="E612" s="26" t="s">
        <v>80</v>
      </c>
      <c r="F612" s="26" t="s">
        <v>81</v>
      </c>
      <c r="G612" s="26" t="s">
        <v>9</v>
      </c>
      <c r="H612" s="27" t="n">
        <v>0.354166666666667</v>
      </c>
      <c r="I612" s="27" t="n">
        <v>0.854166666666667</v>
      </c>
      <c r="J612" s="26" t="n">
        <f aca="false">IFERROR((I612-H612)*24*60,"")</f>
        <v>720</v>
      </c>
      <c r="K612" s="26" t="s">
        <v>82</v>
      </c>
      <c r="L612" s="26" t="s">
        <v>106</v>
      </c>
      <c r="M612" s="26" t="s">
        <v>84</v>
      </c>
      <c r="N612" s="26" t="s">
        <v>85</v>
      </c>
      <c r="O612" s="26" t="n">
        <v>8</v>
      </c>
      <c r="P612" s="26" t="n">
        <v>47</v>
      </c>
      <c r="Q612" s="26" t="n">
        <f aca="false">IFERROR(3600/(P612/O612),"")</f>
        <v>612.765957446809</v>
      </c>
      <c r="R612" s="26" t="n">
        <v>6634</v>
      </c>
      <c r="S612" s="26" t="n">
        <v>36</v>
      </c>
      <c r="T612" s="26" t="n">
        <f aca="false">IFERROR(J612-S612,"")</f>
        <v>684</v>
      </c>
      <c r="U612" s="26"/>
      <c r="V612" s="26"/>
      <c r="W612" s="26"/>
      <c r="X612" s="26"/>
      <c r="Y612" s="26"/>
      <c r="Z612" s="26"/>
      <c r="AA612" s="26" t="n">
        <v>9</v>
      </c>
      <c r="AB612" s="26"/>
      <c r="AC612" s="26"/>
      <c r="AD612" s="26"/>
      <c r="AE612" s="26"/>
      <c r="AF612" s="26" t="n">
        <f aca="false">SUM(U612:AE612)</f>
        <v>9</v>
      </c>
      <c r="AG612" s="26" t="n">
        <f aca="false">T612-AF612</f>
        <v>675</v>
      </c>
      <c r="AH612" s="28" t="n">
        <f aca="false">IFERROR(AG612/T612,"")</f>
        <v>0.986842105263158</v>
      </c>
      <c r="AI612" s="29" t="n">
        <f aca="false">IFERROR(R612/AG612*60,"")</f>
        <v>589.688888888889</v>
      </c>
      <c r="AJ612" s="30" t="n">
        <f aca="false">IFERROR(AI612/Q612,"")</f>
        <v>0.962339506172839</v>
      </c>
      <c r="AK612" s="31" t="n">
        <f aca="false">IFERROR(R612/(T612/60*Q612),"")</f>
        <v>0.949677144249513</v>
      </c>
      <c r="AL612" s="26" t="n">
        <v>7</v>
      </c>
      <c r="AM612" s="26" t="n">
        <v>14</v>
      </c>
      <c r="AN612" s="26" t="n">
        <v>9</v>
      </c>
      <c r="AO612" s="26" t="n">
        <v>14</v>
      </c>
      <c r="AP612" s="26" t="n">
        <v>8</v>
      </c>
      <c r="AQ612" s="26" t="n">
        <v>10</v>
      </c>
      <c r="AR612" s="26" t="n">
        <v>9</v>
      </c>
      <c r="AS612" s="26" t="n">
        <v>8</v>
      </c>
      <c r="AT612" s="26" t="n">
        <v>10</v>
      </c>
      <c r="AU612" s="26" t="n">
        <v>15</v>
      </c>
      <c r="AV612" s="26" t="n">
        <f aca="false">SUM(AL612:AU612)</f>
        <v>104</v>
      </c>
      <c r="AW612" s="32" t="n">
        <f aca="false">IFERROR(AV612/R612*1000000,"")</f>
        <v>15676.8164003618</v>
      </c>
      <c r="AX612" s="33" t="n">
        <f aca="false">IFERROR((R612-AV612)/R612,"")</f>
        <v>0.984323183599638</v>
      </c>
      <c r="AY612" s="34" t="n">
        <f aca="false">IFERROR(AH612*AJ612*AX612,"")</f>
        <v>0.934789230019493</v>
      </c>
      <c r="AZ612" s="35" t="s">
        <v>86</v>
      </c>
    </row>
    <row r="613" customFormat="false" ht="12.75" hidden="false" customHeight="true" outlineLevel="0" collapsed="false">
      <c r="A613" s="24" t="n">
        <v>609</v>
      </c>
      <c r="B613" s="25" t="n">
        <v>46225</v>
      </c>
      <c r="C613" s="25" t="n">
        <v>12</v>
      </c>
      <c r="D613" s="26" t="s">
        <v>87</v>
      </c>
      <c r="E613" s="26" t="s">
        <v>88</v>
      </c>
      <c r="F613" s="26" t="s">
        <v>73</v>
      </c>
      <c r="G613" s="26" t="s">
        <v>10</v>
      </c>
      <c r="H613" s="27" t="n">
        <v>0.354166666666667</v>
      </c>
      <c r="I613" s="27" t="n">
        <v>0.854166666666667</v>
      </c>
      <c r="J613" s="26" t="n">
        <f aca="false">IFERROR((I613-H613)*24*60,"")</f>
        <v>720</v>
      </c>
      <c r="K613" s="26" t="s">
        <v>82</v>
      </c>
      <c r="L613" s="26" t="s">
        <v>107</v>
      </c>
      <c r="M613" s="26" t="s">
        <v>91</v>
      </c>
      <c r="N613" s="26" t="s">
        <v>92</v>
      </c>
      <c r="O613" s="26" t="n">
        <v>8</v>
      </c>
      <c r="P613" s="26" t="n">
        <v>37</v>
      </c>
      <c r="Q613" s="26" t="n">
        <f aca="false">IFERROR(3600/(P613/O613),"")</f>
        <v>778.378378378378</v>
      </c>
      <c r="R613" s="26" t="n">
        <v>8028</v>
      </c>
      <c r="S613" s="26" t="n">
        <v>36</v>
      </c>
      <c r="T613" s="26" t="n">
        <f aca="false">IFERROR(J613-S613,"")</f>
        <v>684</v>
      </c>
      <c r="U613" s="26" t="n">
        <v>10</v>
      </c>
      <c r="V613" s="26"/>
      <c r="W613" s="26"/>
      <c r="X613" s="26"/>
      <c r="Y613" s="26"/>
      <c r="Z613" s="26"/>
      <c r="AA613" s="26" t="n">
        <v>22</v>
      </c>
      <c r="AB613" s="26"/>
      <c r="AC613" s="26"/>
      <c r="AD613" s="26" t="n">
        <v>18</v>
      </c>
      <c r="AE613" s="26"/>
      <c r="AF613" s="26" t="n">
        <f aca="false">SUM(U613:AE613)</f>
        <v>50</v>
      </c>
      <c r="AG613" s="26" t="n">
        <f aca="false">T613-AF613</f>
        <v>634</v>
      </c>
      <c r="AH613" s="28" t="n">
        <f aca="false">IFERROR(AG613/T613,"")</f>
        <v>0.926900584795322</v>
      </c>
      <c r="AI613" s="29" t="n">
        <f aca="false">IFERROR(R613/AG613*60,"")</f>
        <v>759.747634069401</v>
      </c>
      <c r="AJ613" s="30" t="n">
        <f aca="false">IFERROR(AI613/Q613,"")</f>
        <v>0.976064668769716</v>
      </c>
      <c r="AK613" s="31" t="n">
        <f aca="false">IFERROR(R613/(T613/60*Q613),"")</f>
        <v>0.904714912280702</v>
      </c>
      <c r="AL613" s="26" t="n">
        <v>10</v>
      </c>
      <c r="AM613" s="26" t="n">
        <v>13</v>
      </c>
      <c r="AN613" s="26" t="n">
        <v>12</v>
      </c>
      <c r="AO613" s="26" t="n">
        <v>11</v>
      </c>
      <c r="AP613" s="26" t="n">
        <v>18</v>
      </c>
      <c r="AQ613" s="26" t="n">
        <v>9</v>
      </c>
      <c r="AR613" s="26" t="n">
        <v>9</v>
      </c>
      <c r="AS613" s="26" t="n">
        <v>10</v>
      </c>
      <c r="AT613" s="26" t="n">
        <v>8</v>
      </c>
      <c r="AU613" s="26" t="n">
        <v>12</v>
      </c>
      <c r="AV613" s="26" t="n">
        <f aca="false">SUM(AL613:AU613)</f>
        <v>112</v>
      </c>
      <c r="AW613" s="32" t="n">
        <f aca="false">IFERROR(AV613/R613*1000000,"")</f>
        <v>13951.1709018435</v>
      </c>
      <c r="AX613" s="33" t="n">
        <f aca="false">IFERROR((R613-AV613)/R613,"")</f>
        <v>0.986048829098157</v>
      </c>
      <c r="AY613" s="34" t="n">
        <f aca="false">IFERROR(AH613*AJ613*AX613,"")</f>
        <v>0.892093079922028</v>
      </c>
      <c r="AZ613" s="35" t="s">
        <v>78</v>
      </c>
    </row>
    <row r="614" customFormat="false" ht="12.75" hidden="false" customHeight="true" outlineLevel="0" collapsed="false">
      <c r="A614" s="24" t="n">
        <v>610</v>
      </c>
      <c r="B614" s="25" t="n">
        <v>46226</v>
      </c>
      <c r="C614" s="25" t="n">
        <v>12</v>
      </c>
      <c r="D614" s="26" t="s">
        <v>71</v>
      </c>
      <c r="E614" s="26" t="s">
        <v>94</v>
      </c>
      <c r="F614" s="26" t="s">
        <v>81</v>
      </c>
      <c r="G614" s="26" t="s">
        <v>11</v>
      </c>
      <c r="H614" s="27" t="n">
        <v>0.354166666666667</v>
      </c>
      <c r="I614" s="27" t="n">
        <v>0.854166666666667</v>
      </c>
      <c r="J614" s="26" t="n">
        <f aca="false">IFERROR((I614-H614)*24*60,"")</f>
        <v>720</v>
      </c>
      <c r="K614" s="26" t="s">
        <v>82</v>
      </c>
      <c r="L614" s="26" t="s">
        <v>90</v>
      </c>
      <c r="M614" s="26" t="s">
        <v>95</v>
      </c>
      <c r="N614" s="26" t="s">
        <v>96</v>
      </c>
      <c r="O614" s="26" t="n">
        <v>8</v>
      </c>
      <c r="P614" s="26" t="n">
        <v>28</v>
      </c>
      <c r="Q614" s="26" t="n">
        <f aca="false">IFERROR(3600/(P614/O614),"")</f>
        <v>1028.57142857143</v>
      </c>
      <c r="R614" s="26" t="n">
        <v>10090</v>
      </c>
      <c r="S614" s="26" t="n">
        <v>62</v>
      </c>
      <c r="T614" s="26" t="n">
        <f aca="false">IFERROR(J614-S614,"")</f>
        <v>658</v>
      </c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 t="n">
        <v>3</v>
      </c>
      <c r="AF614" s="26" t="n">
        <f aca="false">SUM(U614:AE614)</f>
        <v>3</v>
      </c>
      <c r="AG614" s="26" t="n">
        <f aca="false">T614-AF614</f>
        <v>655</v>
      </c>
      <c r="AH614" s="28" t="n">
        <f aca="false">IFERROR(AG614/T614,"")</f>
        <v>0.995440729483283</v>
      </c>
      <c r="AI614" s="29" t="n">
        <f aca="false">IFERROR(R614/AG614*60,"")</f>
        <v>924.274809160305</v>
      </c>
      <c r="AJ614" s="30" t="n">
        <f aca="false">IFERROR(AI614/Q614,"")</f>
        <v>0.898600508905852</v>
      </c>
      <c r="AK614" s="31" t="n">
        <f aca="false">IFERROR(R614/(T614/60*Q614),"")</f>
        <v>0.894503546099291</v>
      </c>
      <c r="AL614" s="26" t="n">
        <v>3</v>
      </c>
      <c r="AM614" s="26" t="n">
        <v>4</v>
      </c>
      <c r="AN614" s="26" t="n">
        <v>8</v>
      </c>
      <c r="AO614" s="26" t="n">
        <v>11</v>
      </c>
      <c r="AP614" s="26" t="n">
        <v>8</v>
      </c>
      <c r="AQ614" s="26" t="n">
        <v>3</v>
      </c>
      <c r="AR614" s="26" t="n">
        <v>11</v>
      </c>
      <c r="AS614" s="26" t="n">
        <v>2</v>
      </c>
      <c r="AT614" s="26" t="n">
        <v>6</v>
      </c>
      <c r="AU614" s="26" t="n">
        <v>10</v>
      </c>
      <c r="AV614" s="26" t="n">
        <f aca="false">SUM(AL614:AU614)</f>
        <v>66</v>
      </c>
      <c r="AW614" s="32" t="n">
        <f aca="false">IFERROR(AV614/R614*1000000,"")</f>
        <v>6541.12983151635</v>
      </c>
      <c r="AX614" s="33" t="n">
        <f aca="false">IFERROR((R614-AV614)/R614,"")</f>
        <v>0.993458870168484</v>
      </c>
      <c r="AY614" s="34" t="n">
        <f aca="false">IFERROR(AH614*AJ614*AX614,"")</f>
        <v>0.888652482269503</v>
      </c>
      <c r="AZ614" s="35"/>
    </row>
    <row r="615" customFormat="false" ht="12.75" hidden="false" customHeight="true" outlineLevel="0" collapsed="false">
      <c r="A615" s="24" t="n">
        <v>611</v>
      </c>
      <c r="B615" s="25" t="n">
        <v>46226</v>
      </c>
      <c r="C615" s="25" t="n">
        <v>12</v>
      </c>
      <c r="D615" s="26" t="s">
        <v>79</v>
      </c>
      <c r="E615" s="26" t="s">
        <v>97</v>
      </c>
      <c r="F615" s="26" t="s">
        <v>73</v>
      </c>
      <c r="G615" s="26" t="s">
        <v>12</v>
      </c>
      <c r="H615" s="27" t="n">
        <v>0.354166666666667</v>
      </c>
      <c r="I615" s="27" t="n">
        <v>0.854166666666667</v>
      </c>
      <c r="J615" s="26" t="n">
        <f aca="false">IFERROR((I615-H615)*24*60,"")</f>
        <v>720</v>
      </c>
      <c r="K615" s="26" t="s">
        <v>89</v>
      </c>
      <c r="L615" s="26" t="s">
        <v>90</v>
      </c>
      <c r="M615" s="26" t="s">
        <v>99</v>
      </c>
      <c r="N615" s="26" t="s">
        <v>100</v>
      </c>
      <c r="O615" s="26" t="n">
        <v>2</v>
      </c>
      <c r="P615" s="26" t="n">
        <v>42</v>
      </c>
      <c r="Q615" s="26" t="n">
        <f aca="false">IFERROR(3600/(P615/O615),"")</f>
        <v>171.428571428571</v>
      </c>
      <c r="R615" s="26" t="n">
        <v>1423</v>
      </c>
      <c r="S615" s="26" t="n">
        <v>53</v>
      </c>
      <c r="T615" s="26" t="n">
        <f aca="false">IFERROR(J615-S615,"")</f>
        <v>667</v>
      </c>
      <c r="U615" s="26"/>
      <c r="V615" s="26"/>
      <c r="W615" s="26"/>
      <c r="X615" s="26"/>
      <c r="Y615" s="26"/>
      <c r="Z615" s="26" t="n">
        <v>31</v>
      </c>
      <c r="AA615" s="26" t="n">
        <v>8</v>
      </c>
      <c r="AB615" s="26"/>
      <c r="AC615" s="26" t="n">
        <v>7</v>
      </c>
      <c r="AD615" s="26"/>
      <c r="AE615" s="26"/>
      <c r="AF615" s="26" t="n">
        <f aca="false">SUM(U615:AE615)</f>
        <v>46</v>
      </c>
      <c r="AG615" s="26" t="n">
        <f aca="false">T615-AF615</f>
        <v>621</v>
      </c>
      <c r="AH615" s="28" t="n">
        <f aca="false">IFERROR(AG615/T615,"")</f>
        <v>0.931034482758621</v>
      </c>
      <c r="AI615" s="29" t="n">
        <f aca="false">IFERROR(R615/AG615*60,"")</f>
        <v>137.487922705314</v>
      </c>
      <c r="AJ615" s="30" t="n">
        <f aca="false">IFERROR(AI615/Q615,"")</f>
        <v>0.802012882447665</v>
      </c>
      <c r="AK615" s="31" t="n">
        <f aca="false">IFERROR(R615/(T615/60*Q615),"")</f>
        <v>0.746701649175412</v>
      </c>
      <c r="AL615" s="26" t="n">
        <v>1</v>
      </c>
      <c r="AM615" s="26"/>
      <c r="AN615" s="26" t="n">
        <v>1</v>
      </c>
      <c r="AO615" s="26" t="n">
        <v>1</v>
      </c>
      <c r="AP615" s="26" t="n">
        <v>2</v>
      </c>
      <c r="AQ615" s="26" t="n">
        <v>3</v>
      </c>
      <c r="AR615" s="26"/>
      <c r="AS615" s="26" t="n">
        <v>1</v>
      </c>
      <c r="AT615" s="26" t="n">
        <v>2</v>
      </c>
      <c r="AU615" s="26" t="n">
        <v>3</v>
      </c>
      <c r="AV615" s="26" t="n">
        <f aca="false">SUM(AL615:AU615)</f>
        <v>14</v>
      </c>
      <c r="AW615" s="32" t="n">
        <f aca="false">IFERROR(AV615/R615*1000000,"")</f>
        <v>9838.36964160225</v>
      </c>
      <c r="AX615" s="33" t="n">
        <f aca="false">IFERROR((R615-AV615)/R615,"")</f>
        <v>0.990161630358398</v>
      </c>
      <c r="AY615" s="34" t="n">
        <f aca="false">IFERROR(AH615*AJ615*AX615,"")</f>
        <v>0.739355322338831</v>
      </c>
      <c r="AZ615" s="35" t="s">
        <v>86</v>
      </c>
    </row>
    <row r="616" customFormat="false" ht="12.75" hidden="false" customHeight="true" outlineLevel="0" collapsed="false">
      <c r="A616" s="24" t="n">
        <v>612</v>
      </c>
      <c r="B616" s="25" t="n">
        <v>46226</v>
      </c>
      <c r="C616" s="25" t="n">
        <v>12</v>
      </c>
      <c r="D616" s="26" t="s">
        <v>87</v>
      </c>
      <c r="E616" s="26" t="s">
        <v>101</v>
      </c>
      <c r="F616" s="26" t="s">
        <v>81</v>
      </c>
      <c r="G616" s="26" t="s">
        <v>13</v>
      </c>
      <c r="H616" s="27" t="n">
        <v>0.354166666666667</v>
      </c>
      <c r="I616" s="27" t="n">
        <v>0.854166666666667</v>
      </c>
      <c r="J616" s="26" t="n">
        <f aca="false">IFERROR((I616-H616)*24*60,"")</f>
        <v>720</v>
      </c>
      <c r="K616" s="26" t="s">
        <v>89</v>
      </c>
      <c r="L616" s="26" t="s">
        <v>102</v>
      </c>
      <c r="M616" s="26" t="s">
        <v>103</v>
      </c>
      <c r="N616" s="26" t="s">
        <v>104</v>
      </c>
      <c r="O616" s="26" t="n">
        <v>8</v>
      </c>
      <c r="P616" s="26" t="n">
        <v>42</v>
      </c>
      <c r="Q616" s="26" t="n">
        <f aca="false">IFERROR(3600/(P616/O616),"")</f>
        <v>685.714285714286</v>
      </c>
      <c r="R616" s="26" t="n">
        <v>5581</v>
      </c>
      <c r="S616" s="26" t="n">
        <v>66</v>
      </c>
      <c r="T616" s="26" t="n">
        <f aca="false">IFERROR(J616-S616,"")</f>
        <v>654</v>
      </c>
      <c r="U616" s="26"/>
      <c r="V616" s="26" t="n">
        <v>22</v>
      </c>
      <c r="W616" s="26"/>
      <c r="X616" s="26"/>
      <c r="Y616" s="26"/>
      <c r="Z616" s="26"/>
      <c r="AA616" s="26" t="n">
        <v>18</v>
      </c>
      <c r="AB616" s="26"/>
      <c r="AC616" s="26"/>
      <c r="AD616" s="26"/>
      <c r="AE616" s="26"/>
      <c r="AF616" s="26" t="n">
        <f aca="false">SUM(U616:AE616)</f>
        <v>40</v>
      </c>
      <c r="AG616" s="26" t="n">
        <f aca="false">T616-AF616</f>
        <v>614</v>
      </c>
      <c r="AH616" s="28" t="n">
        <f aca="false">IFERROR(AG616/T616,"")</f>
        <v>0.938837920489297</v>
      </c>
      <c r="AI616" s="29" t="n">
        <f aca="false">IFERROR(R616/AG616*60,"")</f>
        <v>545.374592833876</v>
      </c>
      <c r="AJ616" s="30" t="n">
        <f aca="false">IFERROR(AI616/Q616,"")</f>
        <v>0.795337947882736</v>
      </c>
      <c r="AK616" s="31" t="n">
        <f aca="false">IFERROR(R616/(T616/60*Q616),"")</f>
        <v>0.746693425076453</v>
      </c>
      <c r="AL616" s="26" t="n">
        <v>6</v>
      </c>
      <c r="AM616" s="26" t="n">
        <v>6</v>
      </c>
      <c r="AN616" s="26" t="n">
        <v>1</v>
      </c>
      <c r="AO616" s="26" t="n">
        <v>3</v>
      </c>
      <c r="AP616" s="26" t="n">
        <v>7</v>
      </c>
      <c r="AQ616" s="26" t="n">
        <v>2</v>
      </c>
      <c r="AR616" s="26" t="n">
        <v>6</v>
      </c>
      <c r="AS616" s="26" t="n">
        <v>7</v>
      </c>
      <c r="AT616" s="26" t="n">
        <v>7</v>
      </c>
      <c r="AU616" s="26" t="n">
        <v>8</v>
      </c>
      <c r="AV616" s="26" t="n">
        <f aca="false">SUM(AL616:AU616)</f>
        <v>53</v>
      </c>
      <c r="AW616" s="32" t="n">
        <f aca="false">IFERROR(AV616/R616*1000000,"")</f>
        <v>9496.50600250851</v>
      </c>
      <c r="AX616" s="33" t="n">
        <f aca="false">IFERROR((R616-AV616)/R616,"")</f>
        <v>0.990503493997492</v>
      </c>
      <c r="AY616" s="34" t="n">
        <f aca="false">IFERROR(AH616*AJ616*AX616,"")</f>
        <v>0.739602446483181</v>
      </c>
      <c r="AZ616" s="35" t="s">
        <v>93</v>
      </c>
    </row>
    <row r="617" customFormat="false" ht="12.75" hidden="false" customHeight="true" outlineLevel="0" collapsed="false">
      <c r="A617" s="24" t="n">
        <v>613</v>
      </c>
      <c r="B617" s="25" t="n">
        <v>46227</v>
      </c>
      <c r="C617" s="25" t="n">
        <v>12</v>
      </c>
      <c r="D617" s="26" t="s">
        <v>71</v>
      </c>
      <c r="E617" s="26" t="s">
        <v>72</v>
      </c>
      <c r="F617" s="26" t="s">
        <v>73</v>
      </c>
      <c r="G617" s="26" t="s">
        <v>8</v>
      </c>
      <c r="H617" s="27" t="n">
        <v>0.354166666666667</v>
      </c>
      <c r="I617" s="27" t="n">
        <v>0.854166666666667</v>
      </c>
      <c r="J617" s="26" t="n">
        <f aca="false">IFERROR((I617-H617)*24*60,"")</f>
        <v>720</v>
      </c>
      <c r="K617" s="26" t="s">
        <v>105</v>
      </c>
      <c r="L617" s="26" t="s">
        <v>108</v>
      </c>
      <c r="M617" s="26" t="s">
        <v>76</v>
      </c>
      <c r="N617" s="26" t="s">
        <v>77</v>
      </c>
      <c r="O617" s="26" t="n">
        <v>4</v>
      </c>
      <c r="P617" s="26" t="n">
        <v>24</v>
      </c>
      <c r="Q617" s="26" t="n">
        <f aca="false">IFERROR(3600/(P617/O617),"")</f>
        <v>600</v>
      </c>
      <c r="R617" s="26" t="n">
        <v>5602</v>
      </c>
      <c r="S617" s="26" t="n">
        <v>56</v>
      </c>
      <c r="T617" s="26" t="n">
        <f aca="false">IFERROR(J617-S617,"")</f>
        <v>664</v>
      </c>
      <c r="U617" s="26"/>
      <c r="V617" s="26"/>
      <c r="W617" s="26"/>
      <c r="X617" s="26"/>
      <c r="Y617" s="26"/>
      <c r="Z617" s="26"/>
      <c r="AA617" s="26"/>
      <c r="AB617" s="26"/>
      <c r="AC617" s="26" t="n">
        <v>20</v>
      </c>
      <c r="AD617" s="26"/>
      <c r="AE617" s="26"/>
      <c r="AF617" s="26" t="n">
        <f aca="false">SUM(U617:AE617)</f>
        <v>20</v>
      </c>
      <c r="AG617" s="26" t="n">
        <f aca="false">T617-AF617</f>
        <v>644</v>
      </c>
      <c r="AH617" s="28" t="n">
        <f aca="false">IFERROR(AG617/T617,"")</f>
        <v>0.969879518072289</v>
      </c>
      <c r="AI617" s="29" t="n">
        <f aca="false">IFERROR(R617/AG617*60,"")</f>
        <v>521.925465838509</v>
      </c>
      <c r="AJ617" s="30" t="n">
        <f aca="false">IFERROR(AI617/Q617,"")</f>
        <v>0.869875776397516</v>
      </c>
      <c r="AK617" s="31" t="n">
        <f aca="false">IFERROR(R617/(T617/60*Q617),"")</f>
        <v>0.843674698795181</v>
      </c>
      <c r="AL617" s="26" t="n">
        <v>6</v>
      </c>
      <c r="AM617" s="26" t="n">
        <v>4</v>
      </c>
      <c r="AN617" s="26" t="n">
        <v>6</v>
      </c>
      <c r="AO617" s="26" t="n">
        <v>6</v>
      </c>
      <c r="AP617" s="26" t="n">
        <v>9</v>
      </c>
      <c r="AQ617" s="26" t="n">
        <v>8</v>
      </c>
      <c r="AR617" s="26" t="n">
        <v>9</v>
      </c>
      <c r="AS617" s="26" t="n">
        <v>5</v>
      </c>
      <c r="AT617" s="26" t="n">
        <v>6</v>
      </c>
      <c r="AU617" s="26" t="n">
        <v>6</v>
      </c>
      <c r="AV617" s="26" t="n">
        <f aca="false">SUM(AL617:AU617)</f>
        <v>65</v>
      </c>
      <c r="AW617" s="32" t="n">
        <f aca="false">IFERROR(AV617/R617*1000000,"")</f>
        <v>11602.9989289539</v>
      </c>
      <c r="AX617" s="33" t="n">
        <f aca="false">IFERROR((R617-AV617)/R617,"")</f>
        <v>0.988397001071046</v>
      </c>
      <c r="AY617" s="34" t="n">
        <f aca="false">IFERROR(AH617*AJ617*AX617,"")</f>
        <v>0.833885542168675</v>
      </c>
      <c r="AZ617" s="35" t="s">
        <v>86</v>
      </c>
    </row>
    <row r="618" customFormat="false" ht="12.75" hidden="false" customHeight="true" outlineLevel="0" collapsed="false">
      <c r="A618" s="24" t="n">
        <v>614</v>
      </c>
      <c r="B618" s="25" t="n">
        <v>46227</v>
      </c>
      <c r="C618" s="25" t="n">
        <v>12</v>
      </c>
      <c r="D618" s="26" t="s">
        <v>79</v>
      </c>
      <c r="E618" s="26" t="s">
        <v>80</v>
      </c>
      <c r="F618" s="26" t="s">
        <v>81</v>
      </c>
      <c r="G618" s="26" t="s">
        <v>9</v>
      </c>
      <c r="H618" s="27" t="n">
        <v>0.354166666666667</v>
      </c>
      <c r="I618" s="27" t="n">
        <v>0.854166666666667</v>
      </c>
      <c r="J618" s="26" t="n">
        <f aca="false">IFERROR((I618-H618)*24*60,"")</f>
        <v>720</v>
      </c>
      <c r="K618" s="26" t="s">
        <v>89</v>
      </c>
      <c r="L618" s="26" t="s">
        <v>98</v>
      </c>
      <c r="M618" s="26" t="s">
        <v>84</v>
      </c>
      <c r="N618" s="26" t="s">
        <v>85</v>
      </c>
      <c r="O618" s="26" t="n">
        <v>4</v>
      </c>
      <c r="P618" s="26" t="n">
        <v>38</v>
      </c>
      <c r="Q618" s="26" t="n">
        <f aca="false">IFERROR(3600/(P618/O618),"")</f>
        <v>378.947368421053</v>
      </c>
      <c r="R618" s="26" t="n">
        <v>2729</v>
      </c>
      <c r="S618" s="26" t="n">
        <v>50</v>
      </c>
      <c r="T618" s="26" t="n">
        <f aca="false">IFERROR(J618-S618,"")</f>
        <v>670</v>
      </c>
      <c r="U618" s="26"/>
      <c r="V618" s="26" t="n">
        <v>4</v>
      </c>
      <c r="W618" s="26"/>
      <c r="X618" s="26"/>
      <c r="Y618" s="26"/>
      <c r="Z618" s="26"/>
      <c r="AA618" s="26"/>
      <c r="AB618" s="26"/>
      <c r="AC618" s="26"/>
      <c r="AD618" s="26"/>
      <c r="AE618" s="26"/>
      <c r="AF618" s="26" t="n">
        <f aca="false">SUM(U618:AE618)</f>
        <v>4</v>
      </c>
      <c r="AG618" s="26" t="n">
        <f aca="false">T618-AF618</f>
        <v>666</v>
      </c>
      <c r="AH618" s="28" t="n">
        <f aca="false">IFERROR(AG618/T618,"")</f>
        <v>0.994029850746269</v>
      </c>
      <c r="AI618" s="29" t="n">
        <f aca="false">IFERROR(R618/AG618*60,"")</f>
        <v>245.855855855856</v>
      </c>
      <c r="AJ618" s="30" t="n">
        <f aca="false">IFERROR(AI618/Q618,"")</f>
        <v>0.648786286286286</v>
      </c>
      <c r="AK618" s="31" t="n">
        <f aca="false">IFERROR(R618/(T618/60*Q618),"")</f>
        <v>0.644912935323383</v>
      </c>
      <c r="AL618" s="26" t="n">
        <v>4</v>
      </c>
      <c r="AM618" s="26" t="n">
        <v>5</v>
      </c>
      <c r="AN618" s="26" t="n">
        <v>4</v>
      </c>
      <c r="AO618" s="26" t="n">
        <v>10</v>
      </c>
      <c r="AP618" s="26" t="n">
        <v>5</v>
      </c>
      <c r="AQ618" s="26" t="n">
        <v>5</v>
      </c>
      <c r="AR618" s="26" t="n">
        <v>8</v>
      </c>
      <c r="AS618" s="26" t="n">
        <v>7</v>
      </c>
      <c r="AT618" s="26" t="n">
        <v>5</v>
      </c>
      <c r="AU618" s="26" t="n">
        <v>5</v>
      </c>
      <c r="AV618" s="26" t="n">
        <f aca="false">SUM(AL618:AU618)</f>
        <v>58</v>
      </c>
      <c r="AW618" s="32" t="n">
        <f aca="false">IFERROR(AV618/R618*1000000,"")</f>
        <v>21253.206302675</v>
      </c>
      <c r="AX618" s="33" t="n">
        <f aca="false">IFERROR((R618-AV618)/R618,"")</f>
        <v>0.978746793697325</v>
      </c>
      <c r="AY618" s="34" t="n">
        <f aca="false">IFERROR(AH618*AJ618*AX618,"")</f>
        <v>0.631206467661691</v>
      </c>
      <c r="AZ618" s="35" t="s">
        <v>93</v>
      </c>
    </row>
    <row r="619" customFormat="false" ht="12.75" hidden="false" customHeight="true" outlineLevel="0" collapsed="false">
      <c r="A619" s="24" t="n">
        <v>615</v>
      </c>
      <c r="B619" s="25" t="n">
        <v>46227</v>
      </c>
      <c r="C619" s="25" t="n">
        <v>12</v>
      </c>
      <c r="D619" s="26" t="s">
        <v>87</v>
      </c>
      <c r="E619" s="26" t="s">
        <v>88</v>
      </c>
      <c r="F619" s="26" t="s">
        <v>73</v>
      </c>
      <c r="G619" s="26" t="s">
        <v>10</v>
      </c>
      <c r="H619" s="27" t="n">
        <v>0.354166666666667</v>
      </c>
      <c r="I619" s="27" t="n">
        <v>0.854166666666667</v>
      </c>
      <c r="J619" s="26" t="n">
        <f aca="false">IFERROR((I619-H619)*24*60,"")</f>
        <v>720</v>
      </c>
      <c r="K619" s="26" t="s">
        <v>74</v>
      </c>
      <c r="L619" s="26" t="s">
        <v>75</v>
      </c>
      <c r="M619" s="26" t="s">
        <v>91</v>
      </c>
      <c r="N619" s="26" t="s">
        <v>92</v>
      </c>
      <c r="O619" s="26" t="n">
        <v>8</v>
      </c>
      <c r="P619" s="26" t="n">
        <v>51</v>
      </c>
      <c r="Q619" s="26" t="n">
        <f aca="false">IFERROR(3600/(P619/O619),"")</f>
        <v>564.705882352941</v>
      </c>
      <c r="R619" s="26" t="n">
        <v>4381</v>
      </c>
      <c r="S619" s="26" t="n">
        <v>52</v>
      </c>
      <c r="T619" s="26" t="n">
        <f aca="false">IFERROR(J619-S619,"")</f>
        <v>668</v>
      </c>
      <c r="U619" s="26"/>
      <c r="V619" s="26"/>
      <c r="W619" s="26"/>
      <c r="X619" s="26"/>
      <c r="Y619" s="26"/>
      <c r="Z619" s="26"/>
      <c r="AA619" s="26" t="n">
        <v>21</v>
      </c>
      <c r="AB619" s="26"/>
      <c r="AC619" s="26"/>
      <c r="AD619" s="26"/>
      <c r="AE619" s="26"/>
      <c r="AF619" s="26" t="n">
        <f aca="false">SUM(U619:AE619)</f>
        <v>21</v>
      </c>
      <c r="AG619" s="26" t="n">
        <f aca="false">T619-AF619</f>
        <v>647</v>
      </c>
      <c r="AH619" s="28" t="n">
        <f aca="false">IFERROR(AG619/T619,"")</f>
        <v>0.968562874251497</v>
      </c>
      <c r="AI619" s="29" t="n">
        <f aca="false">IFERROR(R619/AG619*60,"")</f>
        <v>406.275115919629</v>
      </c>
      <c r="AJ619" s="30" t="n">
        <f aca="false">IFERROR(AI619/Q619,"")</f>
        <v>0.719445517774343</v>
      </c>
      <c r="AK619" s="31" t="n">
        <f aca="false">IFERROR(R619/(T619/60*Q619),"")</f>
        <v>0.696828218562874</v>
      </c>
      <c r="AL619" s="26" t="n">
        <v>4</v>
      </c>
      <c r="AM619" s="26" t="n">
        <v>3</v>
      </c>
      <c r="AN619" s="26" t="n">
        <v>2</v>
      </c>
      <c r="AO619" s="26" t="n">
        <v>4</v>
      </c>
      <c r="AP619" s="26" t="n">
        <v>9</v>
      </c>
      <c r="AQ619" s="26" t="n">
        <v>7</v>
      </c>
      <c r="AR619" s="26" t="n">
        <v>3</v>
      </c>
      <c r="AS619" s="26" t="n">
        <v>12</v>
      </c>
      <c r="AT619" s="26" t="n">
        <v>4</v>
      </c>
      <c r="AU619" s="26" t="n">
        <v>5</v>
      </c>
      <c r="AV619" s="26" t="n">
        <f aca="false">SUM(AL619:AU619)</f>
        <v>53</v>
      </c>
      <c r="AW619" s="32" t="n">
        <f aca="false">IFERROR(AV619/R619*1000000,"")</f>
        <v>12097.6945902762</v>
      </c>
      <c r="AX619" s="33" t="n">
        <f aca="false">IFERROR((R619-AV619)/R619,"")</f>
        <v>0.987902305409724</v>
      </c>
      <c r="AY619" s="34" t="n">
        <f aca="false">IFERROR(AH619*AJ619*AX619,"")</f>
        <v>0.688398203592814</v>
      </c>
      <c r="AZ619" s="35" t="s">
        <v>78</v>
      </c>
    </row>
    <row r="620" customFormat="false" ht="12.75" hidden="false" customHeight="true" outlineLevel="0" collapsed="false">
      <c r="A620" s="24" t="n">
        <v>616</v>
      </c>
      <c r="B620" s="25" t="n">
        <v>46228</v>
      </c>
      <c r="C620" s="25" t="n">
        <v>12</v>
      </c>
      <c r="D620" s="26" t="s">
        <v>71</v>
      </c>
      <c r="E620" s="26" t="s">
        <v>94</v>
      </c>
      <c r="F620" s="26" t="s">
        <v>81</v>
      </c>
      <c r="G620" s="26" t="s">
        <v>11</v>
      </c>
      <c r="H620" s="27" t="n">
        <v>0.354166666666667</v>
      </c>
      <c r="I620" s="27" t="n">
        <v>0.854166666666667</v>
      </c>
      <c r="J620" s="26" t="n">
        <f aca="false">IFERROR((I620-H620)*24*60,"")</f>
        <v>720</v>
      </c>
      <c r="K620" s="26" t="s">
        <v>82</v>
      </c>
      <c r="L620" s="26" t="s">
        <v>75</v>
      </c>
      <c r="M620" s="26" t="s">
        <v>95</v>
      </c>
      <c r="N620" s="26" t="s">
        <v>96</v>
      </c>
      <c r="O620" s="26" t="n">
        <v>1</v>
      </c>
      <c r="P620" s="26" t="n">
        <v>65</v>
      </c>
      <c r="Q620" s="26" t="n">
        <f aca="false">IFERROR(3600/(P620/O620),"")</f>
        <v>55.3846153846154</v>
      </c>
      <c r="R620" s="26" t="n">
        <v>559</v>
      </c>
      <c r="S620" s="26" t="n">
        <v>69</v>
      </c>
      <c r="T620" s="26" t="n">
        <f aca="false">IFERROR(J620-S620,"")</f>
        <v>651</v>
      </c>
      <c r="U620" s="26" t="n">
        <v>5</v>
      </c>
      <c r="V620" s="26"/>
      <c r="W620" s="26"/>
      <c r="X620" s="26"/>
      <c r="Y620" s="26"/>
      <c r="Z620" s="26" t="n">
        <v>6</v>
      </c>
      <c r="AA620" s="26" t="n">
        <v>6</v>
      </c>
      <c r="AB620" s="26"/>
      <c r="AC620" s="26"/>
      <c r="AD620" s="26"/>
      <c r="AE620" s="26"/>
      <c r="AF620" s="26" t="n">
        <f aca="false">SUM(U620:AE620)</f>
        <v>17</v>
      </c>
      <c r="AG620" s="26" t="n">
        <f aca="false">T620-AF620</f>
        <v>634</v>
      </c>
      <c r="AH620" s="28" t="n">
        <f aca="false">IFERROR(AG620/T620,"")</f>
        <v>0.973886328725038</v>
      </c>
      <c r="AI620" s="29" t="n">
        <f aca="false">IFERROR(R620/AG620*60,"")</f>
        <v>52.9022082018927</v>
      </c>
      <c r="AJ620" s="30" t="n">
        <f aca="false">IFERROR(AI620/Q620,"")</f>
        <v>0.955178759200841</v>
      </c>
      <c r="AK620" s="31" t="n">
        <f aca="false">IFERROR(R620/(T620/60*Q620),"")</f>
        <v>0.930235535074245</v>
      </c>
      <c r="AL620" s="26"/>
      <c r="AM620" s="26"/>
      <c r="AN620" s="26" t="n">
        <v>1</v>
      </c>
      <c r="AO620" s="26" t="n">
        <v>1</v>
      </c>
      <c r="AP620" s="26" t="n">
        <v>2</v>
      </c>
      <c r="AQ620" s="26"/>
      <c r="AR620" s="26"/>
      <c r="AS620" s="26"/>
      <c r="AT620" s="26" t="n">
        <v>1</v>
      </c>
      <c r="AU620" s="26"/>
      <c r="AV620" s="26" t="n">
        <f aca="false">SUM(AL620:AU620)</f>
        <v>5</v>
      </c>
      <c r="AW620" s="32" t="n">
        <f aca="false">IFERROR(AV620/R620*1000000,"")</f>
        <v>8944.54382826476</v>
      </c>
      <c r="AX620" s="33" t="n">
        <f aca="false">IFERROR((R620-AV620)/R620,"")</f>
        <v>0.991055456171735</v>
      </c>
      <c r="AY620" s="34" t="n">
        <f aca="false">IFERROR(AH620*AJ620*AX620,"")</f>
        <v>0.921915002560164</v>
      </c>
      <c r="AZ620" s="35" t="s">
        <v>93</v>
      </c>
    </row>
    <row r="621" customFormat="false" ht="12.75" hidden="false" customHeight="true" outlineLevel="0" collapsed="false">
      <c r="A621" s="24" t="n">
        <v>617</v>
      </c>
      <c r="B621" s="25" t="n">
        <v>46228</v>
      </c>
      <c r="C621" s="25" t="n">
        <v>12</v>
      </c>
      <c r="D621" s="26" t="s">
        <v>79</v>
      </c>
      <c r="E621" s="26" t="s">
        <v>97</v>
      </c>
      <c r="F621" s="26" t="s">
        <v>73</v>
      </c>
      <c r="G621" s="26" t="s">
        <v>12</v>
      </c>
      <c r="H621" s="27" t="n">
        <v>0.354166666666667</v>
      </c>
      <c r="I621" s="27" t="n">
        <v>0.854166666666667</v>
      </c>
      <c r="J621" s="26" t="n">
        <f aca="false">IFERROR((I621-H621)*24*60,"")</f>
        <v>720</v>
      </c>
      <c r="K621" s="26" t="s">
        <v>82</v>
      </c>
      <c r="L621" s="26" t="s">
        <v>90</v>
      </c>
      <c r="M621" s="26" t="s">
        <v>99</v>
      </c>
      <c r="N621" s="26" t="s">
        <v>100</v>
      </c>
      <c r="O621" s="26" t="n">
        <v>4</v>
      </c>
      <c r="P621" s="26" t="n">
        <v>39</v>
      </c>
      <c r="Q621" s="26" t="n">
        <f aca="false">IFERROR(3600/(P621/O621),"")</f>
        <v>369.230769230769</v>
      </c>
      <c r="R621" s="26" t="n">
        <v>2998</v>
      </c>
      <c r="S621" s="26" t="n">
        <v>71</v>
      </c>
      <c r="T621" s="26" t="n">
        <f aca="false">IFERROR(J621-S621,"")</f>
        <v>649</v>
      </c>
      <c r="U621" s="26"/>
      <c r="V621" s="26"/>
      <c r="W621" s="26"/>
      <c r="X621" s="26" t="n">
        <v>32</v>
      </c>
      <c r="Y621" s="26"/>
      <c r="Z621" s="26"/>
      <c r="AA621" s="26"/>
      <c r="AB621" s="26"/>
      <c r="AC621" s="26"/>
      <c r="AD621" s="26"/>
      <c r="AE621" s="26"/>
      <c r="AF621" s="26" t="n">
        <f aca="false">SUM(U621:AE621)</f>
        <v>32</v>
      </c>
      <c r="AG621" s="26" t="n">
        <f aca="false">T621-AF621</f>
        <v>617</v>
      </c>
      <c r="AH621" s="28" t="n">
        <f aca="false">IFERROR(AG621/T621,"")</f>
        <v>0.950693374422188</v>
      </c>
      <c r="AI621" s="29" t="n">
        <f aca="false">IFERROR(R621/AG621*60,"")</f>
        <v>291.539708265802</v>
      </c>
      <c r="AJ621" s="30" t="n">
        <f aca="false">IFERROR(AI621/Q621,"")</f>
        <v>0.789586709886548</v>
      </c>
      <c r="AK621" s="31" t="n">
        <f aca="false">IFERROR(R621/(T621/60*Q621),"")</f>
        <v>0.750654853620955</v>
      </c>
      <c r="AL621" s="26" t="n">
        <v>7</v>
      </c>
      <c r="AM621" s="26" t="n">
        <v>9</v>
      </c>
      <c r="AN621" s="26" t="n">
        <v>3</v>
      </c>
      <c r="AO621" s="26" t="n">
        <v>2</v>
      </c>
      <c r="AP621" s="26" t="n">
        <v>6</v>
      </c>
      <c r="AQ621" s="26" t="n">
        <v>6</v>
      </c>
      <c r="AR621" s="26" t="n">
        <v>12</v>
      </c>
      <c r="AS621" s="26" t="n">
        <v>6</v>
      </c>
      <c r="AT621" s="26" t="n">
        <v>6</v>
      </c>
      <c r="AU621" s="26" t="n">
        <v>8</v>
      </c>
      <c r="AV621" s="26" t="n">
        <f aca="false">SUM(AL621:AU621)</f>
        <v>65</v>
      </c>
      <c r="AW621" s="32" t="n">
        <f aca="false">IFERROR(AV621/R621*1000000,"")</f>
        <v>21681.1207471648</v>
      </c>
      <c r="AX621" s="33" t="n">
        <f aca="false">IFERROR((R621-AV621)/R621,"")</f>
        <v>0.978318879252835</v>
      </c>
      <c r="AY621" s="34" t="n">
        <f aca="false">IFERROR(AH621*AJ621*AX621,"")</f>
        <v>0.734379815100154</v>
      </c>
      <c r="AZ621" s="35" t="s">
        <v>78</v>
      </c>
    </row>
    <row r="622" customFormat="false" ht="12.75" hidden="false" customHeight="true" outlineLevel="0" collapsed="false">
      <c r="A622" s="24" t="n">
        <v>618</v>
      </c>
      <c r="B622" s="25" t="n">
        <v>46228</v>
      </c>
      <c r="C622" s="25" t="n">
        <v>12</v>
      </c>
      <c r="D622" s="26" t="s">
        <v>87</v>
      </c>
      <c r="E622" s="26" t="s">
        <v>101</v>
      </c>
      <c r="F622" s="26" t="s">
        <v>81</v>
      </c>
      <c r="G622" s="26" t="s">
        <v>13</v>
      </c>
      <c r="H622" s="27" t="n">
        <v>0.354166666666667</v>
      </c>
      <c r="I622" s="27" t="n">
        <v>0.854166666666667</v>
      </c>
      <c r="J622" s="26" t="n">
        <f aca="false">IFERROR((I622-H622)*24*60,"")</f>
        <v>720</v>
      </c>
      <c r="K622" s="26" t="s">
        <v>105</v>
      </c>
      <c r="L622" s="26" t="s">
        <v>98</v>
      </c>
      <c r="M622" s="26" t="s">
        <v>103</v>
      </c>
      <c r="N622" s="26" t="s">
        <v>104</v>
      </c>
      <c r="O622" s="26" t="n">
        <v>2</v>
      </c>
      <c r="P622" s="26" t="n">
        <v>68</v>
      </c>
      <c r="Q622" s="26" t="n">
        <f aca="false">IFERROR(3600/(P622/O622),"")</f>
        <v>105.882352941176</v>
      </c>
      <c r="R622" s="26" t="n">
        <v>902</v>
      </c>
      <c r="S622" s="26" t="n">
        <v>47</v>
      </c>
      <c r="T622" s="26" t="n">
        <f aca="false">IFERROR(J622-S622,"")</f>
        <v>673</v>
      </c>
      <c r="U622" s="26"/>
      <c r="V622" s="26"/>
      <c r="W622" s="26"/>
      <c r="X622" s="26"/>
      <c r="Y622" s="26"/>
      <c r="Z622" s="26"/>
      <c r="AA622" s="26" t="n">
        <v>21</v>
      </c>
      <c r="AB622" s="26" t="n">
        <v>5</v>
      </c>
      <c r="AC622" s="26"/>
      <c r="AD622" s="26" t="n">
        <v>5</v>
      </c>
      <c r="AE622" s="26"/>
      <c r="AF622" s="26" t="n">
        <f aca="false">SUM(U622:AE622)</f>
        <v>31</v>
      </c>
      <c r="AG622" s="26" t="n">
        <f aca="false">T622-AF622</f>
        <v>642</v>
      </c>
      <c r="AH622" s="28" t="n">
        <f aca="false">IFERROR(AG622/T622,"")</f>
        <v>0.953937592867756</v>
      </c>
      <c r="AI622" s="29" t="n">
        <f aca="false">IFERROR(R622/AG622*60,"")</f>
        <v>84.2990654205608</v>
      </c>
      <c r="AJ622" s="30" t="n">
        <f aca="false">IFERROR(AI622/Q622,"")</f>
        <v>0.796157840083074</v>
      </c>
      <c r="AK622" s="31" t="n">
        <f aca="false">IFERROR(R622/(T622/60*Q622),"")</f>
        <v>0.75948489351164</v>
      </c>
      <c r="AL622" s="26" t="n">
        <v>2</v>
      </c>
      <c r="AM622" s="26" t="n">
        <v>3</v>
      </c>
      <c r="AN622" s="26" t="n">
        <v>2</v>
      </c>
      <c r="AO622" s="26" t="n">
        <v>2</v>
      </c>
      <c r="AP622" s="26" t="n">
        <v>2</v>
      </c>
      <c r="AQ622" s="26" t="n">
        <v>2</v>
      </c>
      <c r="AR622" s="26" t="n">
        <v>3</v>
      </c>
      <c r="AS622" s="26" t="n">
        <v>1</v>
      </c>
      <c r="AT622" s="26" t="n">
        <v>2</v>
      </c>
      <c r="AU622" s="26" t="n">
        <v>1</v>
      </c>
      <c r="AV622" s="26" t="n">
        <f aca="false">SUM(AL622:AU622)</f>
        <v>20</v>
      </c>
      <c r="AW622" s="32" t="n">
        <f aca="false">IFERROR(AV622/R622*1000000,"")</f>
        <v>22172.9490022173</v>
      </c>
      <c r="AX622" s="33" t="n">
        <f aca="false">IFERROR((R622-AV622)/R622,"")</f>
        <v>0.977827050997783</v>
      </c>
      <c r="AY622" s="34" t="n">
        <f aca="false">IFERROR(AH622*AJ622*AX622,"")</f>
        <v>0.742644873699851</v>
      </c>
      <c r="AZ622" s="35"/>
    </row>
    <row r="623" customFormat="false" ht="12.75" hidden="false" customHeight="true" outlineLevel="0" collapsed="false">
      <c r="A623" s="24" t="n">
        <v>619</v>
      </c>
      <c r="B623" s="25" t="n">
        <v>46229</v>
      </c>
      <c r="C623" s="25" t="n">
        <v>12</v>
      </c>
      <c r="D623" s="26" t="s">
        <v>71</v>
      </c>
      <c r="E623" s="26" t="s">
        <v>72</v>
      </c>
      <c r="F623" s="26" t="s">
        <v>73</v>
      </c>
      <c r="G623" s="26" t="s">
        <v>8</v>
      </c>
      <c r="H623" s="27" t="n">
        <v>0.354166666666667</v>
      </c>
      <c r="I623" s="27" t="n">
        <v>0.854166666666667</v>
      </c>
      <c r="J623" s="26" t="n">
        <f aca="false">IFERROR((I623-H623)*24*60,"")</f>
        <v>720</v>
      </c>
      <c r="K623" s="26" t="s">
        <v>74</v>
      </c>
      <c r="L623" s="26" t="s">
        <v>106</v>
      </c>
      <c r="M623" s="26" t="s">
        <v>76</v>
      </c>
      <c r="N623" s="26" t="s">
        <v>77</v>
      </c>
      <c r="O623" s="26" t="n">
        <v>2</v>
      </c>
      <c r="P623" s="26" t="n">
        <v>37</v>
      </c>
      <c r="Q623" s="26" t="n">
        <f aca="false">IFERROR(3600/(P623/O623),"")</f>
        <v>194.594594594595</v>
      </c>
      <c r="R623" s="26" t="n">
        <v>1767</v>
      </c>
      <c r="S623" s="26" t="n">
        <v>49</v>
      </c>
      <c r="T623" s="26" t="n">
        <f aca="false">IFERROR(J623-S623,"")</f>
        <v>671</v>
      </c>
      <c r="U623" s="26"/>
      <c r="V623" s="26"/>
      <c r="W623" s="26"/>
      <c r="X623" s="26"/>
      <c r="Y623" s="26"/>
      <c r="Z623" s="26"/>
      <c r="AA623" s="26"/>
      <c r="AB623" s="26" t="n">
        <v>11</v>
      </c>
      <c r="AC623" s="26"/>
      <c r="AD623" s="26"/>
      <c r="AE623" s="26"/>
      <c r="AF623" s="26" t="n">
        <f aca="false">SUM(U623:AE623)</f>
        <v>11</v>
      </c>
      <c r="AG623" s="26" t="n">
        <f aca="false">T623-AF623</f>
        <v>660</v>
      </c>
      <c r="AH623" s="28" t="n">
        <f aca="false">IFERROR(AG623/T623,"")</f>
        <v>0.983606557377049</v>
      </c>
      <c r="AI623" s="29" t="n">
        <f aca="false">IFERROR(R623/AG623*60,"")</f>
        <v>160.636363636364</v>
      </c>
      <c r="AJ623" s="30" t="n">
        <f aca="false">IFERROR(AI623/Q623,"")</f>
        <v>0.825492424242424</v>
      </c>
      <c r="AK623" s="31" t="n">
        <f aca="false">IFERROR(R623/(T623/60*Q623),"")</f>
        <v>0.811959761549925</v>
      </c>
      <c r="AL623" s="26" t="n">
        <v>2</v>
      </c>
      <c r="AM623" s="26" t="n">
        <v>4</v>
      </c>
      <c r="AN623" s="26" t="n">
        <v>3</v>
      </c>
      <c r="AO623" s="26" t="n">
        <v>4</v>
      </c>
      <c r="AP623" s="26" t="n">
        <v>7</v>
      </c>
      <c r="AQ623" s="26" t="n">
        <v>3</v>
      </c>
      <c r="AR623" s="26" t="n">
        <v>2</v>
      </c>
      <c r="AS623" s="26" t="n">
        <v>4</v>
      </c>
      <c r="AT623" s="26" t="n">
        <v>3</v>
      </c>
      <c r="AU623" s="26" t="n">
        <v>1</v>
      </c>
      <c r="AV623" s="26" t="n">
        <f aca="false">SUM(AL623:AU623)</f>
        <v>33</v>
      </c>
      <c r="AW623" s="32" t="n">
        <f aca="false">IFERROR(AV623/R623*1000000,"")</f>
        <v>18675.7215619694</v>
      </c>
      <c r="AX623" s="33" t="n">
        <f aca="false">IFERROR((R623-AV623)/R623,"")</f>
        <v>0.981324278438031</v>
      </c>
      <c r="AY623" s="34" t="n">
        <f aca="false">IFERROR(AH623*AJ623*AX623,"")</f>
        <v>0.796795827123696</v>
      </c>
      <c r="AZ623" s="35" t="s">
        <v>78</v>
      </c>
    </row>
    <row r="624" customFormat="false" ht="12.75" hidden="false" customHeight="true" outlineLevel="0" collapsed="false">
      <c r="A624" s="24" t="n">
        <v>620</v>
      </c>
      <c r="B624" s="25" t="n">
        <v>46229</v>
      </c>
      <c r="C624" s="25" t="n">
        <v>12</v>
      </c>
      <c r="D624" s="26" t="s">
        <v>79</v>
      </c>
      <c r="E624" s="26" t="s">
        <v>80</v>
      </c>
      <c r="F624" s="26" t="s">
        <v>81</v>
      </c>
      <c r="G624" s="26" t="s">
        <v>9</v>
      </c>
      <c r="H624" s="27" t="n">
        <v>0.354166666666667</v>
      </c>
      <c r="I624" s="27" t="n">
        <v>0.854166666666667</v>
      </c>
      <c r="J624" s="26" t="n">
        <f aca="false">IFERROR((I624-H624)*24*60,"")</f>
        <v>720</v>
      </c>
      <c r="K624" s="26" t="s">
        <v>82</v>
      </c>
      <c r="L624" s="26" t="s">
        <v>90</v>
      </c>
      <c r="M624" s="26" t="s">
        <v>84</v>
      </c>
      <c r="N624" s="26" t="s">
        <v>85</v>
      </c>
      <c r="O624" s="26" t="n">
        <v>1</v>
      </c>
      <c r="P624" s="26" t="n">
        <v>33</v>
      </c>
      <c r="Q624" s="26" t="n">
        <f aca="false">IFERROR(3600/(P624/O624),"")</f>
        <v>109.090909090909</v>
      </c>
      <c r="R624" s="26" t="n">
        <v>949</v>
      </c>
      <c r="S624" s="26" t="n">
        <v>62</v>
      </c>
      <c r="T624" s="26" t="n">
        <f aca="false">IFERROR(J624-S624,"")</f>
        <v>658</v>
      </c>
      <c r="U624" s="26"/>
      <c r="V624" s="26"/>
      <c r="W624" s="26"/>
      <c r="X624" s="26"/>
      <c r="Y624" s="26" t="n">
        <v>6</v>
      </c>
      <c r="Z624" s="26" t="n">
        <v>9</v>
      </c>
      <c r="AA624" s="26"/>
      <c r="AB624" s="26"/>
      <c r="AC624" s="26"/>
      <c r="AD624" s="26"/>
      <c r="AE624" s="26"/>
      <c r="AF624" s="26" t="n">
        <f aca="false">SUM(U624:AE624)</f>
        <v>15</v>
      </c>
      <c r="AG624" s="26" t="n">
        <f aca="false">T624-AF624</f>
        <v>643</v>
      </c>
      <c r="AH624" s="28" t="n">
        <f aca="false">IFERROR(AG624/T624,"")</f>
        <v>0.977203647416413</v>
      </c>
      <c r="AI624" s="29" t="n">
        <f aca="false">IFERROR(R624/AG624*60,"")</f>
        <v>88.5536547433904</v>
      </c>
      <c r="AJ624" s="30" t="n">
        <f aca="false">IFERROR(AI624/Q624,"")</f>
        <v>0.811741835147745</v>
      </c>
      <c r="AK624" s="31" t="n">
        <f aca="false">IFERROR(R624/(T624/60*Q624),"")</f>
        <v>0.793237082066869</v>
      </c>
      <c r="AL624" s="26"/>
      <c r="AM624" s="26" t="n">
        <v>2</v>
      </c>
      <c r="AN624" s="26" t="n">
        <v>1</v>
      </c>
      <c r="AO624" s="26" t="n">
        <v>1</v>
      </c>
      <c r="AP624" s="26"/>
      <c r="AQ624" s="26" t="n">
        <v>3</v>
      </c>
      <c r="AR624" s="26"/>
      <c r="AS624" s="26" t="n">
        <v>1</v>
      </c>
      <c r="AT624" s="26" t="n">
        <v>3</v>
      </c>
      <c r="AU624" s="26" t="n">
        <v>2</v>
      </c>
      <c r="AV624" s="26" t="n">
        <f aca="false">SUM(AL624:AU624)</f>
        <v>13</v>
      </c>
      <c r="AW624" s="32" t="n">
        <f aca="false">IFERROR(AV624/R624*1000000,"")</f>
        <v>13698.6301369863</v>
      </c>
      <c r="AX624" s="33" t="n">
        <f aca="false">IFERROR((R624-AV624)/R624,"")</f>
        <v>0.986301369863014</v>
      </c>
      <c r="AY624" s="34" t="n">
        <f aca="false">IFERROR(AH624*AJ624*AX624,"")</f>
        <v>0.782370820668693</v>
      </c>
      <c r="AZ624" s="35" t="s">
        <v>93</v>
      </c>
    </row>
    <row r="625" customFormat="false" ht="12.75" hidden="false" customHeight="true" outlineLevel="0" collapsed="false">
      <c r="A625" s="24" t="n">
        <v>621</v>
      </c>
      <c r="B625" s="25" t="n">
        <v>46229</v>
      </c>
      <c r="C625" s="25" t="n">
        <v>12</v>
      </c>
      <c r="D625" s="26" t="s">
        <v>87</v>
      </c>
      <c r="E625" s="26" t="s">
        <v>88</v>
      </c>
      <c r="F625" s="26" t="s">
        <v>73</v>
      </c>
      <c r="G625" s="26" t="s">
        <v>10</v>
      </c>
      <c r="H625" s="27" t="n">
        <v>0.354166666666667</v>
      </c>
      <c r="I625" s="27" t="n">
        <v>0.854166666666667</v>
      </c>
      <c r="J625" s="26" t="n">
        <f aca="false">IFERROR((I625-H625)*24*60,"")</f>
        <v>720</v>
      </c>
      <c r="K625" s="26" t="s">
        <v>105</v>
      </c>
      <c r="L625" s="26" t="s">
        <v>98</v>
      </c>
      <c r="M625" s="26" t="s">
        <v>91</v>
      </c>
      <c r="N625" s="26" t="s">
        <v>92</v>
      </c>
      <c r="O625" s="26" t="n">
        <v>2</v>
      </c>
      <c r="P625" s="26" t="n">
        <v>59</v>
      </c>
      <c r="Q625" s="26" t="n">
        <f aca="false">IFERROR(3600/(P625/O625),"")</f>
        <v>122.033898305085</v>
      </c>
      <c r="R625" s="26" t="n">
        <v>1328</v>
      </c>
      <c r="S625" s="26" t="n">
        <v>75</v>
      </c>
      <c r="T625" s="26" t="n">
        <f aca="false">IFERROR(J625-S625,"")</f>
        <v>645</v>
      </c>
      <c r="U625" s="26"/>
      <c r="V625" s="26"/>
      <c r="W625" s="26"/>
      <c r="X625" s="26"/>
      <c r="Y625" s="26"/>
      <c r="Z625" s="26"/>
      <c r="AA625" s="26" t="n">
        <v>3</v>
      </c>
      <c r="AB625" s="26"/>
      <c r="AC625" s="26" t="n">
        <v>5</v>
      </c>
      <c r="AD625" s="26"/>
      <c r="AE625" s="26"/>
      <c r="AF625" s="26" t="n">
        <f aca="false">SUM(U625:AE625)</f>
        <v>8</v>
      </c>
      <c r="AG625" s="26" t="n">
        <f aca="false">T625-AF625</f>
        <v>637</v>
      </c>
      <c r="AH625" s="28" t="n">
        <f aca="false">IFERROR(AG625/T625,"")</f>
        <v>0.987596899224806</v>
      </c>
      <c r="AI625" s="29" t="n">
        <f aca="false">IFERROR(R625/AG625*60,"")</f>
        <v>125.086342229199</v>
      </c>
      <c r="AJ625" s="30" t="n">
        <f aca="false">IFERROR(AI625/Q625,"")</f>
        <v>1.02501308215594</v>
      </c>
      <c r="AK625" s="31" t="n">
        <f aca="false">IFERROR(R625/(T625/60*Q625),"")</f>
        <v>1.01229974160207</v>
      </c>
      <c r="AL625" s="26" t="n">
        <v>2</v>
      </c>
      <c r="AM625" s="26" t="n">
        <v>2</v>
      </c>
      <c r="AN625" s="26" t="n">
        <v>1</v>
      </c>
      <c r="AO625" s="26" t="n">
        <v>4</v>
      </c>
      <c r="AP625" s="26" t="n">
        <v>1</v>
      </c>
      <c r="AQ625" s="26"/>
      <c r="AR625" s="26"/>
      <c r="AS625" s="26"/>
      <c r="AT625" s="26" t="n">
        <v>3</v>
      </c>
      <c r="AU625" s="26" t="n">
        <v>3</v>
      </c>
      <c r="AV625" s="26" t="n">
        <f aca="false">SUM(AL625:AU625)</f>
        <v>16</v>
      </c>
      <c r="AW625" s="32" t="n">
        <f aca="false">IFERROR(AV625/R625*1000000,"")</f>
        <v>12048.1927710843</v>
      </c>
      <c r="AX625" s="33" t="n">
        <f aca="false">IFERROR((R625-AV625)/R625,"")</f>
        <v>0.987951807228916</v>
      </c>
      <c r="AY625" s="34" t="n">
        <f aca="false">IFERROR(AH625*AJ625*AX625,"")</f>
        <v>1.00010335917313</v>
      </c>
      <c r="AZ625" s="35"/>
    </row>
    <row r="626" customFormat="false" ht="12.75" hidden="false" customHeight="true" outlineLevel="0" collapsed="false">
      <c r="A626" s="24" t="n">
        <v>622</v>
      </c>
      <c r="B626" s="25" t="n">
        <v>46230</v>
      </c>
      <c r="C626" s="25" t="n">
        <v>12</v>
      </c>
      <c r="D626" s="26" t="s">
        <v>71</v>
      </c>
      <c r="E626" s="26" t="s">
        <v>94</v>
      </c>
      <c r="F626" s="26" t="s">
        <v>81</v>
      </c>
      <c r="G626" s="26" t="s">
        <v>11</v>
      </c>
      <c r="H626" s="27" t="n">
        <v>0.354166666666667</v>
      </c>
      <c r="I626" s="27" t="n">
        <v>0.854166666666667</v>
      </c>
      <c r="J626" s="26" t="n">
        <f aca="false">IFERROR((I626-H626)*24*60,"")</f>
        <v>720</v>
      </c>
      <c r="K626" s="26" t="s">
        <v>74</v>
      </c>
      <c r="L626" s="26" t="s">
        <v>90</v>
      </c>
      <c r="M626" s="26" t="s">
        <v>95</v>
      </c>
      <c r="N626" s="26" t="s">
        <v>96</v>
      </c>
      <c r="O626" s="26" t="n">
        <v>2</v>
      </c>
      <c r="P626" s="26" t="n">
        <v>69</v>
      </c>
      <c r="Q626" s="26" t="n">
        <f aca="false">IFERROR(3600/(P626/O626),"")</f>
        <v>104.347826086957</v>
      </c>
      <c r="R626" s="26" t="n">
        <v>1016</v>
      </c>
      <c r="S626" s="26" t="n">
        <v>42</v>
      </c>
      <c r="T626" s="26" t="n">
        <f aca="false">IFERROR(J626-S626,"")</f>
        <v>678</v>
      </c>
      <c r="U626" s="26"/>
      <c r="V626" s="26"/>
      <c r="W626" s="26" t="n">
        <v>12</v>
      </c>
      <c r="X626" s="26"/>
      <c r="Y626" s="26"/>
      <c r="Z626" s="26"/>
      <c r="AA626" s="26"/>
      <c r="AB626" s="26"/>
      <c r="AC626" s="26"/>
      <c r="AD626" s="26"/>
      <c r="AE626" s="26"/>
      <c r="AF626" s="26" t="n">
        <f aca="false">SUM(U626:AE626)</f>
        <v>12</v>
      </c>
      <c r="AG626" s="26" t="n">
        <f aca="false">T626-AF626</f>
        <v>666</v>
      </c>
      <c r="AH626" s="28" t="n">
        <f aca="false">IFERROR(AG626/T626,"")</f>
        <v>0.982300884955752</v>
      </c>
      <c r="AI626" s="29" t="n">
        <f aca="false">IFERROR(R626/AG626*60,"")</f>
        <v>91.5315315315315</v>
      </c>
      <c r="AJ626" s="30" t="n">
        <f aca="false">IFERROR(AI626/Q626,"")</f>
        <v>0.877177177177177</v>
      </c>
      <c r="AK626" s="31" t="n">
        <f aca="false">IFERROR(R626/(T626/60*Q626),"")</f>
        <v>0.86165191740413</v>
      </c>
      <c r="AL626" s="26"/>
      <c r="AM626" s="26"/>
      <c r="AN626" s="26"/>
      <c r="AO626" s="26"/>
      <c r="AP626" s="26"/>
      <c r="AQ626" s="26" t="n">
        <v>1</v>
      </c>
      <c r="AR626" s="26"/>
      <c r="AS626" s="26" t="n">
        <v>1</v>
      </c>
      <c r="AT626" s="26"/>
      <c r="AU626" s="26" t="n">
        <v>2</v>
      </c>
      <c r="AV626" s="26" t="n">
        <f aca="false">SUM(AL626:AU626)</f>
        <v>4</v>
      </c>
      <c r="AW626" s="32" t="n">
        <f aca="false">IFERROR(AV626/R626*1000000,"")</f>
        <v>3937.00787401575</v>
      </c>
      <c r="AX626" s="33" t="n">
        <f aca="false">IFERROR((R626-AV626)/R626,"")</f>
        <v>0.996062992125984</v>
      </c>
      <c r="AY626" s="34" t="n">
        <f aca="false">IFERROR(AH626*AJ626*AX626,"")</f>
        <v>0.858259587020649</v>
      </c>
      <c r="AZ626" s="35" t="s">
        <v>78</v>
      </c>
    </row>
    <row r="627" customFormat="false" ht="12.75" hidden="false" customHeight="true" outlineLevel="0" collapsed="false">
      <c r="A627" s="24" t="n">
        <v>623</v>
      </c>
      <c r="B627" s="25" t="n">
        <v>46230</v>
      </c>
      <c r="C627" s="25" t="n">
        <v>12</v>
      </c>
      <c r="D627" s="26" t="s">
        <v>79</v>
      </c>
      <c r="E627" s="26" t="s">
        <v>97</v>
      </c>
      <c r="F627" s="26" t="s">
        <v>73</v>
      </c>
      <c r="G627" s="26" t="s">
        <v>12</v>
      </c>
      <c r="H627" s="27" t="n">
        <v>0.354166666666667</v>
      </c>
      <c r="I627" s="27" t="n">
        <v>0.854166666666667</v>
      </c>
      <c r="J627" s="26" t="n">
        <f aca="false">IFERROR((I627-H627)*24*60,"")</f>
        <v>720</v>
      </c>
      <c r="K627" s="26" t="s">
        <v>74</v>
      </c>
      <c r="L627" s="26" t="s">
        <v>106</v>
      </c>
      <c r="M627" s="26" t="s">
        <v>99</v>
      </c>
      <c r="N627" s="26" t="s">
        <v>100</v>
      </c>
      <c r="O627" s="26" t="n">
        <v>4</v>
      </c>
      <c r="P627" s="26" t="n">
        <v>33</v>
      </c>
      <c r="Q627" s="26" t="n">
        <f aca="false">IFERROR(3600/(P627/O627),"")</f>
        <v>436.363636363636</v>
      </c>
      <c r="R627" s="26" t="n">
        <v>4210</v>
      </c>
      <c r="S627" s="26" t="n">
        <v>41</v>
      </c>
      <c r="T627" s="26" t="n">
        <f aca="false">IFERROR(J627-S627,"")</f>
        <v>679</v>
      </c>
      <c r="U627" s="26"/>
      <c r="V627" s="26" t="n">
        <v>5</v>
      </c>
      <c r="W627" s="26"/>
      <c r="X627" s="26"/>
      <c r="Y627" s="26"/>
      <c r="Z627" s="26"/>
      <c r="AA627" s="26"/>
      <c r="AB627" s="26"/>
      <c r="AC627" s="26"/>
      <c r="AD627" s="26"/>
      <c r="AE627" s="26"/>
      <c r="AF627" s="26" t="n">
        <f aca="false">SUM(U627:AE627)</f>
        <v>5</v>
      </c>
      <c r="AG627" s="26" t="n">
        <f aca="false">T627-AF627</f>
        <v>674</v>
      </c>
      <c r="AH627" s="28" t="n">
        <f aca="false">IFERROR(AG627/T627,"")</f>
        <v>0.992636229749632</v>
      </c>
      <c r="AI627" s="29" t="n">
        <f aca="false">IFERROR(R627/AG627*60,"")</f>
        <v>374.777448071217</v>
      </c>
      <c r="AJ627" s="30" t="n">
        <f aca="false">IFERROR(AI627/Q627,"")</f>
        <v>0.858864985163205</v>
      </c>
      <c r="AK627" s="31" t="n">
        <f aca="false">IFERROR(R627/(T627/60*Q627),"")</f>
        <v>0.852540500736377</v>
      </c>
      <c r="AL627" s="26" t="n">
        <v>12</v>
      </c>
      <c r="AM627" s="26" t="n">
        <v>14</v>
      </c>
      <c r="AN627" s="26" t="n">
        <v>11</v>
      </c>
      <c r="AO627" s="26" t="n">
        <v>8</v>
      </c>
      <c r="AP627" s="26" t="n">
        <v>10</v>
      </c>
      <c r="AQ627" s="26" t="n">
        <v>11</v>
      </c>
      <c r="AR627" s="26" t="n">
        <v>14</v>
      </c>
      <c r="AS627" s="26" t="n">
        <v>5</v>
      </c>
      <c r="AT627" s="26" t="n">
        <v>7</v>
      </c>
      <c r="AU627" s="26" t="n">
        <v>12</v>
      </c>
      <c r="AV627" s="26" t="n">
        <f aca="false">SUM(AL627:AU627)</f>
        <v>104</v>
      </c>
      <c r="AW627" s="32" t="n">
        <f aca="false">IFERROR(AV627/R627*1000000,"")</f>
        <v>24703.0878859857</v>
      </c>
      <c r="AX627" s="33" t="n">
        <f aca="false">IFERROR((R627-AV627)/R627,"")</f>
        <v>0.975296912114014</v>
      </c>
      <c r="AY627" s="34" t="n">
        <f aca="false">IFERROR(AH627*AJ627*AX627,"")</f>
        <v>0.831480117820324</v>
      </c>
      <c r="AZ627" s="35"/>
    </row>
    <row r="628" customFormat="false" ht="12.75" hidden="false" customHeight="true" outlineLevel="0" collapsed="false">
      <c r="A628" s="24" t="n">
        <v>624</v>
      </c>
      <c r="B628" s="25" t="n">
        <v>46230</v>
      </c>
      <c r="C628" s="25" t="n">
        <v>12</v>
      </c>
      <c r="D628" s="26" t="s">
        <v>87</v>
      </c>
      <c r="E628" s="26" t="s">
        <v>101</v>
      </c>
      <c r="F628" s="26" t="s">
        <v>81</v>
      </c>
      <c r="G628" s="26" t="s">
        <v>13</v>
      </c>
      <c r="H628" s="27" t="n">
        <v>0.354166666666667</v>
      </c>
      <c r="I628" s="27" t="n">
        <v>0.854166666666667</v>
      </c>
      <c r="J628" s="26" t="n">
        <f aca="false">IFERROR((I628-H628)*24*60,"")</f>
        <v>720</v>
      </c>
      <c r="K628" s="26" t="s">
        <v>82</v>
      </c>
      <c r="L628" s="26" t="s">
        <v>90</v>
      </c>
      <c r="M628" s="26" t="s">
        <v>103</v>
      </c>
      <c r="N628" s="26" t="s">
        <v>104</v>
      </c>
      <c r="O628" s="26" t="n">
        <v>8</v>
      </c>
      <c r="P628" s="26" t="n">
        <v>27</v>
      </c>
      <c r="Q628" s="26" t="n">
        <f aca="false">IFERROR(3600/(P628/O628),"")</f>
        <v>1066.66666666667</v>
      </c>
      <c r="R628" s="26" t="n">
        <v>11104</v>
      </c>
      <c r="S628" s="26" t="n">
        <v>38</v>
      </c>
      <c r="T628" s="26" t="n">
        <f aca="false">IFERROR(J628-S628,"")</f>
        <v>682</v>
      </c>
      <c r="U628" s="26" t="n">
        <v>5</v>
      </c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 t="n">
        <f aca="false">SUM(U628:AE628)</f>
        <v>5</v>
      </c>
      <c r="AG628" s="26" t="n">
        <f aca="false">T628-AF628</f>
        <v>677</v>
      </c>
      <c r="AH628" s="28" t="n">
        <f aca="false">IFERROR(AG628/T628,"")</f>
        <v>0.99266862170088</v>
      </c>
      <c r="AI628" s="29" t="n">
        <f aca="false">IFERROR(R628/AG628*60,"")</f>
        <v>984.10635155096</v>
      </c>
      <c r="AJ628" s="30" t="n">
        <f aca="false">IFERROR(AI628/Q628,"")</f>
        <v>0.922599704579025</v>
      </c>
      <c r="AK628" s="31" t="n">
        <f aca="false">IFERROR(R628/(T628/60*Q628),"")</f>
        <v>0.9158357771261</v>
      </c>
      <c r="AL628" s="26" t="n">
        <v>5</v>
      </c>
      <c r="AM628" s="26" t="n">
        <v>2</v>
      </c>
      <c r="AN628" s="26" t="n">
        <v>6</v>
      </c>
      <c r="AO628" s="26" t="n">
        <v>1</v>
      </c>
      <c r="AP628" s="26" t="n">
        <v>4</v>
      </c>
      <c r="AQ628" s="26" t="n">
        <v>4</v>
      </c>
      <c r="AR628" s="26" t="n">
        <v>2</v>
      </c>
      <c r="AS628" s="26" t="n">
        <v>3</v>
      </c>
      <c r="AT628" s="26" t="n">
        <v>5</v>
      </c>
      <c r="AU628" s="26" t="n">
        <v>2</v>
      </c>
      <c r="AV628" s="26" t="n">
        <f aca="false">SUM(AL628:AU628)</f>
        <v>34</v>
      </c>
      <c r="AW628" s="32" t="n">
        <f aca="false">IFERROR(AV628/R628*1000000,"")</f>
        <v>3061.95965417867</v>
      </c>
      <c r="AX628" s="33" t="n">
        <f aca="false">IFERROR((R628-AV628)/R628,"")</f>
        <v>0.996938040345821</v>
      </c>
      <c r="AY628" s="34" t="n">
        <f aca="false">IFERROR(AH628*AJ628*AX628,"")</f>
        <v>0.913031524926686</v>
      </c>
      <c r="AZ628" s="35"/>
    </row>
    <row r="629" customFormat="false" ht="12.75" hidden="false" customHeight="true" outlineLevel="0" collapsed="false">
      <c r="A629" s="24" t="n">
        <v>625</v>
      </c>
      <c r="B629" s="25" t="n">
        <v>46231</v>
      </c>
      <c r="C629" s="25" t="n">
        <v>12</v>
      </c>
      <c r="D629" s="26" t="s">
        <v>71</v>
      </c>
      <c r="E629" s="26" t="s">
        <v>72</v>
      </c>
      <c r="F629" s="26" t="s">
        <v>73</v>
      </c>
      <c r="G629" s="26" t="s">
        <v>8</v>
      </c>
      <c r="H629" s="27" t="n">
        <v>0.354166666666667</v>
      </c>
      <c r="I629" s="27" t="n">
        <v>0.854166666666667</v>
      </c>
      <c r="J629" s="26" t="n">
        <f aca="false">IFERROR((I629-H629)*24*60,"")</f>
        <v>720</v>
      </c>
      <c r="K629" s="26" t="s">
        <v>74</v>
      </c>
      <c r="L629" s="26" t="s">
        <v>102</v>
      </c>
      <c r="M629" s="26" t="s">
        <v>76</v>
      </c>
      <c r="N629" s="26" t="s">
        <v>77</v>
      </c>
      <c r="O629" s="26" t="n">
        <v>8</v>
      </c>
      <c r="P629" s="26" t="n">
        <v>40</v>
      </c>
      <c r="Q629" s="26" t="n">
        <f aca="false">IFERROR(3600/(P629/O629),"")</f>
        <v>720</v>
      </c>
      <c r="R629" s="26" t="n">
        <v>6464</v>
      </c>
      <c r="S629" s="26" t="n">
        <v>52</v>
      </c>
      <c r="T629" s="26" t="n">
        <f aca="false">IFERROR(J629-S629,"")</f>
        <v>668</v>
      </c>
      <c r="U629" s="26"/>
      <c r="V629" s="26"/>
      <c r="W629" s="26"/>
      <c r="X629" s="26"/>
      <c r="Y629" s="26"/>
      <c r="Z629" s="26" t="n">
        <v>22</v>
      </c>
      <c r="AA629" s="26"/>
      <c r="AB629" s="26"/>
      <c r="AC629" s="26"/>
      <c r="AD629" s="26" t="n">
        <v>3</v>
      </c>
      <c r="AE629" s="26"/>
      <c r="AF629" s="26" t="n">
        <f aca="false">SUM(U629:AE629)</f>
        <v>25</v>
      </c>
      <c r="AG629" s="26" t="n">
        <f aca="false">T629-AF629</f>
        <v>643</v>
      </c>
      <c r="AH629" s="28" t="n">
        <f aca="false">IFERROR(AG629/T629,"")</f>
        <v>0.962574850299401</v>
      </c>
      <c r="AI629" s="29" t="n">
        <f aca="false">IFERROR(R629/AG629*60,"")</f>
        <v>603.172628304821</v>
      </c>
      <c r="AJ629" s="30" t="n">
        <f aca="false">IFERROR(AI629/Q629,"")</f>
        <v>0.837739761534474</v>
      </c>
      <c r="AK629" s="31" t="n">
        <f aca="false">IFERROR(R629/(T629/60*Q629),"")</f>
        <v>0.806387225548902</v>
      </c>
      <c r="AL629" s="26" t="n">
        <v>1</v>
      </c>
      <c r="AM629" s="26" t="n">
        <v>2</v>
      </c>
      <c r="AN629" s="26" t="n">
        <v>1</v>
      </c>
      <c r="AO629" s="26" t="n">
        <v>1</v>
      </c>
      <c r="AP629" s="26" t="n">
        <v>1</v>
      </c>
      <c r="AQ629" s="26" t="n">
        <v>3</v>
      </c>
      <c r="AR629" s="26" t="n">
        <v>4</v>
      </c>
      <c r="AS629" s="26"/>
      <c r="AT629" s="26" t="n">
        <v>2</v>
      </c>
      <c r="AU629" s="26" t="n">
        <v>1</v>
      </c>
      <c r="AV629" s="26" t="n">
        <f aca="false">SUM(AL629:AU629)</f>
        <v>16</v>
      </c>
      <c r="AW629" s="32" t="n">
        <f aca="false">IFERROR(AV629/R629*1000000,"")</f>
        <v>2475.24752475248</v>
      </c>
      <c r="AX629" s="33" t="n">
        <f aca="false">IFERROR((R629-AV629)/R629,"")</f>
        <v>0.997524752475248</v>
      </c>
      <c r="AY629" s="34" t="n">
        <f aca="false">IFERROR(AH629*AJ629*AX629,"")</f>
        <v>0.80439121756487</v>
      </c>
      <c r="AZ629" s="35"/>
    </row>
    <row r="630" customFormat="false" ht="12.75" hidden="false" customHeight="true" outlineLevel="0" collapsed="false">
      <c r="A630" s="24" t="n">
        <v>626</v>
      </c>
      <c r="B630" s="25" t="n">
        <v>46231</v>
      </c>
      <c r="C630" s="25" t="n">
        <v>12</v>
      </c>
      <c r="D630" s="26" t="s">
        <v>79</v>
      </c>
      <c r="E630" s="26" t="s">
        <v>80</v>
      </c>
      <c r="F630" s="26" t="s">
        <v>81</v>
      </c>
      <c r="G630" s="26" t="s">
        <v>9</v>
      </c>
      <c r="H630" s="27" t="n">
        <v>0.354166666666667</v>
      </c>
      <c r="I630" s="27" t="n">
        <v>0.854166666666667</v>
      </c>
      <c r="J630" s="26" t="n">
        <f aca="false">IFERROR((I630-H630)*24*60,"")</f>
        <v>720</v>
      </c>
      <c r="K630" s="26" t="s">
        <v>82</v>
      </c>
      <c r="L630" s="26" t="s">
        <v>83</v>
      </c>
      <c r="M630" s="26" t="s">
        <v>84</v>
      </c>
      <c r="N630" s="26" t="s">
        <v>85</v>
      </c>
      <c r="O630" s="26" t="n">
        <v>8</v>
      </c>
      <c r="P630" s="26" t="n">
        <v>68</v>
      </c>
      <c r="Q630" s="26" t="n">
        <f aca="false">IFERROR(3600/(P630/O630),"")</f>
        <v>423.529411764706</v>
      </c>
      <c r="R630" s="26" t="n">
        <v>4511</v>
      </c>
      <c r="S630" s="26" t="n">
        <v>54</v>
      </c>
      <c r="T630" s="26" t="n">
        <f aca="false">IFERROR(J630-S630,"")</f>
        <v>666</v>
      </c>
      <c r="U630" s="26"/>
      <c r="V630" s="26"/>
      <c r="W630" s="26"/>
      <c r="X630" s="26" t="n">
        <v>26</v>
      </c>
      <c r="Y630" s="26"/>
      <c r="Z630" s="26"/>
      <c r="AA630" s="26" t="n">
        <v>28</v>
      </c>
      <c r="AB630" s="26"/>
      <c r="AC630" s="26"/>
      <c r="AD630" s="26"/>
      <c r="AE630" s="26"/>
      <c r="AF630" s="26" t="n">
        <f aca="false">SUM(U630:AE630)</f>
        <v>54</v>
      </c>
      <c r="AG630" s="26" t="n">
        <f aca="false">T630-AF630</f>
        <v>612</v>
      </c>
      <c r="AH630" s="28" t="n">
        <f aca="false">IFERROR(AG630/T630,"")</f>
        <v>0.918918918918919</v>
      </c>
      <c r="AI630" s="29" t="n">
        <f aca="false">IFERROR(R630/AG630*60,"")</f>
        <v>442.254901960784</v>
      </c>
      <c r="AJ630" s="30" t="n">
        <f aca="false">IFERROR(AI630/Q630,"")</f>
        <v>1.04421296296296</v>
      </c>
      <c r="AK630" s="31" t="n">
        <f aca="false">IFERROR(R630/(T630/60*Q630),"")</f>
        <v>0.959547047047047</v>
      </c>
      <c r="AL630" s="26" t="n">
        <v>8</v>
      </c>
      <c r="AM630" s="26" t="n">
        <v>7</v>
      </c>
      <c r="AN630" s="26" t="n">
        <v>7</v>
      </c>
      <c r="AO630" s="26" t="n">
        <v>8</v>
      </c>
      <c r="AP630" s="26" t="n">
        <v>8</v>
      </c>
      <c r="AQ630" s="26" t="n">
        <v>6</v>
      </c>
      <c r="AR630" s="26" t="n">
        <v>7</v>
      </c>
      <c r="AS630" s="26" t="n">
        <v>6</v>
      </c>
      <c r="AT630" s="26" t="n">
        <v>9</v>
      </c>
      <c r="AU630" s="26" t="n">
        <v>11</v>
      </c>
      <c r="AV630" s="26" t="n">
        <f aca="false">SUM(AL630:AU630)</f>
        <v>77</v>
      </c>
      <c r="AW630" s="32" t="n">
        <f aca="false">IFERROR(AV630/R630*1000000,"")</f>
        <v>17069.3859454666</v>
      </c>
      <c r="AX630" s="33" t="n">
        <f aca="false">IFERROR((R630-AV630)/R630,"")</f>
        <v>0.982930614054533</v>
      </c>
      <c r="AY630" s="34" t="n">
        <f aca="false">IFERROR(AH630*AJ630*AX630,"")</f>
        <v>0.943168168168168</v>
      </c>
      <c r="AZ630" s="35" t="s">
        <v>86</v>
      </c>
    </row>
    <row r="631" customFormat="false" ht="12.75" hidden="false" customHeight="true" outlineLevel="0" collapsed="false">
      <c r="A631" s="24" t="n">
        <v>627</v>
      </c>
      <c r="B631" s="25" t="n">
        <v>46231</v>
      </c>
      <c r="C631" s="25" t="n">
        <v>12</v>
      </c>
      <c r="D631" s="26" t="s">
        <v>87</v>
      </c>
      <c r="E631" s="26" t="s">
        <v>88</v>
      </c>
      <c r="F631" s="26" t="s">
        <v>73</v>
      </c>
      <c r="G631" s="26" t="s">
        <v>10</v>
      </c>
      <c r="H631" s="27" t="n">
        <v>0.354166666666667</v>
      </c>
      <c r="I631" s="27" t="n">
        <v>0.854166666666667</v>
      </c>
      <c r="J631" s="26" t="n">
        <f aca="false">IFERROR((I631-H631)*24*60,"")</f>
        <v>720</v>
      </c>
      <c r="K631" s="26" t="s">
        <v>82</v>
      </c>
      <c r="L631" s="26" t="s">
        <v>108</v>
      </c>
      <c r="M631" s="26" t="s">
        <v>91</v>
      </c>
      <c r="N631" s="26" t="s">
        <v>92</v>
      </c>
      <c r="O631" s="26" t="n">
        <v>1</v>
      </c>
      <c r="P631" s="26" t="n">
        <v>72</v>
      </c>
      <c r="Q631" s="26" t="n">
        <f aca="false">IFERROR(3600/(P631/O631),"")</f>
        <v>50</v>
      </c>
      <c r="R631" s="26" t="n">
        <v>507</v>
      </c>
      <c r="S631" s="26" t="n">
        <v>63</v>
      </c>
      <c r="T631" s="26" t="n">
        <f aca="false">IFERROR(J631-S631,"")</f>
        <v>657</v>
      </c>
      <c r="U631" s="26"/>
      <c r="V631" s="26"/>
      <c r="W631" s="26" t="n">
        <v>6</v>
      </c>
      <c r="X631" s="26" t="n">
        <v>19</v>
      </c>
      <c r="Y631" s="26"/>
      <c r="Z631" s="26" t="n">
        <v>6</v>
      </c>
      <c r="AA631" s="26"/>
      <c r="AB631" s="26"/>
      <c r="AC631" s="26"/>
      <c r="AD631" s="26"/>
      <c r="AE631" s="26"/>
      <c r="AF631" s="26" t="n">
        <f aca="false">SUM(U631:AE631)</f>
        <v>31</v>
      </c>
      <c r="AG631" s="26" t="n">
        <f aca="false">T631-AF631</f>
        <v>626</v>
      </c>
      <c r="AH631" s="28" t="n">
        <f aca="false">IFERROR(AG631/T631,"")</f>
        <v>0.952815829528158</v>
      </c>
      <c r="AI631" s="29" t="n">
        <f aca="false">IFERROR(R631/AG631*60,"")</f>
        <v>48.594249201278</v>
      </c>
      <c r="AJ631" s="30" t="n">
        <f aca="false">IFERROR(AI631/Q631,"")</f>
        <v>0.971884984025559</v>
      </c>
      <c r="AK631" s="31" t="n">
        <f aca="false">IFERROR(R631/(T631/60*Q631),"")</f>
        <v>0.926027397260274</v>
      </c>
      <c r="AL631" s="26"/>
      <c r="AM631" s="26"/>
      <c r="AN631" s="26"/>
      <c r="AO631" s="26"/>
      <c r="AP631" s="26"/>
      <c r="AQ631" s="26"/>
      <c r="AR631" s="26"/>
      <c r="AS631" s="26"/>
      <c r="AT631" s="26" t="n">
        <v>1</v>
      </c>
      <c r="AU631" s="26"/>
      <c r="AV631" s="26" t="n">
        <f aca="false">SUM(AL631:AU631)</f>
        <v>1</v>
      </c>
      <c r="AW631" s="32" t="n">
        <f aca="false">IFERROR(AV631/R631*1000000,"")</f>
        <v>1972.3865877712</v>
      </c>
      <c r="AX631" s="33" t="n">
        <f aca="false">IFERROR((R631-AV631)/R631,"")</f>
        <v>0.998027613412229</v>
      </c>
      <c r="AY631" s="34" t="n">
        <f aca="false">IFERROR(AH631*AJ631*AX631,"")</f>
        <v>0.924200913242009</v>
      </c>
      <c r="AZ631" s="35" t="s">
        <v>93</v>
      </c>
    </row>
    <row r="632" customFormat="false" ht="12.75" hidden="false" customHeight="true" outlineLevel="0" collapsed="false">
      <c r="A632" s="24" t="n">
        <v>628</v>
      </c>
      <c r="B632" s="25" t="n">
        <v>46232</v>
      </c>
      <c r="C632" s="25" t="n">
        <v>12</v>
      </c>
      <c r="D632" s="26" t="s">
        <v>71</v>
      </c>
      <c r="E632" s="26" t="s">
        <v>94</v>
      </c>
      <c r="F632" s="26" t="s">
        <v>81</v>
      </c>
      <c r="G632" s="26" t="s">
        <v>11</v>
      </c>
      <c r="H632" s="27" t="n">
        <v>0.354166666666667</v>
      </c>
      <c r="I632" s="27" t="n">
        <v>0.854166666666667</v>
      </c>
      <c r="J632" s="26" t="n">
        <f aca="false">IFERROR((I632-H632)*24*60,"")</f>
        <v>720</v>
      </c>
      <c r="K632" s="26" t="s">
        <v>74</v>
      </c>
      <c r="L632" s="26" t="s">
        <v>75</v>
      </c>
      <c r="M632" s="26" t="s">
        <v>95</v>
      </c>
      <c r="N632" s="26" t="s">
        <v>96</v>
      </c>
      <c r="O632" s="26" t="n">
        <v>8</v>
      </c>
      <c r="P632" s="26" t="n">
        <v>50</v>
      </c>
      <c r="Q632" s="26" t="n">
        <f aca="false">IFERROR(3600/(P632/O632),"")</f>
        <v>576</v>
      </c>
      <c r="R632" s="26" t="n">
        <v>5210</v>
      </c>
      <c r="S632" s="26" t="n">
        <v>73</v>
      </c>
      <c r="T632" s="26" t="n">
        <f aca="false">IFERROR(J632-S632,"")</f>
        <v>647</v>
      </c>
      <c r="U632" s="26"/>
      <c r="V632" s="26"/>
      <c r="W632" s="26"/>
      <c r="X632" s="26"/>
      <c r="Y632" s="26" t="n">
        <v>15</v>
      </c>
      <c r="Z632" s="26" t="n">
        <v>46</v>
      </c>
      <c r="AA632" s="26"/>
      <c r="AB632" s="26"/>
      <c r="AC632" s="26"/>
      <c r="AD632" s="26" t="n">
        <v>3</v>
      </c>
      <c r="AE632" s="26"/>
      <c r="AF632" s="26" t="n">
        <f aca="false">SUM(U632:AE632)</f>
        <v>64</v>
      </c>
      <c r="AG632" s="26" t="n">
        <f aca="false">T632-AF632</f>
        <v>583</v>
      </c>
      <c r="AH632" s="28" t="n">
        <f aca="false">IFERROR(AG632/T632,"")</f>
        <v>0.901081916537867</v>
      </c>
      <c r="AI632" s="29" t="n">
        <f aca="false">IFERROR(R632/AG632*60,"")</f>
        <v>536.192109777015</v>
      </c>
      <c r="AJ632" s="30" t="n">
        <f aca="false">IFERROR(AI632/Q632,"")</f>
        <v>0.930889079473985</v>
      </c>
      <c r="AK632" s="31" t="n">
        <f aca="false">IFERROR(R632/(T632/60*Q632),"")</f>
        <v>0.838807315816589</v>
      </c>
      <c r="AL632" s="26" t="n">
        <v>8</v>
      </c>
      <c r="AM632" s="26" t="n">
        <v>11</v>
      </c>
      <c r="AN632" s="26" t="n">
        <v>9</v>
      </c>
      <c r="AO632" s="26" t="n">
        <v>8</v>
      </c>
      <c r="AP632" s="26" t="n">
        <v>13</v>
      </c>
      <c r="AQ632" s="26" t="n">
        <v>13</v>
      </c>
      <c r="AR632" s="26" t="n">
        <v>11</v>
      </c>
      <c r="AS632" s="26" t="n">
        <v>10</v>
      </c>
      <c r="AT632" s="26" t="n">
        <v>10</v>
      </c>
      <c r="AU632" s="26" t="n">
        <v>13</v>
      </c>
      <c r="AV632" s="26" t="n">
        <f aca="false">SUM(AL632:AU632)</f>
        <v>106</v>
      </c>
      <c r="AW632" s="32" t="n">
        <f aca="false">IFERROR(AV632/R632*1000000,"")</f>
        <v>20345.4894433781</v>
      </c>
      <c r="AX632" s="33" t="n">
        <f aca="false">IFERROR((R632-AV632)/R632,"")</f>
        <v>0.979654510556622</v>
      </c>
      <c r="AY632" s="34" t="n">
        <f aca="false">IFERROR(AH632*AJ632*AX632,"")</f>
        <v>0.821741370427615</v>
      </c>
      <c r="AZ632" s="35" t="s">
        <v>93</v>
      </c>
    </row>
    <row r="633" customFormat="false" ht="12.75" hidden="false" customHeight="true" outlineLevel="0" collapsed="false">
      <c r="A633" s="24" t="n">
        <v>629</v>
      </c>
      <c r="B633" s="25" t="n">
        <v>46232</v>
      </c>
      <c r="C633" s="25" t="n">
        <v>12</v>
      </c>
      <c r="D633" s="26" t="s">
        <v>79</v>
      </c>
      <c r="E633" s="26" t="s">
        <v>97</v>
      </c>
      <c r="F633" s="26" t="s">
        <v>73</v>
      </c>
      <c r="G633" s="26" t="s">
        <v>12</v>
      </c>
      <c r="H633" s="27" t="n">
        <v>0.354166666666667</v>
      </c>
      <c r="I633" s="27" t="n">
        <v>0.854166666666667</v>
      </c>
      <c r="J633" s="26" t="n">
        <f aca="false">IFERROR((I633-H633)*24*60,"")</f>
        <v>720</v>
      </c>
      <c r="K633" s="26" t="s">
        <v>74</v>
      </c>
      <c r="L633" s="26" t="s">
        <v>83</v>
      </c>
      <c r="M633" s="26" t="s">
        <v>99</v>
      </c>
      <c r="N633" s="26" t="s">
        <v>100</v>
      </c>
      <c r="O633" s="26" t="n">
        <v>1</v>
      </c>
      <c r="P633" s="26" t="n">
        <v>45</v>
      </c>
      <c r="Q633" s="26" t="n">
        <f aca="false">IFERROR(3600/(P633/O633),"")</f>
        <v>80</v>
      </c>
      <c r="R633" s="26" t="n">
        <v>866</v>
      </c>
      <c r="S633" s="26" t="n">
        <v>65</v>
      </c>
      <c r="T633" s="26" t="n">
        <f aca="false">IFERROR(J633-S633,"")</f>
        <v>655</v>
      </c>
      <c r="U633" s="26"/>
      <c r="V633" s="26"/>
      <c r="W633" s="26"/>
      <c r="X633" s="26" t="n">
        <v>5</v>
      </c>
      <c r="Y633" s="26"/>
      <c r="Z633" s="26"/>
      <c r="AA633" s="26"/>
      <c r="AB633" s="26"/>
      <c r="AC633" s="26" t="n">
        <v>3</v>
      </c>
      <c r="AD633" s="26"/>
      <c r="AE633" s="26"/>
      <c r="AF633" s="26" t="n">
        <f aca="false">SUM(U633:AE633)</f>
        <v>8</v>
      </c>
      <c r="AG633" s="26" t="n">
        <f aca="false">T633-AF633</f>
        <v>647</v>
      </c>
      <c r="AH633" s="28" t="n">
        <f aca="false">IFERROR(AG633/T633,"")</f>
        <v>0.987786259541985</v>
      </c>
      <c r="AI633" s="29" t="n">
        <f aca="false">IFERROR(R633/AG633*60,"")</f>
        <v>80.3091190108192</v>
      </c>
      <c r="AJ633" s="30" t="n">
        <f aca="false">IFERROR(AI633/Q633,"")</f>
        <v>1.00386398763524</v>
      </c>
      <c r="AK633" s="31" t="n">
        <f aca="false">IFERROR(R633/(T633/60*Q633),"")</f>
        <v>0.991603053435115</v>
      </c>
      <c r="AL633" s="26" t="n">
        <v>1</v>
      </c>
      <c r="AM633" s="26" t="n">
        <v>1</v>
      </c>
      <c r="AN633" s="26"/>
      <c r="AO633" s="26"/>
      <c r="AP633" s="26" t="n">
        <v>2</v>
      </c>
      <c r="AQ633" s="26" t="n">
        <v>3</v>
      </c>
      <c r="AR633" s="26" t="n">
        <v>1</v>
      </c>
      <c r="AS633" s="26" t="n">
        <v>1</v>
      </c>
      <c r="AT633" s="26"/>
      <c r="AU633" s="26"/>
      <c r="AV633" s="26" t="n">
        <f aca="false">SUM(AL633:AU633)</f>
        <v>9</v>
      </c>
      <c r="AW633" s="32" t="n">
        <f aca="false">IFERROR(AV633/R633*1000000,"")</f>
        <v>10392.6096997691</v>
      </c>
      <c r="AX633" s="33" t="n">
        <f aca="false">IFERROR((R633-AV633)/R633,"")</f>
        <v>0.989607390300231</v>
      </c>
      <c r="AY633" s="34" t="n">
        <f aca="false">IFERROR(AH633*AJ633*AX633,"")</f>
        <v>0.981297709923664</v>
      </c>
      <c r="AZ633" s="35"/>
    </row>
    <row r="634" customFormat="false" ht="12.75" hidden="false" customHeight="true" outlineLevel="0" collapsed="false">
      <c r="A634" s="24" t="n">
        <v>630</v>
      </c>
      <c r="B634" s="25" t="n">
        <v>46232</v>
      </c>
      <c r="C634" s="25" t="n">
        <v>12</v>
      </c>
      <c r="D634" s="26" t="s">
        <v>87</v>
      </c>
      <c r="E634" s="26" t="s">
        <v>101</v>
      </c>
      <c r="F634" s="26" t="s">
        <v>81</v>
      </c>
      <c r="G634" s="26" t="s">
        <v>13</v>
      </c>
      <c r="H634" s="27" t="n">
        <v>0.354166666666667</v>
      </c>
      <c r="I634" s="27" t="n">
        <v>0.854166666666667</v>
      </c>
      <c r="J634" s="26" t="n">
        <f aca="false">IFERROR((I634-H634)*24*60,"")</f>
        <v>720</v>
      </c>
      <c r="K634" s="26" t="s">
        <v>74</v>
      </c>
      <c r="L634" s="26" t="s">
        <v>90</v>
      </c>
      <c r="M634" s="26" t="s">
        <v>103</v>
      </c>
      <c r="N634" s="26" t="s">
        <v>104</v>
      </c>
      <c r="O634" s="26" t="n">
        <v>8</v>
      </c>
      <c r="P634" s="26" t="n">
        <v>41</v>
      </c>
      <c r="Q634" s="26" t="n">
        <f aca="false">IFERROR(3600/(P634/O634),"")</f>
        <v>702.439024390244</v>
      </c>
      <c r="R634" s="26" t="n">
        <v>7493</v>
      </c>
      <c r="S634" s="26" t="n">
        <v>32</v>
      </c>
      <c r="T634" s="26" t="n">
        <f aca="false">IFERROR(J634-S634,"")</f>
        <v>688</v>
      </c>
      <c r="U634" s="26"/>
      <c r="V634" s="26"/>
      <c r="W634" s="26" t="n">
        <v>41</v>
      </c>
      <c r="X634" s="26"/>
      <c r="Y634" s="26"/>
      <c r="Z634" s="26"/>
      <c r="AA634" s="26"/>
      <c r="AB634" s="26"/>
      <c r="AC634" s="26"/>
      <c r="AD634" s="26"/>
      <c r="AE634" s="26"/>
      <c r="AF634" s="26" t="n">
        <f aca="false">SUM(U634:AE634)</f>
        <v>41</v>
      </c>
      <c r="AG634" s="26" t="n">
        <f aca="false">T634-AF634</f>
        <v>647</v>
      </c>
      <c r="AH634" s="28" t="n">
        <f aca="false">IFERROR(AG634/T634,"")</f>
        <v>0.940406976744186</v>
      </c>
      <c r="AI634" s="29" t="n">
        <f aca="false">IFERROR(R634/AG634*60,"")</f>
        <v>694.868624420402</v>
      </c>
      <c r="AJ634" s="30" t="n">
        <f aca="false">IFERROR(AI634/Q634,"")</f>
        <v>0.989222694487378</v>
      </c>
      <c r="AK634" s="31" t="n">
        <f aca="false">IFERROR(R634/(T634/60*Q634),"")</f>
        <v>0.930271923449612</v>
      </c>
      <c r="AL634" s="26" t="n">
        <v>1</v>
      </c>
      <c r="AM634" s="26" t="n">
        <v>3</v>
      </c>
      <c r="AN634" s="26" t="n">
        <v>3</v>
      </c>
      <c r="AO634" s="26" t="n">
        <v>2</v>
      </c>
      <c r="AP634" s="26" t="n">
        <v>1</v>
      </c>
      <c r="AQ634" s="26" t="n">
        <v>5</v>
      </c>
      <c r="AR634" s="26" t="n">
        <v>2</v>
      </c>
      <c r="AS634" s="26" t="n">
        <v>1</v>
      </c>
      <c r="AT634" s="26" t="n">
        <v>2</v>
      </c>
      <c r="AU634" s="26" t="n">
        <v>3</v>
      </c>
      <c r="AV634" s="26" t="n">
        <f aca="false">SUM(AL634:AU634)</f>
        <v>23</v>
      </c>
      <c r="AW634" s="32" t="n">
        <f aca="false">IFERROR(AV634/R634*1000000,"")</f>
        <v>3069.53156279194</v>
      </c>
      <c r="AX634" s="33" t="n">
        <f aca="false">IFERROR((R634-AV634)/R634,"")</f>
        <v>0.996930468437208</v>
      </c>
      <c r="AY634" s="34" t="n">
        <f aca="false">IFERROR(AH634*AJ634*AX634,"")</f>
        <v>0.927416424418605</v>
      </c>
      <c r="AZ634" s="35"/>
    </row>
    <row r="635" customFormat="false" ht="12.75" hidden="false" customHeight="true" outlineLevel="0" collapsed="false">
      <c r="A635" s="24" t="n">
        <v>631</v>
      </c>
      <c r="B635" s="25" t="n">
        <v>46233</v>
      </c>
      <c r="C635" s="25" t="n">
        <v>12</v>
      </c>
      <c r="D635" s="26" t="s">
        <v>71</v>
      </c>
      <c r="E635" s="26" t="s">
        <v>72</v>
      </c>
      <c r="F635" s="26" t="s">
        <v>73</v>
      </c>
      <c r="G635" s="26" t="s">
        <v>8</v>
      </c>
      <c r="H635" s="27" t="n">
        <v>0.354166666666667</v>
      </c>
      <c r="I635" s="27" t="n">
        <v>0.854166666666667</v>
      </c>
      <c r="J635" s="26" t="n">
        <f aca="false">IFERROR((I635-H635)*24*60,"")</f>
        <v>720</v>
      </c>
      <c r="K635" s="26" t="s">
        <v>105</v>
      </c>
      <c r="L635" s="26" t="s">
        <v>102</v>
      </c>
      <c r="M635" s="26" t="s">
        <v>76</v>
      </c>
      <c r="N635" s="26" t="s">
        <v>77</v>
      </c>
      <c r="O635" s="26" t="n">
        <v>4</v>
      </c>
      <c r="P635" s="26" t="n">
        <v>59</v>
      </c>
      <c r="Q635" s="26" t="n">
        <f aca="false">IFERROR(3600/(P635/O635),"")</f>
        <v>244.06779661017</v>
      </c>
      <c r="R635" s="26" t="n">
        <v>1893</v>
      </c>
      <c r="S635" s="26" t="n">
        <v>59</v>
      </c>
      <c r="T635" s="26" t="n">
        <f aca="false">IFERROR(J635-S635,"")</f>
        <v>661</v>
      </c>
      <c r="U635" s="26"/>
      <c r="V635" s="26"/>
      <c r="W635" s="26" t="n">
        <v>15</v>
      </c>
      <c r="X635" s="26"/>
      <c r="Y635" s="26"/>
      <c r="Z635" s="26"/>
      <c r="AA635" s="26"/>
      <c r="AB635" s="26"/>
      <c r="AC635" s="26"/>
      <c r="AD635" s="26"/>
      <c r="AE635" s="26"/>
      <c r="AF635" s="26" t="n">
        <f aca="false">SUM(U635:AE635)</f>
        <v>15</v>
      </c>
      <c r="AG635" s="26" t="n">
        <f aca="false">T635-AF635</f>
        <v>646</v>
      </c>
      <c r="AH635" s="28" t="n">
        <f aca="false">IFERROR(AG635/T635,"")</f>
        <v>0.977307110438729</v>
      </c>
      <c r="AI635" s="29" t="n">
        <f aca="false">IFERROR(R635/AG635*60,"")</f>
        <v>175.820433436533</v>
      </c>
      <c r="AJ635" s="30" t="n">
        <f aca="false">IFERROR(AI635/Q635,"")</f>
        <v>0.720375386996904</v>
      </c>
      <c r="AK635" s="31" t="n">
        <f aca="false">IFERROR(R635/(T635/60*Q635),"")</f>
        <v>0.704027987897126</v>
      </c>
      <c r="AL635" s="26" t="n">
        <v>2</v>
      </c>
      <c r="AM635" s="26" t="n">
        <v>2</v>
      </c>
      <c r="AN635" s="26"/>
      <c r="AO635" s="26" t="n">
        <v>1</v>
      </c>
      <c r="AP635" s="26" t="n">
        <v>2</v>
      </c>
      <c r="AQ635" s="26" t="n">
        <v>2</v>
      </c>
      <c r="AR635" s="26" t="n">
        <v>2</v>
      </c>
      <c r="AS635" s="26" t="n">
        <v>3</v>
      </c>
      <c r="AT635" s="26" t="n">
        <v>2</v>
      </c>
      <c r="AU635" s="26" t="n">
        <v>5</v>
      </c>
      <c r="AV635" s="26" t="n">
        <f aca="false">SUM(AL635:AU635)</f>
        <v>21</v>
      </c>
      <c r="AW635" s="32" t="n">
        <f aca="false">IFERROR(AV635/R635*1000000,"")</f>
        <v>11093.5023771791</v>
      </c>
      <c r="AX635" s="33" t="n">
        <f aca="false">IFERROR((R635-AV635)/R635,"")</f>
        <v>0.988906497622821</v>
      </c>
      <c r="AY635" s="34" t="n">
        <f aca="false">IFERROR(AH635*AJ635*AX635,"")</f>
        <v>0.696217851739788</v>
      </c>
      <c r="AZ635" s="35"/>
    </row>
    <row r="636" customFormat="false" ht="12.75" hidden="false" customHeight="true" outlineLevel="0" collapsed="false">
      <c r="A636" s="24" t="n">
        <v>632</v>
      </c>
      <c r="B636" s="25" t="n">
        <v>46233</v>
      </c>
      <c r="C636" s="25" t="n">
        <v>12</v>
      </c>
      <c r="D636" s="26" t="s">
        <v>79</v>
      </c>
      <c r="E636" s="26" t="s">
        <v>80</v>
      </c>
      <c r="F636" s="26" t="s">
        <v>81</v>
      </c>
      <c r="G636" s="26" t="s">
        <v>9</v>
      </c>
      <c r="H636" s="27" t="n">
        <v>0.354166666666667</v>
      </c>
      <c r="I636" s="27" t="n">
        <v>0.854166666666667</v>
      </c>
      <c r="J636" s="26" t="n">
        <f aca="false">IFERROR((I636-H636)*24*60,"")</f>
        <v>720</v>
      </c>
      <c r="K636" s="26" t="s">
        <v>82</v>
      </c>
      <c r="L636" s="26" t="s">
        <v>90</v>
      </c>
      <c r="M636" s="26" t="s">
        <v>84</v>
      </c>
      <c r="N636" s="26" t="s">
        <v>85</v>
      </c>
      <c r="O636" s="26" t="n">
        <v>1</v>
      </c>
      <c r="P636" s="26" t="n">
        <v>33</v>
      </c>
      <c r="Q636" s="26" t="n">
        <f aca="false">IFERROR(3600/(P636/O636),"")</f>
        <v>109.090909090909</v>
      </c>
      <c r="R636" s="26" t="n">
        <v>1008</v>
      </c>
      <c r="S636" s="26" t="n">
        <v>53</v>
      </c>
      <c r="T636" s="26" t="n">
        <f aca="false">IFERROR(J636-S636,"")</f>
        <v>667</v>
      </c>
      <c r="U636" s="26"/>
      <c r="V636" s="26"/>
      <c r="W636" s="26"/>
      <c r="X636" s="26"/>
      <c r="Y636" s="26" t="n">
        <v>17</v>
      </c>
      <c r="Z636" s="26"/>
      <c r="AA636" s="26"/>
      <c r="AB636" s="26"/>
      <c r="AC636" s="26"/>
      <c r="AD636" s="26" t="n">
        <v>40</v>
      </c>
      <c r="AE636" s="26"/>
      <c r="AF636" s="26" t="n">
        <f aca="false">SUM(U636:AE636)</f>
        <v>57</v>
      </c>
      <c r="AG636" s="26" t="n">
        <f aca="false">T636-AF636</f>
        <v>610</v>
      </c>
      <c r="AH636" s="28" t="n">
        <f aca="false">IFERROR(AG636/T636,"")</f>
        <v>0.914542728635682</v>
      </c>
      <c r="AI636" s="29" t="n">
        <f aca="false">IFERROR(R636/AG636*60,"")</f>
        <v>99.1475409836066</v>
      </c>
      <c r="AJ636" s="30" t="n">
        <f aca="false">IFERROR(AI636/Q636,"")</f>
        <v>0.908852459016393</v>
      </c>
      <c r="AK636" s="31" t="n">
        <f aca="false">IFERROR(R636/(T636/60*Q636),"")</f>
        <v>0.831184407796102</v>
      </c>
      <c r="AL636" s="26"/>
      <c r="AM636" s="26" t="n">
        <v>1</v>
      </c>
      <c r="AN636" s="26" t="n">
        <v>1</v>
      </c>
      <c r="AO636" s="26" t="n">
        <v>2</v>
      </c>
      <c r="AP636" s="26" t="n">
        <v>2</v>
      </c>
      <c r="AQ636" s="26" t="n">
        <v>3</v>
      </c>
      <c r="AR636" s="26" t="n">
        <v>3</v>
      </c>
      <c r="AS636" s="26" t="n">
        <v>3</v>
      </c>
      <c r="AT636" s="26" t="n">
        <v>3</v>
      </c>
      <c r="AU636" s="26" t="n">
        <v>2</v>
      </c>
      <c r="AV636" s="26" t="n">
        <f aca="false">SUM(AL636:AU636)</f>
        <v>20</v>
      </c>
      <c r="AW636" s="32" t="n">
        <f aca="false">IFERROR(AV636/R636*1000000,"")</f>
        <v>19841.2698412698</v>
      </c>
      <c r="AX636" s="33" t="n">
        <f aca="false">IFERROR((R636-AV636)/R636,"")</f>
        <v>0.98015873015873</v>
      </c>
      <c r="AY636" s="34" t="n">
        <f aca="false">IFERROR(AH636*AJ636*AX636,"")</f>
        <v>0.814692653673164</v>
      </c>
      <c r="AZ636" s="35"/>
    </row>
    <row r="637" customFormat="false" ht="12.75" hidden="false" customHeight="true" outlineLevel="0" collapsed="false">
      <c r="A637" s="24" t="n">
        <v>633</v>
      </c>
      <c r="B637" s="25" t="n">
        <v>46233</v>
      </c>
      <c r="C637" s="25" t="n">
        <v>12</v>
      </c>
      <c r="D637" s="26" t="s">
        <v>87</v>
      </c>
      <c r="E637" s="26" t="s">
        <v>88</v>
      </c>
      <c r="F637" s="26" t="s">
        <v>73</v>
      </c>
      <c r="G637" s="26" t="s">
        <v>10</v>
      </c>
      <c r="H637" s="27" t="n">
        <v>0.354166666666667</v>
      </c>
      <c r="I637" s="27" t="n">
        <v>0.854166666666667</v>
      </c>
      <c r="J637" s="26" t="n">
        <f aca="false">IFERROR((I637-H637)*24*60,"")</f>
        <v>720</v>
      </c>
      <c r="K637" s="26" t="s">
        <v>89</v>
      </c>
      <c r="L637" s="26" t="s">
        <v>102</v>
      </c>
      <c r="M637" s="26" t="s">
        <v>91</v>
      </c>
      <c r="N637" s="26" t="s">
        <v>92</v>
      </c>
      <c r="O637" s="26" t="n">
        <v>4</v>
      </c>
      <c r="P637" s="26" t="n">
        <v>43</v>
      </c>
      <c r="Q637" s="26" t="n">
        <f aca="false">IFERROR(3600/(P637/O637),"")</f>
        <v>334.883720930233</v>
      </c>
      <c r="R637" s="26" t="n">
        <v>3389</v>
      </c>
      <c r="S637" s="26" t="n">
        <v>31</v>
      </c>
      <c r="T637" s="26" t="n">
        <f aca="false">IFERROR(J637-S637,"")</f>
        <v>689</v>
      </c>
      <c r="U637" s="26"/>
      <c r="V637" s="26"/>
      <c r="W637" s="26"/>
      <c r="X637" s="26" t="n">
        <v>23</v>
      </c>
      <c r="Y637" s="26" t="n">
        <v>13</v>
      </c>
      <c r="Z637" s="26"/>
      <c r="AA637" s="26"/>
      <c r="AB637" s="26"/>
      <c r="AC637" s="26"/>
      <c r="AD637" s="26"/>
      <c r="AE637" s="26"/>
      <c r="AF637" s="26" t="n">
        <f aca="false">SUM(U637:AE637)</f>
        <v>36</v>
      </c>
      <c r="AG637" s="26" t="n">
        <f aca="false">T637-AF637</f>
        <v>653</v>
      </c>
      <c r="AH637" s="28" t="n">
        <f aca="false">IFERROR(AG637/T637,"")</f>
        <v>0.947750362844703</v>
      </c>
      <c r="AI637" s="29" t="n">
        <f aca="false">IFERROR(R637/AG637*60,"")</f>
        <v>311.393568147014</v>
      </c>
      <c r="AJ637" s="30" t="n">
        <f aca="false">IFERROR(AI637/Q637,"")</f>
        <v>0.929855793772333</v>
      </c>
      <c r="AK637" s="31" t="n">
        <f aca="false">IFERROR(R637/(T637/60*Q637),"")</f>
        <v>0.881271165940977</v>
      </c>
      <c r="AL637" s="26" t="n">
        <v>2</v>
      </c>
      <c r="AM637" s="26" t="n">
        <v>2</v>
      </c>
      <c r="AN637" s="26" t="n">
        <v>2</v>
      </c>
      <c r="AO637" s="26" t="n">
        <v>2</v>
      </c>
      <c r="AP637" s="26" t="n">
        <v>2</v>
      </c>
      <c r="AQ637" s="26" t="n">
        <v>3</v>
      </c>
      <c r="AR637" s="26" t="n">
        <v>3</v>
      </c>
      <c r="AS637" s="26" t="n">
        <v>3</v>
      </c>
      <c r="AT637" s="26" t="n">
        <v>1</v>
      </c>
      <c r="AU637" s="26" t="n">
        <v>4</v>
      </c>
      <c r="AV637" s="26" t="n">
        <f aca="false">SUM(AL637:AU637)</f>
        <v>24</v>
      </c>
      <c r="AW637" s="32" t="n">
        <f aca="false">IFERROR(AV637/R637*1000000,"")</f>
        <v>7081.73502508115</v>
      </c>
      <c r="AX637" s="33" t="n">
        <f aca="false">IFERROR((R637-AV637)/R637,"")</f>
        <v>0.992918264974919</v>
      </c>
      <c r="AY637" s="34" t="n">
        <f aca="false">IFERROR(AH637*AJ637*AX637,"")</f>
        <v>0.875030237058539</v>
      </c>
      <c r="AZ637" s="35" t="s">
        <v>78</v>
      </c>
    </row>
    <row r="638" customFormat="false" ht="12.75" hidden="false" customHeight="true" outlineLevel="0" collapsed="false">
      <c r="A638" s="24" t="n">
        <v>634</v>
      </c>
      <c r="B638" s="25" t="n">
        <v>46234</v>
      </c>
      <c r="C638" s="25" t="n">
        <v>12</v>
      </c>
      <c r="D638" s="26" t="s">
        <v>71</v>
      </c>
      <c r="E638" s="26" t="s">
        <v>94</v>
      </c>
      <c r="F638" s="26" t="s">
        <v>81</v>
      </c>
      <c r="G638" s="26" t="s">
        <v>11</v>
      </c>
      <c r="H638" s="27" t="n">
        <v>0.354166666666667</v>
      </c>
      <c r="I638" s="27" t="n">
        <v>0.854166666666667</v>
      </c>
      <c r="J638" s="26" t="n">
        <f aca="false">IFERROR((I638-H638)*24*60,"")</f>
        <v>720</v>
      </c>
      <c r="K638" s="26" t="s">
        <v>105</v>
      </c>
      <c r="L638" s="26" t="s">
        <v>108</v>
      </c>
      <c r="M638" s="26" t="s">
        <v>95</v>
      </c>
      <c r="N638" s="26" t="s">
        <v>96</v>
      </c>
      <c r="O638" s="26" t="n">
        <v>1</v>
      </c>
      <c r="P638" s="26" t="n">
        <v>31</v>
      </c>
      <c r="Q638" s="26" t="n">
        <f aca="false">IFERROR(3600/(P638/O638),"")</f>
        <v>116.129032258065</v>
      </c>
      <c r="R638" s="26" t="n">
        <v>1342</v>
      </c>
      <c r="S638" s="26" t="n">
        <v>33</v>
      </c>
      <c r="T638" s="26" t="n">
        <f aca="false">IFERROR(J638-S638,"")</f>
        <v>687</v>
      </c>
      <c r="U638" s="26"/>
      <c r="V638" s="26"/>
      <c r="W638" s="26"/>
      <c r="X638" s="26" t="n">
        <v>4</v>
      </c>
      <c r="Y638" s="26" t="n">
        <v>7</v>
      </c>
      <c r="Z638" s="26"/>
      <c r="AA638" s="26"/>
      <c r="AB638" s="26" t="n">
        <v>5</v>
      </c>
      <c r="AC638" s="26"/>
      <c r="AD638" s="26"/>
      <c r="AE638" s="26"/>
      <c r="AF638" s="26" t="n">
        <f aca="false">SUM(U638:AE638)</f>
        <v>16</v>
      </c>
      <c r="AG638" s="26" t="n">
        <f aca="false">T638-AF638</f>
        <v>671</v>
      </c>
      <c r="AH638" s="28" t="n">
        <f aca="false">IFERROR(AG638/T638,"")</f>
        <v>0.976710334788937</v>
      </c>
      <c r="AI638" s="29" t="n">
        <f aca="false">IFERROR(R638/AG638*60,"")</f>
        <v>120</v>
      </c>
      <c r="AJ638" s="30" t="n">
        <f aca="false">IFERROR(AI638/Q638,"")</f>
        <v>1.03333333333333</v>
      </c>
      <c r="AK638" s="31" t="n">
        <f aca="false">IFERROR(R638/(T638/60*Q638),"")</f>
        <v>1.00926734594857</v>
      </c>
      <c r="AL638" s="26"/>
      <c r="AM638" s="26" t="n">
        <v>2</v>
      </c>
      <c r="AN638" s="26" t="n">
        <v>2</v>
      </c>
      <c r="AO638" s="26" t="n">
        <v>2</v>
      </c>
      <c r="AP638" s="26" t="n">
        <v>5</v>
      </c>
      <c r="AQ638" s="26" t="n">
        <v>4</v>
      </c>
      <c r="AR638" s="26" t="n">
        <v>1</v>
      </c>
      <c r="AS638" s="26" t="n">
        <v>3</v>
      </c>
      <c r="AT638" s="26" t="n">
        <v>2</v>
      </c>
      <c r="AU638" s="26"/>
      <c r="AV638" s="26" t="n">
        <f aca="false">SUM(AL638:AU638)</f>
        <v>21</v>
      </c>
      <c r="AW638" s="32" t="n">
        <f aca="false">IFERROR(AV638/R638*1000000,"")</f>
        <v>15648.2861400894</v>
      </c>
      <c r="AX638" s="33" t="n">
        <f aca="false">IFERROR((R638-AV638)/R638,"")</f>
        <v>0.984351713859911</v>
      </c>
      <c r="AY638" s="34" t="n">
        <f aca="false">IFERROR(AH638*AJ638*AX638,"")</f>
        <v>0.993474041727317</v>
      </c>
      <c r="AZ638" s="35" t="s">
        <v>93</v>
      </c>
    </row>
    <row r="639" customFormat="false" ht="12.75" hidden="false" customHeight="true" outlineLevel="0" collapsed="false">
      <c r="A639" s="24" t="n">
        <v>635</v>
      </c>
      <c r="B639" s="25" t="n">
        <v>46234</v>
      </c>
      <c r="C639" s="25" t="n">
        <v>12</v>
      </c>
      <c r="D639" s="26" t="s">
        <v>79</v>
      </c>
      <c r="E639" s="26" t="s">
        <v>97</v>
      </c>
      <c r="F639" s="26" t="s">
        <v>73</v>
      </c>
      <c r="G639" s="26" t="s">
        <v>12</v>
      </c>
      <c r="H639" s="27" t="n">
        <v>0.354166666666667</v>
      </c>
      <c r="I639" s="27" t="n">
        <v>0.854166666666667</v>
      </c>
      <c r="J639" s="26" t="n">
        <f aca="false">IFERROR((I639-H639)*24*60,"")</f>
        <v>720</v>
      </c>
      <c r="K639" s="26" t="s">
        <v>89</v>
      </c>
      <c r="L639" s="26" t="s">
        <v>102</v>
      </c>
      <c r="M639" s="26" t="s">
        <v>99</v>
      </c>
      <c r="N639" s="26" t="s">
        <v>100</v>
      </c>
      <c r="O639" s="26" t="n">
        <v>8</v>
      </c>
      <c r="P639" s="26" t="n">
        <v>37</v>
      </c>
      <c r="Q639" s="26" t="n">
        <f aca="false">IFERROR(3600/(P639/O639),"")</f>
        <v>778.378378378378</v>
      </c>
      <c r="R639" s="26" t="n">
        <v>7099</v>
      </c>
      <c r="S639" s="26" t="n">
        <v>71</v>
      </c>
      <c r="T639" s="26" t="n">
        <f aca="false">IFERROR(J639-S639,"")</f>
        <v>649</v>
      </c>
      <c r="U639" s="26"/>
      <c r="V639" s="26"/>
      <c r="W639" s="26"/>
      <c r="X639" s="26" t="n">
        <v>7</v>
      </c>
      <c r="Y639" s="26"/>
      <c r="Z639" s="26"/>
      <c r="AA639" s="26"/>
      <c r="AB639" s="26"/>
      <c r="AC639" s="26" t="n">
        <v>7</v>
      </c>
      <c r="AD639" s="26"/>
      <c r="AE639" s="26"/>
      <c r="AF639" s="26" t="n">
        <f aca="false">SUM(U639:AE639)</f>
        <v>14</v>
      </c>
      <c r="AG639" s="26" t="n">
        <f aca="false">T639-AF639</f>
        <v>635</v>
      </c>
      <c r="AH639" s="28" t="n">
        <f aca="false">IFERROR(AG639/T639,"")</f>
        <v>0.978428351309707</v>
      </c>
      <c r="AI639" s="29" t="n">
        <f aca="false">IFERROR(R639/AG639*60,"")</f>
        <v>670.771653543307</v>
      </c>
      <c r="AJ639" s="30" t="n">
        <f aca="false">IFERROR(AI639/Q639,"")</f>
        <v>0.861755249343832</v>
      </c>
      <c r="AK639" s="31" t="n">
        <f aca="false">IFERROR(R639/(T639/60*Q639),"")</f>
        <v>0.843165767847971</v>
      </c>
      <c r="AL639" s="26" t="n">
        <v>11</v>
      </c>
      <c r="AM639" s="26" t="n">
        <v>9</v>
      </c>
      <c r="AN639" s="26" t="n">
        <v>2</v>
      </c>
      <c r="AO639" s="26" t="n">
        <v>6</v>
      </c>
      <c r="AP639" s="26" t="n">
        <v>8</v>
      </c>
      <c r="AQ639" s="26" t="n">
        <v>9</v>
      </c>
      <c r="AR639" s="26" t="n">
        <v>6</v>
      </c>
      <c r="AS639" s="26" t="n">
        <v>11</v>
      </c>
      <c r="AT639" s="26" t="n">
        <v>5</v>
      </c>
      <c r="AU639" s="26" t="n">
        <v>7</v>
      </c>
      <c r="AV639" s="26" t="n">
        <f aca="false">SUM(AL639:AU639)</f>
        <v>74</v>
      </c>
      <c r="AW639" s="32" t="n">
        <f aca="false">IFERROR(AV639/R639*1000000,"")</f>
        <v>10424.0033807579</v>
      </c>
      <c r="AX639" s="33" t="n">
        <f aca="false">IFERROR((R639-AV639)/R639,"")</f>
        <v>0.989575996619242</v>
      </c>
      <c r="AY639" s="34" t="n">
        <f aca="false">IFERROR(AH639*AJ639*AX639,"")</f>
        <v>0.834376605033385</v>
      </c>
      <c r="AZ639" s="35" t="s">
        <v>93</v>
      </c>
    </row>
    <row r="640" customFormat="false" ht="12.75" hidden="false" customHeight="true" outlineLevel="0" collapsed="false">
      <c r="A640" s="24" t="n">
        <v>636</v>
      </c>
      <c r="B640" s="25" t="n">
        <v>46234</v>
      </c>
      <c r="C640" s="25" t="n">
        <v>12</v>
      </c>
      <c r="D640" s="26" t="s">
        <v>87</v>
      </c>
      <c r="E640" s="26" t="s">
        <v>101</v>
      </c>
      <c r="F640" s="26" t="s">
        <v>81</v>
      </c>
      <c r="G640" s="26" t="s">
        <v>13</v>
      </c>
      <c r="H640" s="27" t="n">
        <v>0.354166666666667</v>
      </c>
      <c r="I640" s="27" t="n">
        <v>0.854166666666667</v>
      </c>
      <c r="J640" s="26" t="n">
        <f aca="false">IFERROR((I640-H640)*24*60,"")</f>
        <v>720</v>
      </c>
      <c r="K640" s="26" t="s">
        <v>89</v>
      </c>
      <c r="L640" s="26" t="s">
        <v>90</v>
      </c>
      <c r="M640" s="26" t="s">
        <v>103</v>
      </c>
      <c r="N640" s="26" t="s">
        <v>104</v>
      </c>
      <c r="O640" s="26" t="n">
        <v>8</v>
      </c>
      <c r="P640" s="26" t="n">
        <v>58</v>
      </c>
      <c r="Q640" s="26" t="n">
        <f aca="false">IFERROR(3600/(P640/O640),"")</f>
        <v>496.551724137931</v>
      </c>
      <c r="R640" s="26" t="n">
        <v>4569</v>
      </c>
      <c r="S640" s="26" t="n">
        <v>66</v>
      </c>
      <c r="T640" s="26" t="n">
        <f aca="false">IFERROR(J640-S640,"")</f>
        <v>654</v>
      </c>
      <c r="U640" s="26"/>
      <c r="V640" s="26"/>
      <c r="W640" s="26"/>
      <c r="X640" s="26"/>
      <c r="Y640" s="26"/>
      <c r="Z640" s="26" t="n">
        <v>4</v>
      </c>
      <c r="AA640" s="26"/>
      <c r="AB640" s="26"/>
      <c r="AC640" s="26" t="n">
        <v>4</v>
      </c>
      <c r="AD640" s="26"/>
      <c r="AE640" s="26" t="n">
        <v>6</v>
      </c>
      <c r="AF640" s="26" t="n">
        <f aca="false">SUM(U640:AE640)</f>
        <v>14</v>
      </c>
      <c r="AG640" s="26" t="n">
        <f aca="false">T640-AF640</f>
        <v>640</v>
      </c>
      <c r="AH640" s="28" t="n">
        <f aca="false">IFERROR(AG640/T640,"")</f>
        <v>0.978593272171254</v>
      </c>
      <c r="AI640" s="29" t="n">
        <f aca="false">IFERROR(R640/AG640*60,"")</f>
        <v>428.34375</v>
      </c>
      <c r="AJ640" s="30" t="n">
        <f aca="false">IFERROR(AI640/Q640,"")</f>
        <v>0.86263671875</v>
      </c>
      <c r="AK640" s="31" t="n">
        <f aca="false">IFERROR(R640/(T640/60*Q640),"")</f>
        <v>0.844170489296636</v>
      </c>
      <c r="AL640" s="26"/>
      <c r="AM640" s="26" t="n">
        <v>1</v>
      </c>
      <c r="AN640" s="26" t="n">
        <v>1</v>
      </c>
      <c r="AO640" s="26" t="n">
        <v>4</v>
      </c>
      <c r="AP640" s="26"/>
      <c r="AQ640" s="26" t="n">
        <v>4</v>
      </c>
      <c r="AR640" s="26" t="n">
        <v>3</v>
      </c>
      <c r="AS640" s="26" t="n">
        <v>2</v>
      </c>
      <c r="AT640" s="26" t="n">
        <v>2</v>
      </c>
      <c r="AU640" s="26" t="n">
        <v>2</v>
      </c>
      <c r="AV640" s="26" t="n">
        <f aca="false">SUM(AL640:AU640)</f>
        <v>19</v>
      </c>
      <c r="AW640" s="32" t="n">
        <f aca="false">IFERROR(AV640/R640*1000000,"")</f>
        <v>4158.45918144014</v>
      </c>
      <c r="AX640" s="33" t="n">
        <f aca="false">IFERROR((R640-AV640)/R640,"")</f>
        <v>0.99584154081856</v>
      </c>
      <c r="AY640" s="34" t="n">
        <f aca="false">IFERROR(AH640*AJ640*AX640,"")</f>
        <v>0.84066004077472</v>
      </c>
      <c r="AZ640" s="35"/>
    </row>
    <row r="641" customFormat="false" ht="12.75" hidden="false" customHeight="true" outlineLevel="0" collapsed="false">
      <c r="A641" s="24" t="n">
        <v>637</v>
      </c>
      <c r="B641" s="25" t="n">
        <v>46235</v>
      </c>
      <c r="C641" s="25" t="n">
        <v>12</v>
      </c>
      <c r="D641" s="26" t="s">
        <v>71</v>
      </c>
      <c r="E641" s="26" t="s">
        <v>72</v>
      </c>
      <c r="F641" s="26" t="s">
        <v>73</v>
      </c>
      <c r="G641" s="26" t="s">
        <v>8</v>
      </c>
      <c r="H641" s="27" t="n">
        <v>0.354166666666667</v>
      </c>
      <c r="I641" s="27" t="n">
        <v>0.854166666666667</v>
      </c>
      <c r="J641" s="26" t="n">
        <f aca="false">IFERROR((I641-H641)*24*60,"")</f>
        <v>720</v>
      </c>
      <c r="K641" s="26" t="s">
        <v>82</v>
      </c>
      <c r="L641" s="26" t="s">
        <v>107</v>
      </c>
      <c r="M641" s="26" t="s">
        <v>76</v>
      </c>
      <c r="N641" s="26" t="s">
        <v>77</v>
      </c>
      <c r="O641" s="26" t="n">
        <v>2</v>
      </c>
      <c r="P641" s="26" t="n">
        <v>32</v>
      </c>
      <c r="Q641" s="26" t="n">
        <f aca="false">IFERROR(3600/(P641/O641),"")</f>
        <v>225</v>
      </c>
      <c r="R641" s="26" t="n">
        <v>2080</v>
      </c>
      <c r="S641" s="26" t="n">
        <v>33</v>
      </c>
      <c r="T641" s="26" t="n">
        <f aca="false">IFERROR(J641-S641,"")</f>
        <v>687</v>
      </c>
      <c r="U641" s="26"/>
      <c r="V641" s="26" t="n">
        <v>20</v>
      </c>
      <c r="W641" s="26"/>
      <c r="X641" s="26"/>
      <c r="Y641" s="26"/>
      <c r="Z641" s="26"/>
      <c r="AA641" s="26"/>
      <c r="AB641" s="26"/>
      <c r="AC641" s="26"/>
      <c r="AD641" s="26"/>
      <c r="AE641" s="26"/>
      <c r="AF641" s="26" t="n">
        <f aca="false">SUM(U641:AE641)</f>
        <v>20</v>
      </c>
      <c r="AG641" s="26" t="n">
        <f aca="false">T641-AF641</f>
        <v>667</v>
      </c>
      <c r="AH641" s="28" t="n">
        <f aca="false">IFERROR(AG641/T641,"")</f>
        <v>0.970887918486172</v>
      </c>
      <c r="AI641" s="29" t="n">
        <f aca="false">IFERROR(R641/AG641*60,"")</f>
        <v>187.106446776612</v>
      </c>
      <c r="AJ641" s="30" t="n">
        <f aca="false">IFERROR(AI641/Q641,"")</f>
        <v>0.831584207896052</v>
      </c>
      <c r="AK641" s="31" t="n">
        <f aca="false">IFERROR(R641/(T641/60*Q641),"")</f>
        <v>0.80737506065017</v>
      </c>
      <c r="AL641" s="26" t="n">
        <v>6</v>
      </c>
      <c r="AM641" s="26" t="n">
        <v>3</v>
      </c>
      <c r="AN641" s="26" t="n">
        <v>4</v>
      </c>
      <c r="AO641" s="26" t="n">
        <v>8</v>
      </c>
      <c r="AP641" s="26" t="n">
        <v>4</v>
      </c>
      <c r="AQ641" s="26" t="n">
        <v>5</v>
      </c>
      <c r="AR641" s="26" t="n">
        <v>6</v>
      </c>
      <c r="AS641" s="26" t="n">
        <v>6</v>
      </c>
      <c r="AT641" s="26" t="n">
        <v>3</v>
      </c>
      <c r="AU641" s="26" t="n">
        <v>5</v>
      </c>
      <c r="AV641" s="26" t="n">
        <f aca="false">SUM(AL641:AU641)</f>
        <v>50</v>
      </c>
      <c r="AW641" s="32" t="n">
        <f aca="false">IFERROR(AV641/R641*1000000,"")</f>
        <v>24038.4615384615</v>
      </c>
      <c r="AX641" s="33" t="n">
        <f aca="false">IFERROR((R641-AV641)/R641,"")</f>
        <v>0.975961538461538</v>
      </c>
      <c r="AY641" s="34" t="n">
        <f aca="false">IFERROR(AH641*AJ641*AX641,"")</f>
        <v>0.787967006307618</v>
      </c>
      <c r="AZ641" s="35" t="s">
        <v>86</v>
      </c>
    </row>
    <row r="642" customFormat="false" ht="12.75" hidden="false" customHeight="true" outlineLevel="0" collapsed="false">
      <c r="A642" s="24" t="n">
        <v>638</v>
      </c>
      <c r="B642" s="25" t="n">
        <v>46235</v>
      </c>
      <c r="C642" s="25" t="n">
        <v>12</v>
      </c>
      <c r="D642" s="26" t="s">
        <v>79</v>
      </c>
      <c r="E642" s="26" t="s">
        <v>80</v>
      </c>
      <c r="F642" s="26" t="s">
        <v>81</v>
      </c>
      <c r="G642" s="26" t="s">
        <v>9</v>
      </c>
      <c r="H642" s="27" t="n">
        <v>0.354166666666667</v>
      </c>
      <c r="I642" s="27" t="n">
        <v>0.854166666666667</v>
      </c>
      <c r="J642" s="26" t="n">
        <f aca="false">IFERROR((I642-H642)*24*60,"")</f>
        <v>720</v>
      </c>
      <c r="K642" s="26" t="s">
        <v>89</v>
      </c>
      <c r="L642" s="26" t="s">
        <v>107</v>
      </c>
      <c r="M642" s="26" t="s">
        <v>84</v>
      </c>
      <c r="N642" s="26" t="s">
        <v>85</v>
      </c>
      <c r="O642" s="26" t="n">
        <v>8</v>
      </c>
      <c r="P642" s="26" t="n">
        <v>51</v>
      </c>
      <c r="Q642" s="26" t="n">
        <f aca="false">IFERROR(3600/(P642/O642),"")</f>
        <v>564.705882352941</v>
      </c>
      <c r="R642" s="26" t="n">
        <v>5641</v>
      </c>
      <c r="S642" s="26" t="n">
        <v>62</v>
      </c>
      <c r="T642" s="26" t="n">
        <f aca="false">IFERROR(J642-S642,"")</f>
        <v>658</v>
      </c>
      <c r="U642" s="26"/>
      <c r="V642" s="26"/>
      <c r="W642" s="26" t="n">
        <v>8</v>
      </c>
      <c r="X642" s="26"/>
      <c r="Y642" s="26"/>
      <c r="Z642" s="26"/>
      <c r="AA642" s="26"/>
      <c r="AB642" s="26"/>
      <c r="AC642" s="26"/>
      <c r="AD642" s="26"/>
      <c r="AE642" s="26"/>
      <c r="AF642" s="26" t="n">
        <f aca="false">SUM(U642:AE642)</f>
        <v>8</v>
      </c>
      <c r="AG642" s="26" t="n">
        <f aca="false">T642-AF642</f>
        <v>650</v>
      </c>
      <c r="AH642" s="28" t="n">
        <f aca="false">IFERROR(AG642/T642,"")</f>
        <v>0.987841945288754</v>
      </c>
      <c r="AI642" s="29" t="n">
        <f aca="false">IFERROR(R642/AG642*60,"")</f>
        <v>520.707692307692</v>
      </c>
      <c r="AJ642" s="30" t="n">
        <f aca="false">IFERROR(AI642/Q642,"")</f>
        <v>0.922086538461538</v>
      </c>
      <c r="AK642" s="31" t="n">
        <f aca="false">IFERROR(R642/(T642/60*Q642),"")</f>
        <v>0.910875759878419</v>
      </c>
      <c r="AL642" s="26" t="n">
        <v>8</v>
      </c>
      <c r="AM642" s="26" t="n">
        <v>13</v>
      </c>
      <c r="AN642" s="26" t="n">
        <v>10</v>
      </c>
      <c r="AO642" s="26" t="n">
        <v>11</v>
      </c>
      <c r="AP642" s="26" t="n">
        <v>12</v>
      </c>
      <c r="AQ642" s="26" t="n">
        <v>9</v>
      </c>
      <c r="AR642" s="26" t="n">
        <v>9</v>
      </c>
      <c r="AS642" s="26" t="n">
        <v>10</v>
      </c>
      <c r="AT642" s="26" t="n">
        <v>11</v>
      </c>
      <c r="AU642" s="26" t="n">
        <v>5</v>
      </c>
      <c r="AV642" s="26" t="n">
        <f aca="false">SUM(AL642:AU642)</f>
        <v>98</v>
      </c>
      <c r="AW642" s="32" t="n">
        <f aca="false">IFERROR(AV642/R642*1000000,"")</f>
        <v>17372.8062400284</v>
      </c>
      <c r="AX642" s="33" t="n">
        <f aca="false">IFERROR((R642-AV642)/R642,"")</f>
        <v>0.982627193759972</v>
      </c>
      <c r="AY642" s="34" t="n">
        <f aca="false">IFERROR(AH642*AJ642*AX642,"")</f>
        <v>0.895051291793313</v>
      </c>
      <c r="AZ642" s="35" t="s">
        <v>86</v>
      </c>
    </row>
    <row r="643" customFormat="false" ht="12.75" hidden="false" customHeight="true" outlineLevel="0" collapsed="false">
      <c r="A643" s="24" t="n">
        <v>639</v>
      </c>
      <c r="B643" s="25" t="n">
        <v>46235</v>
      </c>
      <c r="C643" s="25" t="n">
        <v>12</v>
      </c>
      <c r="D643" s="26" t="s">
        <v>87</v>
      </c>
      <c r="E643" s="26" t="s">
        <v>88</v>
      </c>
      <c r="F643" s="26" t="s">
        <v>73</v>
      </c>
      <c r="G643" s="26" t="s">
        <v>10</v>
      </c>
      <c r="H643" s="27" t="n">
        <v>0.354166666666667</v>
      </c>
      <c r="I643" s="27" t="n">
        <v>0.854166666666667</v>
      </c>
      <c r="J643" s="26" t="n">
        <f aca="false">IFERROR((I643-H643)*24*60,"")</f>
        <v>720</v>
      </c>
      <c r="K643" s="26" t="s">
        <v>105</v>
      </c>
      <c r="L643" s="26" t="s">
        <v>108</v>
      </c>
      <c r="M643" s="26" t="s">
        <v>91</v>
      </c>
      <c r="N643" s="26" t="s">
        <v>92</v>
      </c>
      <c r="O643" s="26" t="n">
        <v>2</v>
      </c>
      <c r="P643" s="26" t="n">
        <v>71</v>
      </c>
      <c r="Q643" s="26" t="n">
        <f aca="false">IFERROR(3600/(P643/O643),"")</f>
        <v>101.408450704225</v>
      </c>
      <c r="R643" s="26" t="n">
        <v>936</v>
      </c>
      <c r="S643" s="26" t="n">
        <v>59</v>
      </c>
      <c r="T643" s="26" t="n">
        <f aca="false">IFERROR(J643-S643,"")</f>
        <v>661</v>
      </c>
      <c r="U643" s="26"/>
      <c r="V643" s="26"/>
      <c r="W643" s="26"/>
      <c r="X643" s="26"/>
      <c r="Y643" s="26"/>
      <c r="Z643" s="26"/>
      <c r="AA643" s="26" t="n">
        <v>18</v>
      </c>
      <c r="AB643" s="26"/>
      <c r="AC643" s="26"/>
      <c r="AD643" s="26"/>
      <c r="AE643" s="26"/>
      <c r="AF643" s="26" t="n">
        <f aca="false">SUM(U643:AE643)</f>
        <v>18</v>
      </c>
      <c r="AG643" s="26" t="n">
        <f aca="false">T643-AF643</f>
        <v>643</v>
      </c>
      <c r="AH643" s="28" t="n">
        <f aca="false">IFERROR(AG643/T643,"")</f>
        <v>0.972768532526475</v>
      </c>
      <c r="AI643" s="29" t="n">
        <f aca="false">IFERROR(R643/AG643*60,"")</f>
        <v>87.3405909797823</v>
      </c>
      <c r="AJ643" s="30" t="n">
        <f aca="false">IFERROR(AI643/Q643,"")</f>
        <v>0.861275272161742</v>
      </c>
      <c r="AK643" s="31" t="n">
        <f aca="false">IFERROR(R643/(T643/60*Q643),"")</f>
        <v>0.837821482602118</v>
      </c>
      <c r="AL643" s="26" t="n">
        <v>2</v>
      </c>
      <c r="AM643" s="26" t="n">
        <v>2</v>
      </c>
      <c r="AN643" s="26" t="n">
        <v>2</v>
      </c>
      <c r="AO643" s="26"/>
      <c r="AP643" s="26" t="n">
        <v>2</v>
      </c>
      <c r="AQ643" s="26"/>
      <c r="AR643" s="26" t="n">
        <v>2</v>
      </c>
      <c r="AS643" s="26" t="n">
        <v>1</v>
      </c>
      <c r="AT643" s="26" t="n">
        <v>4</v>
      </c>
      <c r="AU643" s="26"/>
      <c r="AV643" s="26" t="n">
        <f aca="false">SUM(AL643:AU643)</f>
        <v>15</v>
      </c>
      <c r="AW643" s="32" t="n">
        <f aca="false">IFERROR(AV643/R643*1000000,"")</f>
        <v>16025.641025641</v>
      </c>
      <c r="AX643" s="33" t="n">
        <f aca="false">IFERROR((R643-AV643)/R643,"")</f>
        <v>0.983974358974359</v>
      </c>
      <c r="AY643" s="34" t="n">
        <f aca="false">IFERROR(AH643*AJ643*AX643,"")</f>
        <v>0.824394856278366</v>
      </c>
      <c r="AZ643" s="35" t="s">
        <v>86</v>
      </c>
    </row>
    <row r="644" customFormat="false" ht="12.75" hidden="false" customHeight="true" outlineLevel="0" collapsed="false">
      <c r="A644" s="24" t="n">
        <v>640</v>
      </c>
      <c r="B644" s="25" t="n">
        <v>46236</v>
      </c>
      <c r="C644" s="25" t="n">
        <v>12</v>
      </c>
      <c r="D644" s="26" t="s">
        <v>71</v>
      </c>
      <c r="E644" s="26" t="s">
        <v>94</v>
      </c>
      <c r="F644" s="26" t="s">
        <v>81</v>
      </c>
      <c r="G644" s="26" t="s">
        <v>11</v>
      </c>
      <c r="H644" s="27" t="n">
        <v>0.354166666666667</v>
      </c>
      <c r="I644" s="27" t="n">
        <v>0.854166666666667</v>
      </c>
      <c r="J644" s="26" t="n">
        <f aca="false">IFERROR((I644-H644)*24*60,"")</f>
        <v>720</v>
      </c>
      <c r="K644" s="26" t="s">
        <v>82</v>
      </c>
      <c r="L644" s="26" t="s">
        <v>107</v>
      </c>
      <c r="M644" s="26" t="s">
        <v>95</v>
      </c>
      <c r="N644" s="26" t="s">
        <v>96</v>
      </c>
      <c r="O644" s="26" t="n">
        <v>2</v>
      </c>
      <c r="P644" s="26" t="n">
        <v>48</v>
      </c>
      <c r="Q644" s="26" t="n">
        <f aca="false">IFERROR(3600/(P644/O644),"")</f>
        <v>150</v>
      </c>
      <c r="R644" s="26" t="n">
        <v>1623</v>
      </c>
      <c r="S644" s="26" t="n">
        <v>32</v>
      </c>
      <c r="T644" s="26" t="n">
        <f aca="false">IFERROR(J644-S644,"")</f>
        <v>688</v>
      </c>
      <c r="U644" s="26"/>
      <c r="V644" s="26"/>
      <c r="W644" s="26"/>
      <c r="X644" s="26"/>
      <c r="Y644" s="26"/>
      <c r="Z644" s="26"/>
      <c r="AA644" s="26" t="n">
        <v>31</v>
      </c>
      <c r="AB644" s="26"/>
      <c r="AC644" s="26"/>
      <c r="AD644" s="26" t="n">
        <v>7</v>
      </c>
      <c r="AE644" s="26"/>
      <c r="AF644" s="26" t="n">
        <f aca="false">SUM(U644:AE644)</f>
        <v>38</v>
      </c>
      <c r="AG644" s="26" t="n">
        <f aca="false">T644-AF644</f>
        <v>650</v>
      </c>
      <c r="AH644" s="28" t="n">
        <f aca="false">IFERROR(AG644/T644,"")</f>
        <v>0.944767441860465</v>
      </c>
      <c r="AI644" s="29" t="n">
        <f aca="false">IFERROR(R644/AG644*60,"")</f>
        <v>149.815384615385</v>
      </c>
      <c r="AJ644" s="30" t="n">
        <f aca="false">IFERROR(AI644/Q644,"")</f>
        <v>0.998769230769231</v>
      </c>
      <c r="AK644" s="31" t="n">
        <f aca="false">IFERROR(R644/(T644/60*Q644),"")</f>
        <v>0.943604651162791</v>
      </c>
      <c r="AL644" s="26" t="n">
        <v>4</v>
      </c>
      <c r="AM644" s="26" t="n">
        <v>2</v>
      </c>
      <c r="AN644" s="26" t="n">
        <v>1</v>
      </c>
      <c r="AO644" s="26" t="n">
        <v>2</v>
      </c>
      <c r="AP644" s="26" t="n">
        <v>2</v>
      </c>
      <c r="AQ644" s="26" t="n">
        <v>1</v>
      </c>
      <c r="AR644" s="26" t="n">
        <v>2</v>
      </c>
      <c r="AS644" s="26" t="n">
        <v>1</v>
      </c>
      <c r="AT644" s="26"/>
      <c r="AU644" s="26" t="n">
        <v>5</v>
      </c>
      <c r="AV644" s="26" t="n">
        <f aca="false">SUM(AL644:AU644)</f>
        <v>20</v>
      </c>
      <c r="AW644" s="32" t="n">
        <f aca="false">IFERROR(AV644/R644*1000000,"")</f>
        <v>12322.8589032656</v>
      </c>
      <c r="AX644" s="33" t="n">
        <f aca="false">IFERROR((R644-AV644)/R644,"")</f>
        <v>0.987677141096734</v>
      </c>
      <c r="AY644" s="34" t="n">
        <f aca="false">IFERROR(AH644*AJ644*AX644,"")</f>
        <v>0.931976744186047</v>
      </c>
      <c r="AZ644" s="35"/>
    </row>
    <row r="645" customFormat="false" ht="12.75" hidden="false" customHeight="true" outlineLevel="0" collapsed="false">
      <c r="A645" s="24" t="n">
        <v>641</v>
      </c>
      <c r="B645" s="25" t="n">
        <v>46236</v>
      </c>
      <c r="C645" s="25" t="n">
        <v>12</v>
      </c>
      <c r="D645" s="26" t="s">
        <v>79</v>
      </c>
      <c r="E645" s="26" t="s">
        <v>97</v>
      </c>
      <c r="F645" s="26" t="s">
        <v>73</v>
      </c>
      <c r="G645" s="26" t="s">
        <v>12</v>
      </c>
      <c r="H645" s="27" t="n">
        <v>0.354166666666667</v>
      </c>
      <c r="I645" s="27" t="n">
        <v>0.854166666666667</v>
      </c>
      <c r="J645" s="26" t="n">
        <f aca="false">IFERROR((I645-H645)*24*60,"")</f>
        <v>720</v>
      </c>
      <c r="K645" s="26" t="s">
        <v>105</v>
      </c>
      <c r="L645" s="26" t="s">
        <v>102</v>
      </c>
      <c r="M645" s="26" t="s">
        <v>99</v>
      </c>
      <c r="N645" s="26" t="s">
        <v>100</v>
      </c>
      <c r="O645" s="26" t="n">
        <v>1</v>
      </c>
      <c r="P645" s="26" t="n">
        <v>59</v>
      </c>
      <c r="Q645" s="26" t="n">
        <f aca="false">IFERROR(3600/(P645/O645),"")</f>
        <v>61.0169491525424</v>
      </c>
      <c r="R645" s="26" t="n">
        <v>476</v>
      </c>
      <c r="S645" s="26" t="n">
        <v>73</v>
      </c>
      <c r="T645" s="26" t="n">
        <f aca="false">IFERROR(J645-S645,"")</f>
        <v>647</v>
      </c>
      <c r="U645" s="26"/>
      <c r="V645" s="26"/>
      <c r="W645" s="26"/>
      <c r="X645" s="26" t="n">
        <v>3</v>
      </c>
      <c r="Y645" s="26"/>
      <c r="Z645" s="26"/>
      <c r="AA645" s="26"/>
      <c r="AB645" s="26"/>
      <c r="AC645" s="26"/>
      <c r="AD645" s="26" t="n">
        <v>7</v>
      </c>
      <c r="AE645" s="26"/>
      <c r="AF645" s="26" t="n">
        <f aca="false">SUM(U645:AE645)</f>
        <v>10</v>
      </c>
      <c r="AG645" s="26" t="n">
        <f aca="false">T645-AF645</f>
        <v>637</v>
      </c>
      <c r="AH645" s="28" t="n">
        <f aca="false">IFERROR(AG645/T645,"")</f>
        <v>0.984544049459042</v>
      </c>
      <c r="AI645" s="29" t="n">
        <f aca="false">IFERROR(R645/AG645*60,"")</f>
        <v>44.8351648351648</v>
      </c>
      <c r="AJ645" s="30" t="n">
        <f aca="false">IFERROR(AI645/Q645,"")</f>
        <v>0.734798534798535</v>
      </c>
      <c r="AK645" s="31" t="n">
        <f aca="false">IFERROR(R645/(T645/60*Q645),"")</f>
        <v>0.72344152498712</v>
      </c>
      <c r="AL645" s="26"/>
      <c r="AM645" s="26"/>
      <c r="AN645" s="26" t="n">
        <v>1</v>
      </c>
      <c r="AO645" s="26"/>
      <c r="AP645" s="26"/>
      <c r="AQ645" s="26"/>
      <c r="AR645" s="26" t="n">
        <v>1</v>
      </c>
      <c r="AS645" s="26" t="n">
        <v>1</v>
      </c>
      <c r="AT645" s="26" t="n">
        <v>1</v>
      </c>
      <c r="AU645" s="26" t="n">
        <v>1</v>
      </c>
      <c r="AV645" s="26" t="n">
        <f aca="false">SUM(AL645:AU645)</f>
        <v>5</v>
      </c>
      <c r="AW645" s="32" t="n">
        <f aca="false">IFERROR(AV645/R645*1000000,"")</f>
        <v>10504.2016806723</v>
      </c>
      <c r="AX645" s="33" t="n">
        <f aca="false">IFERROR((R645-AV645)/R645,"")</f>
        <v>0.989495798319328</v>
      </c>
      <c r="AY645" s="34" t="n">
        <f aca="false">IFERROR(AH645*AJ645*AX645,"")</f>
        <v>0.715842349304482</v>
      </c>
      <c r="AZ645" s="35" t="s">
        <v>93</v>
      </c>
    </row>
    <row r="646" customFormat="false" ht="12.75" hidden="false" customHeight="true" outlineLevel="0" collapsed="false">
      <c r="A646" s="24" t="n">
        <v>642</v>
      </c>
      <c r="B646" s="25" t="n">
        <v>46236</v>
      </c>
      <c r="C646" s="25" t="n">
        <v>12</v>
      </c>
      <c r="D646" s="26" t="s">
        <v>87</v>
      </c>
      <c r="E646" s="26" t="s">
        <v>101</v>
      </c>
      <c r="F646" s="26" t="s">
        <v>81</v>
      </c>
      <c r="G646" s="26" t="s">
        <v>13</v>
      </c>
      <c r="H646" s="27" t="n">
        <v>0.354166666666667</v>
      </c>
      <c r="I646" s="27" t="n">
        <v>0.854166666666667</v>
      </c>
      <c r="J646" s="26" t="n">
        <f aca="false">IFERROR((I646-H646)*24*60,"")</f>
        <v>720</v>
      </c>
      <c r="K646" s="26" t="s">
        <v>89</v>
      </c>
      <c r="L646" s="26" t="s">
        <v>90</v>
      </c>
      <c r="M646" s="26" t="s">
        <v>103</v>
      </c>
      <c r="N646" s="26" t="s">
        <v>104</v>
      </c>
      <c r="O646" s="26" t="n">
        <v>4</v>
      </c>
      <c r="P646" s="26" t="n">
        <v>39</v>
      </c>
      <c r="Q646" s="26" t="n">
        <f aca="false">IFERROR(3600/(P646/O646),"")</f>
        <v>369.230769230769</v>
      </c>
      <c r="R646" s="26" t="n">
        <v>2986</v>
      </c>
      <c r="S646" s="26" t="n">
        <v>41</v>
      </c>
      <c r="T646" s="26" t="n">
        <f aca="false">IFERROR(J646-S646,"")</f>
        <v>679</v>
      </c>
      <c r="U646" s="26"/>
      <c r="V646" s="26"/>
      <c r="W646" s="26" t="n">
        <v>9</v>
      </c>
      <c r="X646" s="26"/>
      <c r="Y646" s="26"/>
      <c r="Z646" s="26"/>
      <c r="AA646" s="26"/>
      <c r="AB646" s="26"/>
      <c r="AC646" s="26"/>
      <c r="AD646" s="26"/>
      <c r="AE646" s="26"/>
      <c r="AF646" s="26" t="n">
        <f aca="false">SUM(U646:AE646)</f>
        <v>9</v>
      </c>
      <c r="AG646" s="26" t="n">
        <f aca="false">T646-AF646</f>
        <v>670</v>
      </c>
      <c r="AH646" s="28" t="n">
        <f aca="false">IFERROR(AG646/T646,"")</f>
        <v>0.986745213549337</v>
      </c>
      <c r="AI646" s="29" t="n">
        <f aca="false">IFERROR(R646/AG646*60,"")</f>
        <v>267.402985074627</v>
      </c>
      <c r="AJ646" s="30" t="n">
        <f aca="false">IFERROR(AI646/Q646,"")</f>
        <v>0.724216417910448</v>
      </c>
      <c r="AK646" s="31" t="n">
        <f aca="false">IFERROR(R646/(T646/60*Q646),"")</f>
        <v>0.714617083946981</v>
      </c>
      <c r="AL646" s="26" t="n">
        <v>6</v>
      </c>
      <c r="AM646" s="26" t="n">
        <v>7</v>
      </c>
      <c r="AN646" s="26" t="n">
        <v>6</v>
      </c>
      <c r="AO646" s="26" t="n">
        <v>8</v>
      </c>
      <c r="AP646" s="26" t="n">
        <v>5</v>
      </c>
      <c r="AQ646" s="26" t="n">
        <v>9</v>
      </c>
      <c r="AR646" s="26" t="n">
        <v>4</v>
      </c>
      <c r="AS646" s="26" t="n">
        <v>3</v>
      </c>
      <c r="AT646" s="26" t="n">
        <v>6</v>
      </c>
      <c r="AU646" s="26" t="n">
        <v>5</v>
      </c>
      <c r="AV646" s="26" t="n">
        <f aca="false">SUM(AL646:AU646)</f>
        <v>59</v>
      </c>
      <c r="AW646" s="32" t="n">
        <f aca="false">IFERROR(AV646/R646*1000000,"")</f>
        <v>19758.8747488279</v>
      </c>
      <c r="AX646" s="33" t="n">
        <f aca="false">IFERROR((R646-AV646)/R646,"")</f>
        <v>0.980241125251172</v>
      </c>
      <c r="AY646" s="34" t="n">
        <f aca="false">IFERROR(AH646*AJ646*AX646,"")</f>
        <v>0.7004970544919</v>
      </c>
      <c r="AZ646" s="35" t="s">
        <v>86</v>
      </c>
    </row>
    <row r="647" customFormat="false" ht="12.75" hidden="false" customHeight="true" outlineLevel="0" collapsed="false">
      <c r="A647" s="24" t="n">
        <v>643</v>
      </c>
      <c r="B647" s="25" t="n">
        <v>46237</v>
      </c>
      <c r="C647" s="25" t="n">
        <v>12</v>
      </c>
      <c r="D647" s="26" t="s">
        <v>71</v>
      </c>
      <c r="E647" s="26" t="s">
        <v>72</v>
      </c>
      <c r="F647" s="26" t="s">
        <v>73</v>
      </c>
      <c r="G647" s="26" t="s">
        <v>8</v>
      </c>
      <c r="H647" s="27" t="n">
        <v>0.354166666666667</v>
      </c>
      <c r="I647" s="27" t="n">
        <v>0.854166666666667</v>
      </c>
      <c r="J647" s="26" t="n">
        <f aca="false">IFERROR((I647-H647)*24*60,"")</f>
        <v>720</v>
      </c>
      <c r="K647" s="26" t="s">
        <v>105</v>
      </c>
      <c r="L647" s="26" t="s">
        <v>98</v>
      </c>
      <c r="M647" s="26" t="s">
        <v>76</v>
      </c>
      <c r="N647" s="26" t="s">
        <v>77</v>
      </c>
      <c r="O647" s="26" t="n">
        <v>1</v>
      </c>
      <c r="P647" s="26" t="n">
        <v>55</v>
      </c>
      <c r="Q647" s="26" t="n">
        <f aca="false">IFERROR(3600/(P647/O647),"")</f>
        <v>65.4545454545455</v>
      </c>
      <c r="R647" s="26" t="n">
        <v>673</v>
      </c>
      <c r="S647" s="26" t="n">
        <v>51</v>
      </c>
      <c r="T647" s="26" t="n">
        <f aca="false">IFERROR(J647-S647,"")</f>
        <v>669</v>
      </c>
      <c r="U647" s="26" t="n">
        <v>34</v>
      </c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 t="n">
        <f aca="false">SUM(U647:AE647)</f>
        <v>34</v>
      </c>
      <c r="AG647" s="26" t="n">
        <f aca="false">T647-AF647</f>
        <v>635</v>
      </c>
      <c r="AH647" s="28" t="n">
        <f aca="false">IFERROR(AG647/T647,"")</f>
        <v>0.949177877428999</v>
      </c>
      <c r="AI647" s="29" t="n">
        <f aca="false">IFERROR(R647/AG647*60,"")</f>
        <v>63.5905511811024</v>
      </c>
      <c r="AJ647" s="30" t="n">
        <f aca="false">IFERROR(AI647/Q647,"")</f>
        <v>0.971522309711286</v>
      </c>
      <c r="AK647" s="31" t="n">
        <f aca="false">IFERROR(R647/(T647/60*Q647),"")</f>
        <v>0.922147483806677</v>
      </c>
      <c r="AL647" s="26"/>
      <c r="AM647" s="26"/>
      <c r="AN647" s="26"/>
      <c r="AO647" s="26"/>
      <c r="AP647" s="26"/>
      <c r="AQ647" s="26" t="n">
        <v>1</v>
      </c>
      <c r="AR647" s="26" t="n">
        <v>1</v>
      </c>
      <c r="AS647" s="26" t="n">
        <v>1</v>
      </c>
      <c r="AT647" s="26" t="n">
        <v>1</v>
      </c>
      <c r="AU647" s="26"/>
      <c r="AV647" s="26" t="n">
        <f aca="false">SUM(AL647:AU647)</f>
        <v>4</v>
      </c>
      <c r="AW647" s="32" t="n">
        <f aca="false">IFERROR(AV647/R647*1000000,"")</f>
        <v>5943.53640416048</v>
      </c>
      <c r="AX647" s="33" t="n">
        <f aca="false">IFERROR((R647-AV647)/R647,"")</f>
        <v>0.99405646359584</v>
      </c>
      <c r="AY647" s="34" t="n">
        <f aca="false">IFERROR(AH647*AJ647*AX647,"")</f>
        <v>0.916666666666667</v>
      </c>
      <c r="AZ647" s="35" t="s">
        <v>78</v>
      </c>
    </row>
    <row r="648" customFormat="false" ht="12.75" hidden="false" customHeight="true" outlineLevel="0" collapsed="false">
      <c r="A648" s="24" t="n">
        <v>644</v>
      </c>
      <c r="B648" s="25" t="n">
        <v>46237</v>
      </c>
      <c r="C648" s="25" t="n">
        <v>12</v>
      </c>
      <c r="D648" s="26" t="s">
        <v>79</v>
      </c>
      <c r="E648" s="26" t="s">
        <v>80</v>
      </c>
      <c r="F648" s="26" t="s">
        <v>81</v>
      </c>
      <c r="G648" s="26" t="s">
        <v>9</v>
      </c>
      <c r="H648" s="27" t="n">
        <v>0.354166666666667</v>
      </c>
      <c r="I648" s="27" t="n">
        <v>0.854166666666667</v>
      </c>
      <c r="J648" s="26" t="n">
        <f aca="false">IFERROR((I648-H648)*24*60,"")</f>
        <v>720</v>
      </c>
      <c r="K648" s="26" t="s">
        <v>105</v>
      </c>
      <c r="L648" s="26" t="s">
        <v>90</v>
      </c>
      <c r="M648" s="26" t="s">
        <v>84</v>
      </c>
      <c r="N648" s="26" t="s">
        <v>85</v>
      </c>
      <c r="O648" s="26" t="n">
        <v>8</v>
      </c>
      <c r="P648" s="26" t="n">
        <v>24</v>
      </c>
      <c r="Q648" s="26" t="n">
        <f aca="false">IFERROR(3600/(P648/O648),"")</f>
        <v>1200</v>
      </c>
      <c r="R648" s="26" t="n">
        <v>10609</v>
      </c>
      <c r="S648" s="26" t="n">
        <v>38</v>
      </c>
      <c r="T648" s="26" t="n">
        <f aca="false">IFERROR(J648-S648,"")</f>
        <v>682</v>
      </c>
      <c r="U648" s="26"/>
      <c r="V648" s="26"/>
      <c r="W648" s="26"/>
      <c r="X648" s="26" t="n">
        <v>15</v>
      </c>
      <c r="Y648" s="26"/>
      <c r="Z648" s="26"/>
      <c r="AA648" s="26"/>
      <c r="AB648" s="26"/>
      <c r="AC648" s="26" t="n">
        <v>11</v>
      </c>
      <c r="AD648" s="26"/>
      <c r="AE648" s="26"/>
      <c r="AF648" s="26" t="n">
        <f aca="false">SUM(U648:AE648)</f>
        <v>26</v>
      </c>
      <c r="AG648" s="26" t="n">
        <f aca="false">T648-AF648</f>
        <v>656</v>
      </c>
      <c r="AH648" s="28" t="n">
        <f aca="false">IFERROR(AG648/T648,"")</f>
        <v>0.961876832844575</v>
      </c>
      <c r="AI648" s="29" t="n">
        <f aca="false">IFERROR(R648/AG648*60,"")</f>
        <v>970.335365853659</v>
      </c>
      <c r="AJ648" s="30" t="n">
        <f aca="false">IFERROR(AI648/Q648,"")</f>
        <v>0.808612804878049</v>
      </c>
      <c r="AK648" s="31" t="n">
        <f aca="false">IFERROR(R648/(T648/60*Q648),"")</f>
        <v>0.777785923753666</v>
      </c>
      <c r="AL648" s="26" t="n">
        <v>19</v>
      </c>
      <c r="AM648" s="26" t="n">
        <v>13</v>
      </c>
      <c r="AN648" s="26" t="n">
        <v>18</v>
      </c>
      <c r="AO648" s="26" t="n">
        <v>23</v>
      </c>
      <c r="AP648" s="26" t="n">
        <v>20</v>
      </c>
      <c r="AQ648" s="26" t="n">
        <v>18</v>
      </c>
      <c r="AR648" s="26" t="n">
        <v>25</v>
      </c>
      <c r="AS648" s="26" t="n">
        <v>29</v>
      </c>
      <c r="AT648" s="26" t="n">
        <v>16</v>
      </c>
      <c r="AU648" s="26" t="n">
        <v>25</v>
      </c>
      <c r="AV648" s="26" t="n">
        <f aca="false">SUM(AL648:AU648)</f>
        <v>206</v>
      </c>
      <c r="AW648" s="32" t="n">
        <f aca="false">IFERROR(AV648/R648*1000000,"")</f>
        <v>19417.4757281553</v>
      </c>
      <c r="AX648" s="33" t="n">
        <f aca="false">IFERROR((R648-AV648)/R648,"")</f>
        <v>0.980582524271845</v>
      </c>
      <c r="AY648" s="34" t="n">
        <f aca="false">IFERROR(AH648*AJ648*AX648,"")</f>
        <v>0.762683284457478</v>
      </c>
      <c r="AZ648" s="35"/>
    </row>
    <row r="649" customFormat="false" ht="12.75" hidden="false" customHeight="true" outlineLevel="0" collapsed="false">
      <c r="A649" s="24" t="n">
        <v>645</v>
      </c>
      <c r="B649" s="25" t="n">
        <v>46237</v>
      </c>
      <c r="C649" s="25" t="n">
        <v>12</v>
      </c>
      <c r="D649" s="26" t="s">
        <v>87</v>
      </c>
      <c r="E649" s="26" t="s">
        <v>88</v>
      </c>
      <c r="F649" s="26" t="s">
        <v>73</v>
      </c>
      <c r="G649" s="26" t="s">
        <v>10</v>
      </c>
      <c r="H649" s="27" t="n">
        <v>0.354166666666667</v>
      </c>
      <c r="I649" s="27" t="n">
        <v>0.854166666666667</v>
      </c>
      <c r="J649" s="26" t="n">
        <f aca="false">IFERROR((I649-H649)*24*60,"")</f>
        <v>720</v>
      </c>
      <c r="K649" s="26" t="s">
        <v>89</v>
      </c>
      <c r="L649" s="26" t="s">
        <v>83</v>
      </c>
      <c r="M649" s="26" t="s">
        <v>91</v>
      </c>
      <c r="N649" s="26" t="s">
        <v>92</v>
      </c>
      <c r="O649" s="26" t="n">
        <v>4</v>
      </c>
      <c r="P649" s="26" t="n">
        <v>42</v>
      </c>
      <c r="Q649" s="26" t="n">
        <f aca="false">IFERROR(3600/(P649/O649),"")</f>
        <v>342.857142857143</v>
      </c>
      <c r="R649" s="26" t="n">
        <v>3233</v>
      </c>
      <c r="S649" s="26" t="n">
        <v>46</v>
      </c>
      <c r="T649" s="26" t="n">
        <f aca="false">IFERROR(J649-S649,"")</f>
        <v>674</v>
      </c>
      <c r="U649" s="26"/>
      <c r="V649" s="26" t="n">
        <v>10</v>
      </c>
      <c r="W649" s="26"/>
      <c r="X649" s="26"/>
      <c r="Y649" s="26"/>
      <c r="Z649" s="26"/>
      <c r="AA649" s="26"/>
      <c r="AB649" s="26"/>
      <c r="AC649" s="26"/>
      <c r="AD649" s="26" t="n">
        <v>4</v>
      </c>
      <c r="AE649" s="26"/>
      <c r="AF649" s="26" t="n">
        <f aca="false">SUM(U649:AE649)</f>
        <v>14</v>
      </c>
      <c r="AG649" s="26" t="n">
        <f aca="false">T649-AF649</f>
        <v>660</v>
      </c>
      <c r="AH649" s="28" t="n">
        <f aca="false">IFERROR(AG649/T649,"")</f>
        <v>0.979228486646884</v>
      </c>
      <c r="AI649" s="29" t="n">
        <f aca="false">IFERROR(R649/AG649*60,"")</f>
        <v>293.909090909091</v>
      </c>
      <c r="AJ649" s="30" t="n">
        <f aca="false">IFERROR(AI649/Q649,"")</f>
        <v>0.857234848484848</v>
      </c>
      <c r="AK649" s="31" t="n">
        <f aca="false">IFERROR(R649/(T649/60*Q649),"")</f>
        <v>0.83942878338279</v>
      </c>
      <c r="AL649" s="26" t="n">
        <v>6</v>
      </c>
      <c r="AM649" s="26" t="n">
        <v>3</v>
      </c>
      <c r="AN649" s="26" t="n">
        <v>7</v>
      </c>
      <c r="AO649" s="26" t="n">
        <v>4</v>
      </c>
      <c r="AP649" s="26" t="n">
        <v>3</v>
      </c>
      <c r="AQ649" s="26" t="n">
        <v>6</v>
      </c>
      <c r="AR649" s="26" t="n">
        <v>5</v>
      </c>
      <c r="AS649" s="26" t="n">
        <v>5</v>
      </c>
      <c r="AT649" s="26" t="n">
        <v>9</v>
      </c>
      <c r="AU649" s="26" t="n">
        <v>5</v>
      </c>
      <c r="AV649" s="26" t="n">
        <f aca="false">SUM(AL649:AU649)</f>
        <v>53</v>
      </c>
      <c r="AW649" s="32" t="n">
        <f aca="false">IFERROR(AV649/R649*1000000,"")</f>
        <v>16393.4426229508</v>
      </c>
      <c r="AX649" s="33" t="n">
        <f aca="false">IFERROR((R649-AV649)/R649,"")</f>
        <v>0.983606557377049</v>
      </c>
      <c r="AY649" s="34" t="n">
        <f aca="false">IFERROR(AH649*AJ649*AX649,"")</f>
        <v>0.82566765578635</v>
      </c>
      <c r="AZ649" s="35"/>
    </row>
    <row r="650" customFormat="false" ht="12.75" hidden="false" customHeight="true" outlineLevel="0" collapsed="false">
      <c r="A650" s="24" t="n">
        <v>646</v>
      </c>
      <c r="B650" s="25" t="n">
        <v>46238</v>
      </c>
      <c r="C650" s="25" t="n">
        <v>12</v>
      </c>
      <c r="D650" s="26" t="s">
        <v>71</v>
      </c>
      <c r="E650" s="26" t="s">
        <v>94</v>
      </c>
      <c r="F650" s="26" t="s">
        <v>81</v>
      </c>
      <c r="G650" s="26" t="s">
        <v>11</v>
      </c>
      <c r="H650" s="27" t="n">
        <v>0.354166666666667</v>
      </c>
      <c r="I650" s="27" t="n">
        <v>0.854166666666667</v>
      </c>
      <c r="J650" s="26" t="n">
        <f aca="false">IFERROR((I650-H650)*24*60,"")</f>
        <v>720</v>
      </c>
      <c r="K650" s="26" t="s">
        <v>89</v>
      </c>
      <c r="L650" s="26" t="s">
        <v>98</v>
      </c>
      <c r="M650" s="26" t="s">
        <v>95</v>
      </c>
      <c r="N650" s="26" t="s">
        <v>96</v>
      </c>
      <c r="O650" s="26" t="n">
        <v>4</v>
      </c>
      <c r="P650" s="26" t="n">
        <v>75</v>
      </c>
      <c r="Q650" s="26" t="n">
        <f aca="false">IFERROR(3600/(P650/O650),"")</f>
        <v>192</v>
      </c>
      <c r="R650" s="26" t="n">
        <v>1627</v>
      </c>
      <c r="S650" s="26" t="n">
        <v>42</v>
      </c>
      <c r="T650" s="26" t="n">
        <f aca="false">IFERROR(J650-S650,"")</f>
        <v>678</v>
      </c>
      <c r="U650" s="26"/>
      <c r="V650" s="26"/>
      <c r="W650" s="26" t="n">
        <v>6</v>
      </c>
      <c r="X650" s="26"/>
      <c r="Y650" s="26"/>
      <c r="Z650" s="26" t="n">
        <v>7</v>
      </c>
      <c r="AA650" s="26"/>
      <c r="AB650" s="26"/>
      <c r="AC650" s="26"/>
      <c r="AD650" s="26"/>
      <c r="AE650" s="26"/>
      <c r="AF650" s="26" t="n">
        <f aca="false">SUM(U650:AE650)</f>
        <v>13</v>
      </c>
      <c r="AG650" s="26" t="n">
        <f aca="false">T650-AF650</f>
        <v>665</v>
      </c>
      <c r="AH650" s="28" t="n">
        <f aca="false">IFERROR(AG650/T650,"")</f>
        <v>0.980825958702065</v>
      </c>
      <c r="AI650" s="29" t="n">
        <f aca="false">IFERROR(R650/AG650*60,"")</f>
        <v>146.796992481203</v>
      </c>
      <c r="AJ650" s="30" t="n">
        <f aca="false">IFERROR(AI650/Q650,"")</f>
        <v>0.764567669172932</v>
      </c>
      <c r="AK650" s="31" t="n">
        <f aca="false">IFERROR(R650/(T650/60*Q650),"")</f>
        <v>0.749907817109144</v>
      </c>
      <c r="AL650" s="26" t="n">
        <v>5</v>
      </c>
      <c r="AM650" s="26" t="n">
        <v>3</v>
      </c>
      <c r="AN650" s="26" t="n">
        <v>2</v>
      </c>
      <c r="AO650" s="26" t="n">
        <v>2</v>
      </c>
      <c r="AP650" s="26" t="n">
        <v>2</v>
      </c>
      <c r="AQ650" s="26" t="n">
        <v>1</v>
      </c>
      <c r="AR650" s="26" t="n">
        <v>2</v>
      </c>
      <c r="AS650" s="26" t="n">
        <v>2</v>
      </c>
      <c r="AT650" s="26" t="n">
        <v>4</v>
      </c>
      <c r="AU650" s="26" t="n">
        <v>1</v>
      </c>
      <c r="AV650" s="26" t="n">
        <f aca="false">SUM(AL650:AU650)</f>
        <v>24</v>
      </c>
      <c r="AW650" s="32" t="n">
        <f aca="false">IFERROR(AV650/R650*1000000,"")</f>
        <v>14751.0755992624</v>
      </c>
      <c r="AX650" s="33" t="n">
        <f aca="false">IFERROR((R650-AV650)/R650,"")</f>
        <v>0.985248924400738</v>
      </c>
      <c r="AY650" s="34" t="n">
        <f aca="false">IFERROR(AH650*AJ650*AX650,"")</f>
        <v>0.73884587020649</v>
      </c>
      <c r="AZ650" s="35" t="s">
        <v>93</v>
      </c>
    </row>
    <row r="651" customFormat="false" ht="12.75" hidden="false" customHeight="true" outlineLevel="0" collapsed="false">
      <c r="A651" s="24" t="n">
        <v>647</v>
      </c>
      <c r="B651" s="25" t="n">
        <v>46238</v>
      </c>
      <c r="C651" s="25" t="n">
        <v>12</v>
      </c>
      <c r="D651" s="26" t="s">
        <v>79</v>
      </c>
      <c r="E651" s="26" t="s">
        <v>97</v>
      </c>
      <c r="F651" s="26" t="s">
        <v>73</v>
      </c>
      <c r="G651" s="26" t="s">
        <v>12</v>
      </c>
      <c r="H651" s="27" t="n">
        <v>0.354166666666667</v>
      </c>
      <c r="I651" s="27" t="n">
        <v>0.854166666666667</v>
      </c>
      <c r="J651" s="26" t="n">
        <f aca="false">IFERROR((I651-H651)*24*60,"")</f>
        <v>720</v>
      </c>
      <c r="K651" s="26" t="s">
        <v>82</v>
      </c>
      <c r="L651" s="26" t="s">
        <v>102</v>
      </c>
      <c r="M651" s="26" t="s">
        <v>99</v>
      </c>
      <c r="N651" s="26" t="s">
        <v>100</v>
      </c>
      <c r="O651" s="26" t="n">
        <v>2</v>
      </c>
      <c r="P651" s="26" t="n">
        <v>25</v>
      </c>
      <c r="Q651" s="26" t="n">
        <f aca="false">IFERROR(3600/(P651/O651),"")</f>
        <v>288</v>
      </c>
      <c r="R651" s="26" t="n">
        <v>2313</v>
      </c>
      <c r="S651" s="26" t="n">
        <v>73</v>
      </c>
      <c r="T651" s="26" t="n">
        <f aca="false">IFERROR(J651-S651,"")</f>
        <v>647</v>
      </c>
      <c r="U651" s="26"/>
      <c r="V651" s="26" t="n">
        <v>3</v>
      </c>
      <c r="W651" s="26"/>
      <c r="X651" s="26"/>
      <c r="Y651" s="26"/>
      <c r="Z651" s="26"/>
      <c r="AA651" s="26"/>
      <c r="AB651" s="26"/>
      <c r="AC651" s="26"/>
      <c r="AD651" s="26"/>
      <c r="AE651" s="26"/>
      <c r="AF651" s="26" t="n">
        <f aca="false">SUM(U651:AE651)</f>
        <v>3</v>
      </c>
      <c r="AG651" s="26" t="n">
        <f aca="false">T651-AF651</f>
        <v>644</v>
      </c>
      <c r="AH651" s="28" t="n">
        <f aca="false">IFERROR(AG651/T651,"")</f>
        <v>0.995363214837713</v>
      </c>
      <c r="AI651" s="29" t="n">
        <f aca="false">IFERROR(R651/AG651*60,"")</f>
        <v>215.496894409938</v>
      </c>
      <c r="AJ651" s="30" t="n">
        <f aca="false">IFERROR(AI651/Q651,"")</f>
        <v>0.748253105590062</v>
      </c>
      <c r="AK651" s="31" t="n">
        <f aca="false">IFERROR(R651/(T651/60*Q651),"")</f>
        <v>0.744783616692427</v>
      </c>
      <c r="AL651" s="26" t="n">
        <v>5</v>
      </c>
      <c r="AM651" s="26" t="n">
        <v>3</v>
      </c>
      <c r="AN651" s="26" t="n">
        <v>4</v>
      </c>
      <c r="AO651" s="26" t="n">
        <v>3</v>
      </c>
      <c r="AP651" s="26" t="n">
        <v>7</v>
      </c>
      <c r="AQ651" s="26" t="n">
        <v>5</v>
      </c>
      <c r="AR651" s="26" t="n">
        <v>5</v>
      </c>
      <c r="AS651" s="26" t="n">
        <v>5</v>
      </c>
      <c r="AT651" s="26" t="n">
        <v>3</v>
      </c>
      <c r="AU651" s="26" t="n">
        <v>3</v>
      </c>
      <c r="AV651" s="26" t="n">
        <f aca="false">SUM(AL651:AU651)</f>
        <v>43</v>
      </c>
      <c r="AW651" s="32" t="n">
        <f aca="false">IFERROR(AV651/R651*1000000,"")</f>
        <v>18590.5750108085</v>
      </c>
      <c r="AX651" s="33" t="n">
        <f aca="false">IFERROR((R651-AV651)/R651,"")</f>
        <v>0.981409424989192</v>
      </c>
      <c r="AY651" s="34" t="n">
        <f aca="false">IFERROR(AH651*AJ651*AX651,"")</f>
        <v>0.730937660999485</v>
      </c>
      <c r="AZ651" s="35" t="s">
        <v>86</v>
      </c>
    </row>
    <row r="652" customFormat="false" ht="12.75" hidden="false" customHeight="true" outlineLevel="0" collapsed="false">
      <c r="A652" s="24" t="n">
        <v>648</v>
      </c>
      <c r="B652" s="25" t="n">
        <v>46238</v>
      </c>
      <c r="C652" s="25" t="n">
        <v>12</v>
      </c>
      <c r="D652" s="26" t="s">
        <v>87</v>
      </c>
      <c r="E652" s="26" t="s">
        <v>101</v>
      </c>
      <c r="F652" s="26" t="s">
        <v>81</v>
      </c>
      <c r="G652" s="26" t="s">
        <v>13</v>
      </c>
      <c r="H652" s="27" t="n">
        <v>0.354166666666667</v>
      </c>
      <c r="I652" s="27" t="n">
        <v>0.854166666666667</v>
      </c>
      <c r="J652" s="26" t="n">
        <f aca="false">IFERROR((I652-H652)*24*60,"")</f>
        <v>720</v>
      </c>
      <c r="K652" s="26" t="s">
        <v>89</v>
      </c>
      <c r="L652" s="26" t="s">
        <v>102</v>
      </c>
      <c r="M652" s="26" t="s">
        <v>103</v>
      </c>
      <c r="N652" s="26" t="s">
        <v>104</v>
      </c>
      <c r="O652" s="26" t="n">
        <v>8</v>
      </c>
      <c r="P652" s="26" t="n">
        <v>58</v>
      </c>
      <c r="Q652" s="26" t="n">
        <f aca="false">IFERROR(3600/(P652/O652),"")</f>
        <v>496.551724137931</v>
      </c>
      <c r="R652" s="26" t="n">
        <v>5033</v>
      </c>
      <c r="S652" s="26" t="n">
        <v>45</v>
      </c>
      <c r="T652" s="26" t="n">
        <f aca="false">IFERROR(J652-S652,"")</f>
        <v>675</v>
      </c>
      <c r="U652" s="26" t="n">
        <v>16</v>
      </c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 t="n">
        <f aca="false">SUM(U652:AE652)</f>
        <v>16</v>
      </c>
      <c r="AG652" s="26" t="n">
        <f aca="false">T652-AF652</f>
        <v>659</v>
      </c>
      <c r="AH652" s="28" t="n">
        <f aca="false">IFERROR(AG652/T652,"")</f>
        <v>0.976296296296296</v>
      </c>
      <c r="AI652" s="29" t="n">
        <f aca="false">IFERROR(R652/AG652*60,"")</f>
        <v>458.239757207891</v>
      </c>
      <c r="AJ652" s="30" t="n">
        <f aca="false">IFERROR(AI652/Q652,"")</f>
        <v>0.922843955488113</v>
      </c>
      <c r="AK652" s="31" t="n">
        <f aca="false">IFERROR(R652/(T652/60*Q652),"")</f>
        <v>0.900969135802469</v>
      </c>
      <c r="AL652" s="26" t="n">
        <v>6</v>
      </c>
      <c r="AM652" s="26" t="n">
        <v>13</v>
      </c>
      <c r="AN652" s="26" t="n">
        <v>14</v>
      </c>
      <c r="AO652" s="26" t="n">
        <v>8</v>
      </c>
      <c r="AP652" s="26" t="n">
        <v>8</v>
      </c>
      <c r="AQ652" s="26" t="n">
        <v>11</v>
      </c>
      <c r="AR652" s="26" t="n">
        <v>5</v>
      </c>
      <c r="AS652" s="26" t="n">
        <v>13</v>
      </c>
      <c r="AT652" s="26" t="n">
        <v>9</v>
      </c>
      <c r="AU652" s="26" t="n">
        <v>15</v>
      </c>
      <c r="AV652" s="26" t="n">
        <f aca="false">SUM(AL652:AU652)</f>
        <v>102</v>
      </c>
      <c r="AW652" s="32" t="n">
        <f aca="false">IFERROR(AV652/R652*1000000,"")</f>
        <v>20266.2427975363</v>
      </c>
      <c r="AX652" s="33" t="n">
        <f aca="false">IFERROR((R652-AV652)/R652,"")</f>
        <v>0.979733757202464</v>
      </c>
      <c r="AY652" s="34" t="n">
        <f aca="false">IFERROR(AH652*AJ652*AX652,"")</f>
        <v>0.88270987654321</v>
      </c>
      <c r="AZ652" s="35"/>
    </row>
    <row r="653" customFormat="false" ht="12.75" hidden="false" customHeight="true" outlineLevel="0" collapsed="false">
      <c r="A653" s="24" t="n">
        <v>649</v>
      </c>
      <c r="B653" s="25" t="n">
        <v>46239</v>
      </c>
      <c r="C653" s="25" t="n">
        <v>12</v>
      </c>
      <c r="D653" s="26" t="s">
        <v>71</v>
      </c>
      <c r="E653" s="26" t="s">
        <v>72</v>
      </c>
      <c r="F653" s="26" t="s">
        <v>73</v>
      </c>
      <c r="G653" s="26" t="s">
        <v>8</v>
      </c>
      <c r="H653" s="27" t="n">
        <v>0.354166666666667</v>
      </c>
      <c r="I653" s="27" t="n">
        <v>0.854166666666667</v>
      </c>
      <c r="J653" s="26" t="n">
        <f aca="false">IFERROR((I653-H653)*24*60,"")</f>
        <v>720</v>
      </c>
      <c r="K653" s="26" t="s">
        <v>105</v>
      </c>
      <c r="L653" s="26" t="s">
        <v>106</v>
      </c>
      <c r="M653" s="26" t="s">
        <v>76</v>
      </c>
      <c r="N653" s="26" t="s">
        <v>77</v>
      </c>
      <c r="O653" s="26" t="n">
        <v>4</v>
      </c>
      <c r="P653" s="26" t="n">
        <v>36</v>
      </c>
      <c r="Q653" s="26" t="n">
        <f aca="false">IFERROR(3600/(P653/O653),"")</f>
        <v>400</v>
      </c>
      <c r="R653" s="26" t="n">
        <v>3947</v>
      </c>
      <c r="S653" s="26" t="n">
        <v>40</v>
      </c>
      <c r="T653" s="26" t="n">
        <f aca="false">IFERROR(J653-S653,"")</f>
        <v>680</v>
      </c>
      <c r="U653" s="26"/>
      <c r="V653" s="26"/>
      <c r="W653" s="26"/>
      <c r="X653" s="26"/>
      <c r="Y653" s="26" t="n">
        <v>13</v>
      </c>
      <c r="Z653" s="26"/>
      <c r="AA653" s="26"/>
      <c r="AB653" s="26"/>
      <c r="AC653" s="26"/>
      <c r="AD653" s="26"/>
      <c r="AE653" s="26"/>
      <c r="AF653" s="26" t="n">
        <f aca="false">SUM(U653:AE653)</f>
        <v>13</v>
      </c>
      <c r="AG653" s="26" t="n">
        <f aca="false">T653-AF653</f>
        <v>667</v>
      </c>
      <c r="AH653" s="28" t="n">
        <f aca="false">IFERROR(AG653/T653,"")</f>
        <v>0.980882352941176</v>
      </c>
      <c r="AI653" s="29" t="n">
        <f aca="false">IFERROR(R653/AG653*60,"")</f>
        <v>355.052473763118</v>
      </c>
      <c r="AJ653" s="30" t="n">
        <f aca="false">IFERROR(AI653/Q653,"")</f>
        <v>0.887631184407796</v>
      </c>
      <c r="AK653" s="31" t="n">
        <f aca="false">IFERROR(R653/(T653/60*Q653),"")</f>
        <v>0.870661764705882</v>
      </c>
      <c r="AL653" s="26" t="n">
        <v>10</v>
      </c>
      <c r="AM653" s="26" t="n">
        <v>3</v>
      </c>
      <c r="AN653" s="26" t="n">
        <v>8</v>
      </c>
      <c r="AO653" s="26" t="n">
        <v>5</v>
      </c>
      <c r="AP653" s="26" t="n">
        <v>8</v>
      </c>
      <c r="AQ653" s="26" t="n">
        <v>4</v>
      </c>
      <c r="AR653" s="26" t="n">
        <v>8</v>
      </c>
      <c r="AS653" s="26" t="n">
        <v>6</v>
      </c>
      <c r="AT653" s="26" t="n">
        <v>3</v>
      </c>
      <c r="AU653" s="26" t="n">
        <v>9</v>
      </c>
      <c r="AV653" s="26" t="n">
        <f aca="false">SUM(AL653:AU653)</f>
        <v>64</v>
      </c>
      <c r="AW653" s="32" t="n">
        <f aca="false">IFERROR(AV653/R653*1000000,"")</f>
        <v>16214.8467190271</v>
      </c>
      <c r="AX653" s="33" t="n">
        <f aca="false">IFERROR((R653-AV653)/R653,"")</f>
        <v>0.983785153280973</v>
      </c>
      <c r="AY653" s="34" t="n">
        <f aca="false">IFERROR(AH653*AJ653*AX653,"")</f>
        <v>0.856544117647059</v>
      </c>
      <c r="AZ653" s="35" t="s">
        <v>86</v>
      </c>
    </row>
    <row r="654" customFormat="false" ht="12.75" hidden="false" customHeight="true" outlineLevel="0" collapsed="false">
      <c r="A654" s="24" t="n">
        <v>650</v>
      </c>
      <c r="B654" s="25" t="n">
        <v>46239</v>
      </c>
      <c r="C654" s="25" t="n">
        <v>12</v>
      </c>
      <c r="D654" s="26" t="s">
        <v>79</v>
      </c>
      <c r="E654" s="26" t="s">
        <v>80</v>
      </c>
      <c r="F654" s="26" t="s">
        <v>81</v>
      </c>
      <c r="G654" s="26" t="s">
        <v>9</v>
      </c>
      <c r="H654" s="27" t="n">
        <v>0.354166666666667</v>
      </c>
      <c r="I654" s="27" t="n">
        <v>0.854166666666667</v>
      </c>
      <c r="J654" s="26" t="n">
        <f aca="false">IFERROR((I654-H654)*24*60,"")</f>
        <v>720</v>
      </c>
      <c r="K654" s="26" t="s">
        <v>82</v>
      </c>
      <c r="L654" s="26" t="s">
        <v>83</v>
      </c>
      <c r="M654" s="26" t="s">
        <v>84</v>
      </c>
      <c r="N654" s="26" t="s">
        <v>85</v>
      </c>
      <c r="O654" s="26" t="n">
        <v>1</v>
      </c>
      <c r="P654" s="26" t="n">
        <v>69</v>
      </c>
      <c r="Q654" s="26" t="n">
        <f aca="false">IFERROR(3600/(P654/O654),"")</f>
        <v>52.1739130434783</v>
      </c>
      <c r="R654" s="26" t="n">
        <v>409</v>
      </c>
      <c r="S654" s="26" t="n">
        <v>59</v>
      </c>
      <c r="T654" s="26" t="n">
        <f aca="false">IFERROR(J654-S654,"")</f>
        <v>661</v>
      </c>
      <c r="U654" s="26"/>
      <c r="V654" s="26"/>
      <c r="W654" s="26" t="n">
        <v>8</v>
      </c>
      <c r="X654" s="26"/>
      <c r="Y654" s="26" t="n">
        <v>9</v>
      </c>
      <c r="Z654" s="26"/>
      <c r="AA654" s="26"/>
      <c r="AB654" s="26"/>
      <c r="AC654" s="26"/>
      <c r="AD654" s="26"/>
      <c r="AE654" s="26"/>
      <c r="AF654" s="26" t="n">
        <f aca="false">SUM(U654:AE654)</f>
        <v>17</v>
      </c>
      <c r="AG654" s="26" t="n">
        <f aca="false">T654-AF654</f>
        <v>644</v>
      </c>
      <c r="AH654" s="28" t="n">
        <f aca="false">IFERROR(AG654/T654,"")</f>
        <v>0.97428139183056</v>
      </c>
      <c r="AI654" s="29" t="n">
        <f aca="false">IFERROR(R654/AG654*60,"")</f>
        <v>38.1055900621118</v>
      </c>
      <c r="AJ654" s="30" t="n">
        <f aca="false">IFERROR(AI654/Q654,"")</f>
        <v>0.730357142857143</v>
      </c>
      <c r="AK654" s="31" t="n">
        <f aca="false">IFERROR(R654/(T654/60*Q654),"")</f>
        <v>0.711573373676248</v>
      </c>
      <c r="AL654" s="26" t="n">
        <v>2</v>
      </c>
      <c r="AM654" s="26" t="n">
        <v>1</v>
      </c>
      <c r="AN654" s="26"/>
      <c r="AO654" s="26"/>
      <c r="AP654" s="26" t="n">
        <v>1</v>
      </c>
      <c r="AQ654" s="26" t="n">
        <v>1</v>
      </c>
      <c r="AR654" s="26" t="n">
        <v>1</v>
      </c>
      <c r="AS654" s="26" t="n">
        <v>1</v>
      </c>
      <c r="AT654" s="26" t="n">
        <v>1</v>
      </c>
      <c r="AU654" s="26" t="n">
        <v>1</v>
      </c>
      <c r="AV654" s="26" t="n">
        <f aca="false">SUM(AL654:AU654)</f>
        <v>9</v>
      </c>
      <c r="AW654" s="32" t="n">
        <f aca="false">IFERROR(AV654/R654*1000000,"")</f>
        <v>22004.8899755501</v>
      </c>
      <c r="AX654" s="33" t="n">
        <f aca="false">IFERROR((R654-AV654)/R654,"")</f>
        <v>0.97799511002445</v>
      </c>
      <c r="AY654" s="34" t="n">
        <f aca="false">IFERROR(AH654*AJ654*AX654,"")</f>
        <v>0.695915279878971</v>
      </c>
      <c r="AZ654" s="35" t="s">
        <v>86</v>
      </c>
    </row>
    <row r="655" customFormat="false" ht="12.75" hidden="false" customHeight="true" outlineLevel="0" collapsed="false">
      <c r="A655" s="24" t="n">
        <v>651</v>
      </c>
      <c r="B655" s="25" t="n">
        <v>46239</v>
      </c>
      <c r="C655" s="25" t="n">
        <v>12</v>
      </c>
      <c r="D655" s="26" t="s">
        <v>87</v>
      </c>
      <c r="E655" s="26" t="s">
        <v>88</v>
      </c>
      <c r="F655" s="26" t="s">
        <v>73</v>
      </c>
      <c r="G655" s="26" t="s">
        <v>10</v>
      </c>
      <c r="H655" s="27" t="n">
        <v>0.354166666666667</v>
      </c>
      <c r="I655" s="27" t="n">
        <v>0.854166666666667</v>
      </c>
      <c r="J655" s="26" t="n">
        <f aca="false">IFERROR((I655-H655)*24*60,"")</f>
        <v>720</v>
      </c>
      <c r="K655" s="26" t="s">
        <v>89</v>
      </c>
      <c r="L655" s="26" t="s">
        <v>75</v>
      </c>
      <c r="M655" s="26" t="s">
        <v>91</v>
      </c>
      <c r="N655" s="26" t="s">
        <v>92</v>
      </c>
      <c r="O655" s="26" t="n">
        <v>4</v>
      </c>
      <c r="P655" s="26" t="n">
        <v>52</v>
      </c>
      <c r="Q655" s="26" t="n">
        <f aca="false">IFERROR(3600/(P655/O655),"")</f>
        <v>276.923076923077</v>
      </c>
      <c r="R655" s="26" t="n">
        <v>2839</v>
      </c>
      <c r="S655" s="26" t="n">
        <v>43</v>
      </c>
      <c r="T655" s="26" t="n">
        <f aca="false">IFERROR(J655-S655,"")</f>
        <v>677</v>
      </c>
      <c r="U655" s="26"/>
      <c r="V655" s="26"/>
      <c r="W655" s="26"/>
      <c r="X655" s="26"/>
      <c r="Y655" s="26"/>
      <c r="Z655" s="26"/>
      <c r="AA655" s="26"/>
      <c r="AB655" s="26"/>
      <c r="AC655" s="26"/>
      <c r="AD655" s="26" t="n">
        <v>8</v>
      </c>
      <c r="AE655" s="26"/>
      <c r="AF655" s="26" t="n">
        <f aca="false">SUM(U655:AE655)</f>
        <v>8</v>
      </c>
      <c r="AG655" s="26" t="n">
        <f aca="false">T655-AF655</f>
        <v>669</v>
      </c>
      <c r="AH655" s="28" t="n">
        <f aca="false">IFERROR(AG655/T655,"")</f>
        <v>0.988183161004431</v>
      </c>
      <c r="AI655" s="29" t="n">
        <f aca="false">IFERROR(R655/AG655*60,"")</f>
        <v>254.618834080718</v>
      </c>
      <c r="AJ655" s="30" t="n">
        <f aca="false">IFERROR(AI655/Q655,"")</f>
        <v>0.919456900847036</v>
      </c>
      <c r="AK655" s="31" t="n">
        <f aca="false">IFERROR(R655/(T655/60*Q655),"")</f>
        <v>0.908591826686362</v>
      </c>
      <c r="AL655" s="26" t="n">
        <v>6</v>
      </c>
      <c r="AM655" s="26" t="n">
        <v>2</v>
      </c>
      <c r="AN655" s="26" t="n">
        <v>5</v>
      </c>
      <c r="AO655" s="26" t="n">
        <v>4</v>
      </c>
      <c r="AP655" s="26" t="n">
        <v>4</v>
      </c>
      <c r="AQ655" s="26" t="n">
        <v>3</v>
      </c>
      <c r="AR655" s="26" t="n">
        <v>6</v>
      </c>
      <c r="AS655" s="26" t="n">
        <v>5</v>
      </c>
      <c r="AT655" s="26"/>
      <c r="AU655" s="26" t="n">
        <v>5</v>
      </c>
      <c r="AV655" s="26" t="n">
        <f aca="false">SUM(AL655:AU655)</f>
        <v>40</v>
      </c>
      <c r="AW655" s="32" t="n">
        <f aca="false">IFERROR(AV655/R655*1000000,"")</f>
        <v>14089.4681225784</v>
      </c>
      <c r="AX655" s="33" t="n">
        <f aca="false">IFERROR((R655-AV655)/R655,"")</f>
        <v>0.985910531877422</v>
      </c>
      <c r="AY655" s="34" t="n">
        <f aca="false">IFERROR(AH655*AJ655*AX655,"")</f>
        <v>0.895790251107829</v>
      </c>
      <c r="AZ655" s="35" t="s">
        <v>93</v>
      </c>
    </row>
    <row r="656" customFormat="false" ht="12.75" hidden="false" customHeight="true" outlineLevel="0" collapsed="false">
      <c r="A656" s="24" t="n">
        <v>652</v>
      </c>
      <c r="B656" s="25" t="n">
        <v>46240</v>
      </c>
      <c r="C656" s="25" t="n">
        <v>12</v>
      </c>
      <c r="D656" s="26" t="s">
        <v>71</v>
      </c>
      <c r="E656" s="26" t="s">
        <v>94</v>
      </c>
      <c r="F656" s="26" t="s">
        <v>81</v>
      </c>
      <c r="G656" s="26" t="s">
        <v>11</v>
      </c>
      <c r="H656" s="27" t="n">
        <v>0.354166666666667</v>
      </c>
      <c r="I656" s="27" t="n">
        <v>0.854166666666667</v>
      </c>
      <c r="J656" s="26" t="n">
        <f aca="false">IFERROR((I656-H656)*24*60,"")</f>
        <v>720</v>
      </c>
      <c r="K656" s="26" t="s">
        <v>82</v>
      </c>
      <c r="L656" s="26" t="s">
        <v>98</v>
      </c>
      <c r="M656" s="26" t="s">
        <v>95</v>
      </c>
      <c r="N656" s="26" t="s">
        <v>96</v>
      </c>
      <c r="O656" s="26" t="n">
        <v>1</v>
      </c>
      <c r="P656" s="26" t="n">
        <v>69</v>
      </c>
      <c r="Q656" s="26" t="n">
        <f aca="false">IFERROR(3600/(P656/O656),"")</f>
        <v>52.1739130434783</v>
      </c>
      <c r="R656" s="26" t="n">
        <v>558</v>
      </c>
      <c r="S656" s="26" t="n">
        <v>50</v>
      </c>
      <c r="T656" s="26" t="n">
        <f aca="false">IFERROR(J656-S656,"")</f>
        <v>670</v>
      </c>
      <c r="U656" s="26"/>
      <c r="V656" s="26" t="n">
        <v>10</v>
      </c>
      <c r="W656" s="26"/>
      <c r="X656" s="26"/>
      <c r="Y656" s="26"/>
      <c r="Z656" s="26"/>
      <c r="AA656" s="26"/>
      <c r="AB656" s="26"/>
      <c r="AC656" s="26"/>
      <c r="AD656" s="26"/>
      <c r="AE656" s="26"/>
      <c r="AF656" s="26" t="n">
        <f aca="false">SUM(U656:AE656)</f>
        <v>10</v>
      </c>
      <c r="AG656" s="26" t="n">
        <f aca="false">T656-AF656</f>
        <v>660</v>
      </c>
      <c r="AH656" s="28" t="n">
        <f aca="false">IFERROR(AG656/T656,"")</f>
        <v>0.985074626865672</v>
      </c>
      <c r="AI656" s="29" t="n">
        <f aca="false">IFERROR(R656/AG656*60,"")</f>
        <v>50.7272727272727</v>
      </c>
      <c r="AJ656" s="30" t="n">
        <f aca="false">IFERROR(AI656/Q656,"")</f>
        <v>0.972272727272727</v>
      </c>
      <c r="AK656" s="31" t="n">
        <f aca="false">IFERROR(R656/(T656/60*Q656),"")</f>
        <v>0.957761194029851</v>
      </c>
      <c r="AL656" s="26" t="n">
        <v>1</v>
      </c>
      <c r="AM656" s="26"/>
      <c r="AN656" s="26" t="n">
        <v>1</v>
      </c>
      <c r="AO656" s="26"/>
      <c r="AP656" s="26"/>
      <c r="AQ656" s="26"/>
      <c r="AR656" s="26" t="n">
        <v>1</v>
      </c>
      <c r="AS656" s="26" t="n">
        <v>2</v>
      </c>
      <c r="AT656" s="26"/>
      <c r="AU656" s="26" t="n">
        <v>1</v>
      </c>
      <c r="AV656" s="26" t="n">
        <f aca="false">SUM(AL656:AU656)</f>
        <v>6</v>
      </c>
      <c r="AW656" s="32" t="n">
        <f aca="false">IFERROR(AV656/R656*1000000,"")</f>
        <v>10752.688172043</v>
      </c>
      <c r="AX656" s="33" t="n">
        <f aca="false">IFERROR((R656-AV656)/R656,"")</f>
        <v>0.989247311827957</v>
      </c>
      <c r="AY656" s="34" t="n">
        <f aca="false">IFERROR(AH656*AJ656*AX656,"")</f>
        <v>0.947462686567164</v>
      </c>
      <c r="AZ656" s="35" t="s">
        <v>86</v>
      </c>
    </row>
    <row r="657" customFormat="false" ht="12.75" hidden="false" customHeight="true" outlineLevel="0" collapsed="false">
      <c r="A657" s="24" t="n">
        <v>653</v>
      </c>
      <c r="B657" s="25" t="n">
        <v>46240</v>
      </c>
      <c r="C657" s="25" t="n">
        <v>12</v>
      </c>
      <c r="D657" s="26" t="s">
        <v>79</v>
      </c>
      <c r="E657" s="26" t="s">
        <v>97</v>
      </c>
      <c r="F657" s="26" t="s">
        <v>73</v>
      </c>
      <c r="G657" s="26" t="s">
        <v>12</v>
      </c>
      <c r="H657" s="27" t="n">
        <v>0.354166666666667</v>
      </c>
      <c r="I657" s="27" t="n">
        <v>0.854166666666667</v>
      </c>
      <c r="J657" s="26" t="n">
        <f aca="false">IFERROR((I657-H657)*24*60,"")</f>
        <v>720</v>
      </c>
      <c r="K657" s="26" t="s">
        <v>82</v>
      </c>
      <c r="L657" s="26" t="s">
        <v>106</v>
      </c>
      <c r="M657" s="26" t="s">
        <v>99</v>
      </c>
      <c r="N657" s="26" t="s">
        <v>100</v>
      </c>
      <c r="O657" s="26" t="n">
        <v>4</v>
      </c>
      <c r="P657" s="26" t="n">
        <v>38</v>
      </c>
      <c r="Q657" s="26" t="n">
        <f aca="false">IFERROR(3600/(P657/O657),"")</f>
        <v>378.947368421053</v>
      </c>
      <c r="R657" s="26" t="n">
        <v>3679</v>
      </c>
      <c r="S657" s="26" t="n">
        <v>69</v>
      </c>
      <c r="T657" s="26" t="n">
        <f aca="false">IFERROR(J657-S657,"")</f>
        <v>651</v>
      </c>
      <c r="U657" s="26" t="n">
        <v>12</v>
      </c>
      <c r="V657" s="26"/>
      <c r="W657" s="26"/>
      <c r="X657" s="26"/>
      <c r="Y657" s="26"/>
      <c r="Z657" s="26" t="n">
        <v>7</v>
      </c>
      <c r="AA657" s="26"/>
      <c r="AB657" s="26"/>
      <c r="AC657" s="26"/>
      <c r="AD657" s="26"/>
      <c r="AE657" s="26"/>
      <c r="AF657" s="26" t="n">
        <f aca="false">SUM(U657:AE657)</f>
        <v>19</v>
      </c>
      <c r="AG657" s="26" t="n">
        <f aca="false">T657-AF657</f>
        <v>632</v>
      </c>
      <c r="AH657" s="28" t="n">
        <f aca="false">IFERROR(AG657/T657,"")</f>
        <v>0.970814132104455</v>
      </c>
      <c r="AI657" s="29" t="n">
        <f aca="false">IFERROR(R657/AG657*60,"")</f>
        <v>349.272151898734</v>
      </c>
      <c r="AJ657" s="30" t="n">
        <f aca="false">IFERROR(AI657/Q657,"")</f>
        <v>0.921690400843882</v>
      </c>
      <c r="AK657" s="31" t="n">
        <f aca="false">IFERROR(R657/(T657/60*Q657),"")</f>
        <v>0.89479006656426</v>
      </c>
      <c r="AL657" s="26" t="n">
        <v>9</v>
      </c>
      <c r="AM657" s="26" t="n">
        <v>7</v>
      </c>
      <c r="AN657" s="26" t="n">
        <v>11</v>
      </c>
      <c r="AO657" s="26" t="n">
        <v>13</v>
      </c>
      <c r="AP657" s="26" t="n">
        <v>8</v>
      </c>
      <c r="AQ657" s="26" t="n">
        <v>11</v>
      </c>
      <c r="AR657" s="26" t="n">
        <v>3</v>
      </c>
      <c r="AS657" s="26" t="n">
        <v>7</v>
      </c>
      <c r="AT657" s="26" t="n">
        <v>5</v>
      </c>
      <c r="AU657" s="26" t="n">
        <v>5</v>
      </c>
      <c r="AV657" s="26" t="n">
        <f aca="false">SUM(AL657:AU657)</f>
        <v>79</v>
      </c>
      <c r="AW657" s="32" t="n">
        <f aca="false">IFERROR(AV657/R657*1000000,"")</f>
        <v>21473.2264202229</v>
      </c>
      <c r="AX657" s="33" t="n">
        <f aca="false">IFERROR((R657-AV657)/R657,"")</f>
        <v>0.978526773579777</v>
      </c>
      <c r="AY657" s="34" t="n">
        <f aca="false">IFERROR(AH657*AJ657*AX657,"")</f>
        <v>0.875576036866359</v>
      </c>
      <c r="AZ657" s="35" t="s">
        <v>78</v>
      </c>
    </row>
    <row r="658" customFormat="false" ht="12.75" hidden="false" customHeight="true" outlineLevel="0" collapsed="false">
      <c r="A658" s="24" t="n">
        <v>654</v>
      </c>
      <c r="B658" s="25" t="n">
        <v>46240</v>
      </c>
      <c r="C658" s="25" t="n">
        <v>12</v>
      </c>
      <c r="D658" s="26" t="s">
        <v>87</v>
      </c>
      <c r="E658" s="26" t="s">
        <v>101</v>
      </c>
      <c r="F658" s="26" t="s">
        <v>81</v>
      </c>
      <c r="G658" s="26" t="s">
        <v>13</v>
      </c>
      <c r="H658" s="27" t="n">
        <v>0.354166666666667</v>
      </c>
      <c r="I658" s="27" t="n">
        <v>0.854166666666667</v>
      </c>
      <c r="J658" s="26" t="n">
        <f aca="false">IFERROR((I658-H658)*24*60,"")</f>
        <v>720</v>
      </c>
      <c r="K658" s="26" t="s">
        <v>82</v>
      </c>
      <c r="L658" s="26" t="s">
        <v>75</v>
      </c>
      <c r="M658" s="26" t="s">
        <v>103</v>
      </c>
      <c r="N658" s="26" t="s">
        <v>104</v>
      </c>
      <c r="O658" s="26" t="n">
        <v>2</v>
      </c>
      <c r="P658" s="26" t="n">
        <v>56</v>
      </c>
      <c r="Q658" s="26" t="n">
        <f aca="false">IFERROR(3600/(P658/O658),"")</f>
        <v>128.571428571429</v>
      </c>
      <c r="R658" s="26" t="n">
        <v>1330</v>
      </c>
      <c r="S658" s="26" t="n">
        <v>38</v>
      </c>
      <c r="T658" s="26" t="n">
        <f aca="false">IFERROR(J658-S658,"")</f>
        <v>682</v>
      </c>
      <c r="U658" s="26"/>
      <c r="V658" s="26"/>
      <c r="W658" s="26"/>
      <c r="X658" s="26"/>
      <c r="Y658" s="26"/>
      <c r="Z658" s="26"/>
      <c r="AA658" s="26"/>
      <c r="AB658" s="26"/>
      <c r="AC658" s="26" t="n">
        <v>18</v>
      </c>
      <c r="AD658" s="26"/>
      <c r="AE658" s="26"/>
      <c r="AF658" s="26" t="n">
        <f aca="false">SUM(U658:AE658)</f>
        <v>18</v>
      </c>
      <c r="AG658" s="26" t="n">
        <f aca="false">T658-AF658</f>
        <v>664</v>
      </c>
      <c r="AH658" s="28" t="n">
        <f aca="false">IFERROR(AG658/T658,"")</f>
        <v>0.973607038123167</v>
      </c>
      <c r="AI658" s="29" t="n">
        <f aca="false">IFERROR(R658/AG658*60,"")</f>
        <v>120.180722891566</v>
      </c>
      <c r="AJ658" s="30" t="n">
        <f aca="false">IFERROR(AI658/Q658,"")</f>
        <v>0.934738955823293</v>
      </c>
      <c r="AK658" s="31" t="n">
        <f aca="false">IFERROR(R658/(T658/60*Q658),"")</f>
        <v>0.910068426197458</v>
      </c>
      <c r="AL658" s="26" t="n">
        <v>1</v>
      </c>
      <c r="AM658" s="26" t="n">
        <v>1</v>
      </c>
      <c r="AN658" s="26"/>
      <c r="AO658" s="26" t="n">
        <v>1</v>
      </c>
      <c r="AP658" s="26"/>
      <c r="AQ658" s="26" t="n">
        <v>1</v>
      </c>
      <c r="AR658" s="26"/>
      <c r="AS658" s="26"/>
      <c r="AT658" s="26"/>
      <c r="AU658" s="26"/>
      <c r="AV658" s="26" t="n">
        <f aca="false">SUM(AL658:AU658)</f>
        <v>4</v>
      </c>
      <c r="AW658" s="32" t="n">
        <f aca="false">IFERROR(AV658/R658*1000000,"")</f>
        <v>3007.51879699248</v>
      </c>
      <c r="AX658" s="33" t="n">
        <f aca="false">IFERROR((R658-AV658)/R658,"")</f>
        <v>0.996992481203008</v>
      </c>
      <c r="AY658" s="34" t="n">
        <f aca="false">IFERROR(AH658*AJ658*AX658,"")</f>
        <v>0.90733137829912</v>
      </c>
      <c r="AZ658" s="35" t="s">
        <v>93</v>
      </c>
    </row>
    <row r="659" customFormat="false" ht="12.75" hidden="false" customHeight="true" outlineLevel="0" collapsed="false">
      <c r="A659" s="24" t="n">
        <v>655</v>
      </c>
      <c r="B659" s="25" t="n">
        <v>46241</v>
      </c>
      <c r="C659" s="25" t="n">
        <v>12</v>
      </c>
      <c r="D659" s="26" t="s">
        <v>71</v>
      </c>
      <c r="E659" s="26" t="s">
        <v>72</v>
      </c>
      <c r="F659" s="26" t="s">
        <v>73</v>
      </c>
      <c r="G659" s="26" t="s">
        <v>8</v>
      </c>
      <c r="H659" s="27" t="n">
        <v>0.354166666666667</v>
      </c>
      <c r="I659" s="27" t="n">
        <v>0.854166666666667</v>
      </c>
      <c r="J659" s="26" t="n">
        <f aca="false">IFERROR((I659-H659)*24*60,"")</f>
        <v>720</v>
      </c>
      <c r="K659" s="26" t="s">
        <v>74</v>
      </c>
      <c r="L659" s="26" t="s">
        <v>98</v>
      </c>
      <c r="M659" s="26" t="s">
        <v>76</v>
      </c>
      <c r="N659" s="26" t="s">
        <v>77</v>
      </c>
      <c r="O659" s="26" t="n">
        <v>1</v>
      </c>
      <c r="P659" s="26" t="n">
        <v>63</v>
      </c>
      <c r="Q659" s="26" t="n">
        <f aca="false">IFERROR(3600/(P659/O659),"")</f>
        <v>57.1428571428571</v>
      </c>
      <c r="R659" s="26" t="n">
        <v>554</v>
      </c>
      <c r="S659" s="26" t="n">
        <v>69</v>
      </c>
      <c r="T659" s="26" t="n">
        <f aca="false">IFERROR(J659-S659,"")</f>
        <v>651</v>
      </c>
      <c r="U659" s="26"/>
      <c r="V659" s="26"/>
      <c r="W659" s="26"/>
      <c r="X659" s="26"/>
      <c r="Y659" s="26"/>
      <c r="Z659" s="26" t="n">
        <v>24</v>
      </c>
      <c r="AA659" s="26"/>
      <c r="AB659" s="26"/>
      <c r="AC659" s="26"/>
      <c r="AD659" s="26"/>
      <c r="AE659" s="26"/>
      <c r="AF659" s="26" t="n">
        <f aca="false">SUM(U659:AE659)</f>
        <v>24</v>
      </c>
      <c r="AG659" s="26" t="n">
        <f aca="false">T659-AF659</f>
        <v>627</v>
      </c>
      <c r="AH659" s="28" t="n">
        <f aca="false">IFERROR(AG659/T659,"")</f>
        <v>0.963133640552995</v>
      </c>
      <c r="AI659" s="29" t="n">
        <f aca="false">IFERROR(R659/AG659*60,"")</f>
        <v>53.0143540669856</v>
      </c>
      <c r="AJ659" s="30" t="n">
        <f aca="false">IFERROR(AI659/Q659,"")</f>
        <v>0.927751196172249</v>
      </c>
      <c r="AK659" s="31" t="n">
        <f aca="false">IFERROR(R659/(T659/60*Q659),"")</f>
        <v>0.893548387096774</v>
      </c>
      <c r="AL659" s="26"/>
      <c r="AM659" s="26" t="n">
        <v>1</v>
      </c>
      <c r="AN659" s="26" t="n">
        <v>1</v>
      </c>
      <c r="AO659" s="26" t="n">
        <v>1</v>
      </c>
      <c r="AP659" s="26"/>
      <c r="AQ659" s="26"/>
      <c r="AR659" s="26" t="n">
        <v>2</v>
      </c>
      <c r="AS659" s="26"/>
      <c r="AT659" s="26"/>
      <c r="AU659" s="26"/>
      <c r="AV659" s="26" t="n">
        <f aca="false">SUM(AL659:AU659)</f>
        <v>5</v>
      </c>
      <c r="AW659" s="32" t="n">
        <f aca="false">IFERROR(AV659/R659*1000000,"")</f>
        <v>9025.27075812274</v>
      </c>
      <c r="AX659" s="33" t="n">
        <f aca="false">IFERROR((R659-AV659)/R659,"")</f>
        <v>0.990974729241877</v>
      </c>
      <c r="AY659" s="34" t="n">
        <f aca="false">IFERROR(AH659*AJ659*AX659,"")</f>
        <v>0.885483870967742</v>
      </c>
      <c r="AZ659" s="35"/>
    </row>
    <row r="660" customFormat="false" ht="12.75" hidden="false" customHeight="true" outlineLevel="0" collapsed="false">
      <c r="A660" s="24" t="n">
        <v>656</v>
      </c>
      <c r="B660" s="25" t="n">
        <v>46241</v>
      </c>
      <c r="C660" s="25" t="n">
        <v>12</v>
      </c>
      <c r="D660" s="26" t="s">
        <v>79</v>
      </c>
      <c r="E660" s="26" t="s">
        <v>80</v>
      </c>
      <c r="F660" s="26" t="s">
        <v>81</v>
      </c>
      <c r="G660" s="26" t="s">
        <v>9</v>
      </c>
      <c r="H660" s="27" t="n">
        <v>0.354166666666667</v>
      </c>
      <c r="I660" s="27" t="n">
        <v>0.854166666666667</v>
      </c>
      <c r="J660" s="26" t="n">
        <f aca="false">IFERROR((I660-H660)*24*60,"")</f>
        <v>720</v>
      </c>
      <c r="K660" s="26" t="s">
        <v>74</v>
      </c>
      <c r="L660" s="26" t="s">
        <v>106</v>
      </c>
      <c r="M660" s="26" t="s">
        <v>84</v>
      </c>
      <c r="N660" s="26" t="s">
        <v>85</v>
      </c>
      <c r="O660" s="26" t="n">
        <v>8</v>
      </c>
      <c r="P660" s="26" t="n">
        <v>31</v>
      </c>
      <c r="Q660" s="26" t="n">
        <f aca="false">IFERROR(3600/(P660/O660),"")</f>
        <v>929.032258064516</v>
      </c>
      <c r="R660" s="26" t="n">
        <v>9915</v>
      </c>
      <c r="S660" s="26" t="n">
        <v>45</v>
      </c>
      <c r="T660" s="26" t="n">
        <f aca="false">IFERROR(J660-S660,"")</f>
        <v>675</v>
      </c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 t="n">
        <v>3</v>
      </c>
      <c r="AF660" s="26" t="n">
        <f aca="false">SUM(U660:AE660)</f>
        <v>3</v>
      </c>
      <c r="AG660" s="26" t="n">
        <f aca="false">T660-AF660</f>
        <v>672</v>
      </c>
      <c r="AH660" s="28" t="n">
        <f aca="false">IFERROR(AG660/T660,"")</f>
        <v>0.995555555555556</v>
      </c>
      <c r="AI660" s="29" t="n">
        <f aca="false">IFERROR(R660/AG660*60,"")</f>
        <v>885.267857142857</v>
      </c>
      <c r="AJ660" s="30" t="n">
        <f aca="false">IFERROR(AI660/Q660,"")</f>
        <v>0.952892485119048</v>
      </c>
      <c r="AK660" s="31" t="n">
        <f aca="false">IFERROR(R660/(T660/60*Q660),"")</f>
        <v>0.948657407407407</v>
      </c>
      <c r="AL660" s="26" t="n">
        <v>23</v>
      </c>
      <c r="AM660" s="26" t="n">
        <v>16</v>
      </c>
      <c r="AN660" s="26" t="n">
        <v>9</v>
      </c>
      <c r="AO660" s="26" t="n">
        <v>14</v>
      </c>
      <c r="AP660" s="26" t="n">
        <v>12</v>
      </c>
      <c r="AQ660" s="26" t="n">
        <v>17</v>
      </c>
      <c r="AR660" s="26" t="n">
        <v>23</v>
      </c>
      <c r="AS660" s="26" t="n">
        <v>17</v>
      </c>
      <c r="AT660" s="26" t="n">
        <v>26</v>
      </c>
      <c r="AU660" s="26" t="n">
        <v>15</v>
      </c>
      <c r="AV660" s="26" t="n">
        <f aca="false">SUM(AL660:AU660)</f>
        <v>172</v>
      </c>
      <c r="AW660" s="32" t="n">
        <f aca="false">IFERROR(AV660/R660*1000000,"")</f>
        <v>17347.4533535048</v>
      </c>
      <c r="AX660" s="33" t="n">
        <f aca="false">IFERROR((R660-AV660)/R660,"")</f>
        <v>0.982652546646495</v>
      </c>
      <c r="AY660" s="34" t="n">
        <f aca="false">IFERROR(AH660*AJ660*AX660,"")</f>
        <v>0.932200617283951</v>
      </c>
      <c r="AZ660" s="35" t="s">
        <v>93</v>
      </c>
    </row>
    <row r="661" customFormat="false" ht="12.75" hidden="false" customHeight="true" outlineLevel="0" collapsed="false">
      <c r="A661" s="24" t="n">
        <v>657</v>
      </c>
      <c r="B661" s="25" t="n">
        <v>46241</v>
      </c>
      <c r="C661" s="25" t="n">
        <v>12</v>
      </c>
      <c r="D661" s="26" t="s">
        <v>87</v>
      </c>
      <c r="E661" s="26" t="s">
        <v>88</v>
      </c>
      <c r="F661" s="26" t="s">
        <v>73</v>
      </c>
      <c r="G661" s="26" t="s">
        <v>10</v>
      </c>
      <c r="H661" s="27" t="n">
        <v>0.354166666666667</v>
      </c>
      <c r="I661" s="27" t="n">
        <v>0.854166666666667</v>
      </c>
      <c r="J661" s="26" t="n">
        <f aca="false">IFERROR((I661-H661)*24*60,"")</f>
        <v>720</v>
      </c>
      <c r="K661" s="26" t="s">
        <v>105</v>
      </c>
      <c r="L661" s="26" t="s">
        <v>75</v>
      </c>
      <c r="M661" s="26" t="s">
        <v>91</v>
      </c>
      <c r="N661" s="26" t="s">
        <v>92</v>
      </c>
      <c r="O661" s="26" t="n">
        <v>2</v>
      </c>
      <c r="P661" s="26" t="n">
        <v>39</v>
      </c>
      <c r="Q661" s="26" t="n">
        <f aca="false">IFERROR(3600/(P661/O661),"")</f>
        <v>184.615384615385</v>
      </c>
      <c r="R661" s="26" t="n">
        <v>1831</v>
      </c>
      <c r="S661" s="26" t="n">
        <v>57</v>
      </c>
      <c r="T661" s="26" t="n">
        <f aca="false">IFERROR(J661-S661,"")</f>
        <v>663</v>
      </c>
      <c r="U661" s="26" t="n">
        <v>19</v>
      </c>
      <c r="V661" s="26"/>
      <c r="W661" s="26"/>
      <c r="X661" s="26" t="n">
        <v>15</v>
      </c>
      <c r="Y661" s="26"/>
      <c r="Z661" s="26"/>
      <c r="AA661" s="26"/>
      <c r="AB661" s="26" t="n">
        <v>18</v>
      </c>
      <c r="AC661" s="26"/>
      <c r="AD661" s="26"/>
      <c r="AE661" s="26"/>
      <c r="AF661" s="26" t="n">
        <f aca="false">SUM(U661:AE661)</f>
        <v>52</v>
      </c>
      <c r="AG661" s="26" t="n">
        <f aca="false">T661-AF661</f>
        <v>611</v>
      </c>
      <c r="AH661" s="28" t="n">
        <f aca="false">IFERROR(AG661/T661,"")</f>
        <v>0.92156862745098</v>
      </c>
      <c r="AI661" s="29" t="n">
        <f aca="false">IFERROR(R661/AG661*60,"")</f>
        <v>179.803600654664</v>
      </c>
      <c r="AJ661" s="30" t="n">
        <f aca="false">IFERROR(AI661/Q661,"")</f>
        <v>0.973936170212766</v>
      </c>
      <c r="AK661" s="31" t="n">
        <f aca="false">IFERROR(R661/(T661/60*Q661),"")</f>
        <v>0.897549019607843</v>
      </c>
      <c r="AL661" s="26" t="n">
        <v>5</v>
      </c>
      <c r="AM661" s="26" t="n">
        <v>4</v>
      </c>
      <c r="AN661" s="26" t="n">
        <v>4</v>
      </c>
      <c r="AO661" s="26"/>
      <c r="AP661" s="26" t="n">
        <v>4</v>
      </c>
      <c r="AQ661" s="26" t="n">
        <v>5</v>
      </c>
      <c r="AR661" s="26" t="n">
        <v>2</v>
      </c>
      <c r="AS661" s="26" t="n">
        <v>3</v>
      </c>
      <c r="AT661" s="26" t="n">
        <v>3</v>
      </c>
      <c r="AU661" s="26" t="n">
        <v>2</v>
      </c>
      <c r="AV661" s="26" t="n">
        <f aca="false">SUM(AL661:AU661)</f>
        <v>32</v>
      </c>
      <c r="AW661" s="32" t="n">
        <f aca="false">IFERROR(AV661/R661*1000000,"")</f>
        <v>17476.7886400874</v>
      </c>
      <c r="AX661" s="33" t="n">
        <f aca="false">IFERROR((R661-AV661)/R661,"")</f>
        <v>0.982523211359913</v>
      </c>
      <c r="AY661" s="34" t="n">
        <f aca="false">IFERROR(AH661*AJ661*AX661,"")</f>
        <v>0.881862745098039</v>
      </c>
      <c r="AZ661" s="35"/>
    </row>
    <row r="662" customFormat="false" ht="12.75" hidden="false" customHeight="true" outlineLevel="0" collapsed="false">
      <c r="A662" s="24" t="n">
        <v>658</v>
      </c>
      <c r="B662" s="25" t="n">
        <v>46242</v>
      </c>
      <c r="C662" s="25" t="n">
        <v>12</v>
      </c>
      <c r="D662" s="26" t="s">
        <v>71</v>
      </c>
      <c r="E662" s="26" t="s">
        <v>94</v>
      </c>
      <c r="F662" s="26" t="s">
        <v>81</v>
      </c>
      <c r="G662" s="26" t="s">
        <v>11</v>
      </c>
      <c r="H662" s="27" t="n">
        <v>0.354166666666667</v>
      </c>
      <c r="I662" s="27" t="n">
        <v>0.854166666666667</v>
      </c>
      <c r="J662" s="26" t="n">
        <f aca="false">IFERROR((I662-H662)*24*60,"")</f>
        <v>720</v>
      </c>
      <c r="K662" s="26" t="s">
        <v>74</v>
      </c>
      <c r="L662" s="26" t="s">
        <v>75</v>
      </c>
      <c r="M662" s="26" t="s">
        <v>95</v>
      </c>
      <c r="N662" s="26" t="s">
        <v>96</v>
      </c>
      <c r="O662" s="26" t="n">
        <v>2</v>
      </c>
      <c r="P662" s="26" t="n">
        <v>57</v>
      </c>
      <c r="Q662" s="26" t="n">
        <f aca="false">IFERROR(3600/(P662/O662),"")</f>
        <v>126.315789473684</v>
      </c>
      <c r="R662" s="26" t="n">
        <v>1116</v>
      </c>
      <c r="S662" s="26" t="n">
        <v>55</v>
      </c>
      <c r="T662" s="26" t="n">
        <f aca="false">IFERROR(J662-S662,"")</f>
        <v>665</v>
      </c>
      <c r="U662" s="26"/>
      <c r="V662" s="26"/>
      <c r="W662" s="26"/>
      <c r="X662" s="26"/>
      <c r="Y662" s="26"/>
      <c r="Z662" s="26"/>
      <c r="AA662" s="26" t="n">
        <v>22</v>
      </c>
      <c r="AB662" s="26"/>
      <c r="AC662" s="26"/>
      <c r="AD662" s="26"/>
      <c r="AE662" s="26"/>
      <c r="AF662" s="26" t="n">
        <f aca="false">SUM(U662:AE662)</f>
        <v>22</v>
      </c>
      <c r="AG662" s="26" t="n">
        <f aca="false">T662-AF662</f>
        <v>643</v>
      </c>
      <c r="AH662" s="28" t="n">
        <f aca="false">IFERROR(AG662/T662,"")</f>
        <v>0.966917293233083</v>
      </c>
      <c r="AI662" s="29" t="n">
        <f aca="false">IFERROR(R662/AG662*60,"")</f>
        <v>104.136858475894</v>
      </c>
      <c r="AJ662" s="30" t="n">
        <f aca="false">IFERROR(AI662/Q662,"")</f>
        <v>0.824416796267496</v>
      </c>
      <c r="AK662" s="31" t="n">
        <f aca="false">IFERROR(R662/(T662/60*Q662),"")</f>
        <v>0.797142857142857</v>
      </c>
      <c r="AL662" s="26" t="n">
        <v>1</v>
      </c>
      <c r="AM662" s="26"/>
      <c r="AN662" s="26"/>
      <c r="AO662" s="26" t="n">
        <v>2</v>
      </c>
      <c r="AP662" s="26" t="n">
        <v>1</v>
      </c>
      <c r="AQ662" s="26"/>
      <c r="AR662" s="26"/>
      <c r="AS662" s="26"/>
      <c r="AT662" s="26"/>
      <c r="AU662" s="26"/>
      <c r="AV662" s="26" t="n">
        <f aca="false">SUM(AL662:AU662)</f>
        <v>4</v>
      </c>
      <c r="AW662" s="32" t="n">
        <f aca="false">IFERROR(AV662/R662*1000000,"")</f>
        <v>3584.229390681</v>
      </c>
      <c r="AX662" s="33" t="n">
        <f aca="false">IFERROR((R662-AV662)/R662,"")</f>
        <v>0.996415770609319</v>
      </c>
      <c r="AY662" s="34" t="n">
        <f aca="false">IFERROR(AH662*AJ662*AX662,"")</f>
        <v>0.794285714285714</v>
      </c>
      <c r="AZ662" s="35" t="s">
        <v>78</v>
      </c>
    </row>
    <row r="663" customFormat="false" ht="12.75" hidden="false" customHeight="true" outlineLevel="0" collapsed="false">
      <c r="A663" s="24" t="n">
        <v>659</v>
      </c>
      <c r="B663" s="25" t="n">
        <v>46242</v>
      </c>
      <c r="C663" s="25" t="n">
        <v>12</v>
      </c>
      <c r="D663" s="26" t="s">
        <v>79</v>
      </c>
      <c r="E663" s="26" t="s">
        <v>97</v>
      </c>
      <c r="F663" s="26" t="s">
        <v>73</v>
      </c>
      <c r="G663" s="26" t="s">
        <v>12</v>
      </c>
      <c r="H663" s="27" t="n">
        <v>0.354166666666667</v>
      </c>
      <c r="I663" s="27" t="n">
        <v>0.854166666666667</v>
      </c>
      <c r="J663" s="26" t="n">
        <f aca="false">IFERROR((I663-H663)*24*60,"")</f>
        <v>720</v>
      </c>
      <c r="K663" s="26" t="s">
        <v>105</v>
      </c>
      <c r="L663" s="26" t="s">
        <v>108</v>
      </c>
      <c r="M663" s="26" t="s">
        <v>99</v>
      </c>
      <c r="N663" s="26" t="s">
        <v>100</v>
      </c>
      <c r="O663" s="26" t="n">
        <v>1</v>
      </c>
      <c r="P663" s="26" t="n">
        <v>42</v>
      </c>
      <c r="Q663" s="26" t="n">
        <f aca="false">IFERROR(3600/(P663/O663),"")</f>
        <v>85.7142857142857</v>
      </c>
      <c r="R663" s="26" t="n">
        <v>766</v>
      </c>
      <c r="S663" s="26" t="n">
        <v>31</v>
      </c>
      <c r="T663" s="26" t="n">
        <f aca="false">IFERROR(J663-S663,"")</f>
        <v>689</v>
      </c>
      <c r="U663" s="26"/>
      <c r="V663" s="26"/>
      <c r="W663" s="26"/>
      <c r="X663" s="26"/>
      <c r="Y663" s="26"/>
      <c r="Z663" s="26"/>
      <c r="AA663" s="26"/>
      <c r="AB663" s="26"/>
      <c r="AC663" s="26"/>
      <c r="AD663" s="26" t="n">
        <v>5</v>
      </c>
      <c r="AE663" s="26"/>
      <c r="AF663" s="26" t="n">
        <f aca="false">SUM(U663:AE663)</f>
        <v>5</v>
      </c>
      <c r="AG663" s="26" t="n">
        <f aca="false">T663-AF663</f>
        <v>684</v>
      </c>
      <c r="AH663" s="28" t="n">
        <f aca="false">IFERROR(AG663/T663,"")</f>
        <v>0.992743105950653</v>
      </c>
      <c r="AI663" s="29" t="n">
        <f aca="false">IFERROR(R663/AG663*60,"")</f>
        <v>67.1929824561404</v>
      </c>
      <c r="AJ663" s="30" t="n">
        <f aca="false">IFERROR(AI663/Q663,"")</f>
        <v>0.783918128654971</v>
      </c>
      <c r="AK663" s="31" t="n">
        <f aca="false">IFERROR(R663/(T663/60*Q663),"")</f>
        <v>0.77822931785196</v>
      </c>
      <c r="AL663" s="26" t="n">
        <v>1</v>
      </c>
      <c r="AM663" s="26" t="n">
        <v>1</v>
      </c>
      <c r="AN663" s="26" t="n">
        <v>1</v>
      </c>
      <c r="AO663" s="26" t="n">
        <v>1</v>
      </c>
      <c r="AP663" s="26" t="n">
        <v>2</v>
      </c>
      <c r="AQ663" s="26" t="n">
        <v>2</v>
      </c>
      <c r="AR663" s="26" t="n">
        <v>3</v>
      </c>
      <c r="AS663" s="26" t="n">
        <v>3</v>
      </c>
      <c r="AT663" s="26" t="n">
        <v>1</v>
      </c>
      <c r="AU663" s="26" t="n">
        <v>3</v>
      </c>
      <c r="AV663" s="26" t="n">
        <f aca="false">SUM(AL663:AU663)</f>
        <v>18</v>
      </c>
      <c r="AW663" s="32" t="n">
        <f aca="false">IFERROR(AV663/R663*1000000,"")</f>
        <v>23498.6945169713</v>
      </c>
      <c r="AX663" s="33" t="n">
        <f aca="false">IFERROR((R663-AV663)/R663,"")</f>
        <v>0.976501305483029</v>
      </c>
      <c r="AY663" s="34" t="n">
        <f aca="false">IFERROR(AH663*AJ663*AX663,"")</f>
        <v>0.759941944847605</v>
      </c>
      <c r="AZ663" s="35" t="s">
        <v>86</v>
      </c>
    </row>
    <row r="664" customFormat="false" ht="12.75" hidden="false" customHeight="true" outlineLevel="0" collapsed="false">
      <c r="A664" s="24" t="n">
        <v>660</v>
      </c>
      <c r="B664" s="25" t="n">
        <v>46242</v>
      </c>
      <c r="C664" s="25" t="n">
        <v>12</v>
      </c>
      <c r="D664" s="26" t="s">
        <v>87</v>
      </c>
      <c r="E664" s="26" t="s">
        <v>101</v>
      </c>
      <c r="F664" s="26" t="s">
        <v>81</v>
      </c>
      <c r="G664" s="26" t="s">
        <v>13</v>
      </c>
      <c r="H664" s="27" t="n">
        <v>0.354166666666667</v>
      </c>
      <c r="I664" s="27" t="n">
        <v>0.854166666666667</v>
      </c>
      <c r="J664" s="26" t="n">
        <f aca="false">IFERROR((I664-H664)*24*60,"")</f>
        <v>720</v>
      </c>
      <c r="K664" s="26" t="s">
        <v>82</v>
      </c>
      <c r="L664" s="26" t="s">
        <v>107</v>
      </c>
      <c r="M664" s="26" t="s">
        <v>103</v>
      </c>
      <c r="N664" s="26" t="s">
        <v>104</v>
      </c>
      <c r="O664" s="26" t="n">
        <v>2</v>
      </c>
      <c r="P664" s="26" t="n">
        <v>52</v>
      </c>
      <c r="Q664" s="26" t="n">
        <f aca="false">IFERROR(3600/(P664/O664),"")</f>
        <v>138.461538461538</v>
      </c>
      <c r="R664" s="26" t="n">
        <v>1415</v>
      </c>
      <c r="S664" s="26" t="n">
        <v>39</v>
      </c>
      <c r="T664" s="26" t="n">
        <f aca="false">IFERROR(J664-S664,"")</f>
        <v>681</v>
      </c>
      <c r="U664" s="26" t="n">
        <v>15</v>
      </c>
      <c r="V664" s="26"/>
      <c r="W664" s="26" t="n">
        <v>38</v>
      </c>
      <c r="X664" s="26"/>
      <c r="Y664" s="26"/>
      <c r="Z664" s="26"/>
      <c r="AA664" s="26"/>
      <c r="AB664" s="26"/>
      <c r="AC664" s="26"/>
      <c r="AD664" s="26"/>
      <c r="AE664" s="26"/>
      <c r="AF664" s="26" t="n">
        <f aca="false">SUM(U664:AE664)</f>
        <v>53</v>
      </c>
      <c r="AG664" s="26" t="n">
        <f aca="false">T664-AF664</f>
        <v>628</v>
      </c>
      <c r="AH664" s="28" t="n">
        <f aca="false">IFERROR(AG664/T664,"")</f>
        <v>0.922173274596182</v>
      </c>
      <c r="AI664" s="29" t="n">
        <f aca="false">IFERROR(R664/AG664*60,"")</f>
        <v>135.191082802548</v>
      </c>
      <c r="AJ664" s="30" t="n">
        <f aca="false">IFERROR(AI664/Q664,"")</f>
        <v>0.976380042462845</v>
      </c>
      <c r="AK664" s="31" t="n">
        <f aca="false">IFERROR(R664/(T664/60*Q664),"")</f>
        <v>0.900391581008321</v>
      </c>
      <c r="AL664" s="26" t="n">
        <v>1</v>
      </c>
      <c r="AM664" s="26" t="n">
        <v>1</v>
      </c>
      <c r="AN664" s="26" t="n">
        <v>2</v>
      </c>
      <c r="AO664" s="26" t="n">
        <v>1</v>
      </c>
      <c r="AP664" s="26" t="n">
        <v>1</v>
      </c>
      <c r="AQ664" s="26" t="n">
        <v>1</v>
      </c>
      <c r="AR664" s="26" t="n">
        <v>1</v>
      </c>
      <c r="AS664" s="26" t="n">
        <v>2</v>
      </c>
      <c r="AT664" s="26"/>
      <c r="AU664" s="26"/>
      <c r="AV664" s="26" t="n">
        <f aca="false">SUM(AL664:AU664)</f>
        <v>10</v>
      </c>
      <c r="AW664" s="32" t="n">
        <f aca="false">IFERROR(AV664/R664*1000000,"")</f>
        <v>7067.13780918728</v>
      </c>
      <c r="AX664" s="33" t="n">
        <f aca="false">IFERROR((R664-AV664)/R664,"")</f>
        <v>0.992932862190813</v>
      </c>
      <c r="AY664" s="34" t="n">
        <f aca="false">IFERROR(AH664*AJ664*AX664,"")</f>
        <v>0.894028389623103</v>
      </c>
      <c r="AZ664" s="35" t="s">
        <v>93</v>
      </c>
    </row>
    <row r="665" customFormat="false" ht="12.75" hidden="false" customHeight="true" outlineLevel="0" collapsed="false">
      <c r="A665" s="24" t="n">
        <v>661</v>
      </c>
      <c r="B665" s="25" t="n">
        <v>46243</v>
      </c>
      <c r="C665" s="25" t="n">
        <v>12</v>
      </c>
      <c r="D665" s="26" t="s">
        <v>71</v>
      </c>
      <c r="E665" s="26" t="s">
        <v>72</v>
      </c>
      <c r="F665" s="26" t="s">
        <v>73</v>
      </c>
      <c r="G665" s="26" t="s">
        <v>8</v>
      </c>
      <c r="H665" s="27" t="n">
        <v>0.354166666666667</v>
      </c>
      <c r="I665" s="27" t="n">
        <v>0.854166666666667</v>
      </c>
      <c r="J665" s="26" t="n">
        <f aca="false">IFERROR((I665-H665)*24*60,"")</f>
        <v>720</v>
      </c>
      <c r="K665" s="26" t="s">
        <v>89</v>
      </c>
      <c r="L665" s="26" t="s">
        <v>107</v>
      </c>
      <c r="M665" s="26" t="s">
        <v>76</v>
      </c>
      <c r="N665" s="26" t="s">
        <v>77</v>
      </c>
      <c r="O665" s="26" t="n">
        <v>4</v>
      </c>
      <c r="P665" s="26" t="n">
        <v>30</v>
      </c>
      <c r="Q665" s="26" t="n">
        <f aca="false">IFERROR(3600/(P665/O665),"")</f>
        <v>480</v>
      </c>
      <c r="R665" s="26" t="n">
        <v>5262</v>
      </c>
      <c r="S665" s="26" t="n">
        <v>63</v>
      </c>
      <c r="T665" s="26" t="n">
        <f aca="false">IFERROR(J665-S665,"")</f>
        <v>657</v>
      </c>
      <c r="U665" s="26"/>
      <c r="V665" s="26" t="n">
        <v>8</v>
      </c>
      <c r="W665" s="26"/>
      <c r="X665" s="26"/>
      <c r="Y665" s="26"/>
      <c r="Z665" s="26" t="n">
        <v>3</v>
      </c>
      <c r="AA665" s="26"/>
      <c r="AB665" s="26"/>
      <c r="AC665" s="26" t="n">
        <v>4</v>
      </c>
      <c r="AD665" s="26"/>
      <c r="AE665" s="26"/>
      <c r="AF665" s="26" t="n">
        <f aca="false">SUM(U665:AE665)</f>
        <v>15</v>
      </c>
      <c r="AG665" s="26" t="n">
        <f aca="false">T665-AF665</f>
        <v>642</v>
      </c>
      <c r="AH665" s="28" t="n">
        <f aca="false">IFERROR(AG665/T665,"")</f>
        <v>0.977168949771689</v>
      </c>
      <c r="AI665" s="29" t="n">
        <f aca="false">IFERROR(R665/AG665*60,"")</f>
        <v>491.775700934579</v>
      </c>
      <c r="AJ665" s="30" t="n">
        <f aca="false">IFERROR(AI665/Q665,"")</f>
        <v>1.02453271028037</v>
      </c>
      <c r="AK665" s="31" t="n">
        <f aca="false">IFERROR(R665/(T665/60*Q665),"")</f>
        <v>1.00114155251142</v>
      </c>
      <c r="AL665" s="26" t="n">
        <v>5</v>
      </c>
      <c r="AM665" s="26" t="n">
        <v>6</v>
      </c>
      <c r="AN665" s="26" t="n">
        <v>8</v>
      </c>
      <c r="AO665" s="26" t="n">
        <v>6</v>
      </c>
      <c r="AP665" s="26" t="n">
        <v>8</v>
      </c>
      <c r="AQ665" s="26" t="n">
        <v>3</v>
      </c>
      <c r="AR665" s="26" t="n">
        <v>6</v>
      </c>
      <c r="AS665" s="26" t="n">
        <v>5</v>
      </c>
      <c r="AT665" s="26" t="n">
        <v>9</v>
      </c>
      <c r="AU665" s="26" t="n">
        <v>4</v>
      </c>
      <c r="AV665" s="26" t="n">
        <f aca="false">SUM(AL665:AU665)</f>
        <v>60</v>
      </c>
      <c r="AW665" s="32" t="n">
        <f aca="false">IFERROR(AV665/R665*1000000,"")</f>
        <v>11402.5085518814</v>
      </c>
      <c r="AX665" s="33" t="n">
        <f aca="false">IFERROR((R665-AV665)/R665,"")</f>
        <v>0.988597491448119</v>
      </c>
      <c r="AY665" s="34" t="n">
        <f aca="false">IFERROR(AH665*AJ665*AX665,"")</f>
        <v>0.98972602739726</v>
      </c>
      <c r="AZ665" s="35" t="s">
        <v>93</v>
      </c>
    </row>
    <row r="666" customFormat="false" ht="12.75" hidden="false" customHeight="true" outlineLevel="0" collapsed="false">
      <c r="A666" s="24" t="n">
        <v>662</v>
      </c>
      <c r="B666" s="25" t="n">
        <v>46243</v>
      </c>
      <c r="C666" s="25" t="n">
        <v>12</v>
      </c>
      <c r="D666" s="26" t="s">
        <v>79</v>
      </c>
      <c r="E666" s="26" t="s">
        <v>80</v>
      </c>
      <c r="F666" s="26" t="s">
        <v>81</v>
      </c>
      <c r="G666" s="26" t="s">
        <v>9</v>
      </c>
      <c r="H666" s="27" t="n">
        <v>0.354166666666667</v>
      </c>
      <c r="I666" s="27" t="n">
        <v>0.854166666666667</v>
      </c>
      <c r="J666" s="26" t="n">
        <f aca="false">IFERROR((I666-H666)*24*60,"")</f>
        <v>720</v>
      </c>
      <c r="K666" s="26" t="s">
        <v>82</v>
      </c>
      <c r="L666" s="26" t="s">
        <v>102</v>
      </c>
      <c r="M666" s="26" t="s">
        <v>84</v>
      </c>
      <c r="N666" s="26" t="s">
        <v>85</v>
      </c>
      <c r="O666" s="26" t="n">
        <v>8</v>
      </c>
      <c r="P666" s="26" t="n">
        <v>24</v>
      </c>
      <c r="Q666" s="26" t="n">
        <f aca="false">IFERROR(3600/(P666/O666),"")</f>
        <v>1200</v>
      </c>
      <c r="R666" s="26" t="n">
        <v>10868</v>
      </c>
      <c r="S666" s="26" t="n">
        <v>37</v>
      </c>
      <c r="T666" s="26" t="n">
        <f aca="false">IFERROR(J666-S666,"")</f>
        <v>683</v>
      </c>
      <c r="U666" s="26"/>
      <c r="V666" s="26"/>
      <c r="W666" s="26"/>
      <c r="X666" s="26"/>
      <c r="Y666" s="26"/>
      <c r="Z666" s="26"/>
      <c r="AA666" s="26"/>
      <c r="AB666" s="26" t="n">
        <v>11</v>
      </c>
      <c r="AC666" s="26"/>
      <c r="AD666" s="26"/>
      <c r="AE666" s="26"/>
      <c r="AF666" s="26" t="n">
        <f aca="false">SUM(U666:AE666)</f>
        <v>11</v>
      </c>
      <c r="AG666" s="26" t="n">
        <f aca="false">T666-AF666</f>
        <v>672</v>
      </c>
      <c r="AH666" s="28" t="n">
        <f aca="false">IFERROR(AG666/T666,"")</f>
        <v>0.98389458272328</v>
      </c>
      <c r="AI666" s="29" t="n">
        <f aca="false">IFERROR(R666/AG666*60,"")</f>
        <v>970.357142857143</v>
      </c>
      <c r="AJ666" s="30" t="n">
        <f aca="false">IFERROR(AI666/Q666,"")</f>
        <v>0.808630952380952</v>
      </c>
      <c r="AK666" s="31" t="n">
        <f aca="false">IFERROR(R666/(T666/60*Q666),"")</f>
        <v>0.795607613469985</v>
      </c>
      <c r="AL666" s="26" t="n">
        <v>29</v>
      </c>
      <c r="AM666" s="26" t="n">
        <v>34</v>
      </c>
      <c r="AN666" s="26" t="n">
        <v>12</v>
      </c>
      <c r="AO666" s="26" t="n">
        <v>29</v>
      </c>
      <c r="AP666" s="26" t="n">
        <v>33</v>
      </c>
      <c r="AQ666" s="26" t="n">
        <v>18</v>
      </c>
      <c r="AR666" s="26" t="n">
        <v>24</v>
      </c>
      <c r="AS666" s="26" t="n">
        <v>28</v>
      </c>
      <c r="AT666" s="26" t="n">
        <v>18</v>
      </c>
      <c r="AU666" s="26" t="n">
        <v>29</v>
      </c>
      <c r="AV666" s="26" t="n">
        <f aca="false">SUM(AL666:AU666)</f>
        <v>254</v>
      </c>
      <c r="AW666" s="32" t="n">
        <f aca="false">IFERROR(AV666/R666*1000000,"")</f>
        <v>23371.3654766286</v>
      </c>
      <c r="AX666" s="33" t="n">
        <f aca="false">IFERROR((R666-AV666)/R666,"")</f>
        <v>0.976628634523371</v>
      </c>
      <c r="AY666" s="34" t="n">
        <f aca="false">IFERROR(AH666*AJ666*AX666,"")</f>
        <v>0.77701317715959</v>
      </c>
      <c r="AZ666" s="35" t="s">
        <v>86</v>
      </c>
    </row>
    <row r="667" customFormat="false" ht="12.75" hidden="false" customHeight="true" outlineLevel="0" collapsed="false">
      <c r="A667" s="24" t="n">
        <v>663</v>
      </c>
      <c r="B667" s="25" t="n">
        <v>46243</v>
      </c>
      <c r="C667" s="25" t="n">
        <v>12</v>
      </c>
      <c r="D667" s="26" t="s">
        <v>87</v>
      </c>
      <c r="E667" s="26" t="s">
        <v>88</v>
      </c>
      <c r="F667" s="26" t="s">
        <v>73</v>
      </c>
      <c r="G667" s="26" t="s">
        <v>10</v>
      </c>
      <c r="H667" s="27" t="n">
        <v>0.354166666666667</v>
      </c>
      <c r="I667" s="27" t="n">
        <v>0.854166666666667</v>
      </c>
      <c r="J667" s="26" t="n">
        <f aca="false">IFERROR((I667-H667)*24*60,"")</f>
        <v>720</v>
      </c>
      <c r="K667" s="26" t="s">
        <v>89</v>
      </c>
      <c r="L667" s="26" t="s">
        <v>107</v>
      </c>
      <c r="M667" s="26" t="s">
        <v>91</v>
      </c>
      <c r="N667" s="26" t="s">
        <v>92</v>
      </c>
      <c r="O667" s="26" t="n">
        <v>8</v>
      </c>
      <c r="P667" s="26" t="n">
        <v>45</v>
      </c>
      <c r="Q667" s="26" t="n">
        <f aca="false">IFERROR(3600/(P667/O667),"")</f>
        <v>640</v>
      </c>
      <c r="R667" s="26" t="n">
        <v>6922</v>
      </c>
      <c r="S667" s="26" t="n">
        <v>42</v>
      </c>
      <c r="T667" s="26" t="n">
        <f aca="false">IFERROR(J667-S667,"")</f>
        <v>678</v>
      </c>
      <c r="U667" s="26"/>
      <c r="V667" s="26"/>
      <c r="W667" s="26" t="n">
        <v>22</v>
      </c>
      <c r="X667" s="26"/>
      <c r="Y667" s="26"/>
      <c r="Z667" s="26"/>
      <c r="AA667" s="26"/>
      <c r="AB667" s="26"/>
      <c r="AC667" s="26"/>
      <c r="AD667" s="26"/>
      <c r="AE667" s="26"/>
      <c r="AF667" s="26" t="n">
        <f aca="false">SUM(U667:AE667)</f>
        <v>22</v>
      </c>
      <c r="AG667" s="26" t="n">
        <f aca="false">T667-AF667</f>
        <v>656</v>
      </c>
      <c r="AH667" s="28" t="n">
        <f aca="false">IFERROR(AG667/T667,"")</f>
        <v>0.967551622418879</v>
      </c>
      <c r="AI667" s="29" t="n">
        <f aca="false">IFERROR(R667/AG667*60,"")</f>
        <v>633.109756097561</v>
      </c>
      <c r="AJ667" s="30" t="n">
        <f aca="false">IFERROR(AI667/Q667,"")</f>
        <v>0.989233993902439</v>
      </c>
      <c r="AK667" s="31" t="n">
        <f aca="false">IFERROR(R667/(T667/60*Q667),"")</f>
        <v>0.957134955752212</v>
      </c>
      <c r="AL667" s="26" t="n">
        <v>16</v>
      </c>
      <c r="AM667" s="26" t="n">
        <v>21</v>
      </c>
      <c r="AN667" s="26" t="n">
        <v>13</v>
      </c>
      <c r="AO667" s="26" t="n">
        <v>14</v>
      </c>
      <c r="AP667" s="26" t="n">
        <v>12</v>
      </c>
      <c r="AQ667" s="26" t="n">
        <v>13</v>
      </c>
      <c r="AR667" s="26" t="n">
        <v>18</v>
      </c>
      <c r="AS667" s="26" t="n">
        <v>13</v>
      </c>
      <c r="AT667" s="26" t="n">
        <v>15</v>
      </c>
      <c r="AU667" s="26" t="n">
        <v>16</v>
      </c>
      <c r="AV667" s="26" t="n">
        <f aca="false">SUM(AL667:AU667)</f>
        <v>151</v>
      </c>
      <c r="AW667" s="32" t="n">
        <f aca="false">IFERROR(AV667/R667*1000000,"")</f>
        <v>21814.5044784744</v>
      </c>
      <c r="AX667" s="33" t="n">
        <f aca="false">IFERROR((R667-AV667)/R667,"")</f>
        <v>0.978185495521526</v>
      </c>
      <c r="AY667" s="34" t="n">
        <f aca="false">IFERROR(AH667*AJ667*AX667,"")</f>
        <v>0.936255530973451</v>
      </c>
      <c r="AZ667" s="35" t="s">
        <v>86</v>
      </c>
    </row>
    <row r="668" customFormat="false" ht="12.75" hidden="false" customHeight="true" outlineLevel="0" collapsed="false">
      <c r="A668" s="24" t="n">
        <v>664</v>
      </c>
      <c r="B668" s="25" t="n">
        <v>46244</v>
      </c>
      <c r="C668" s="25" t="n">
        <v>12</v>
      </c>
      <c r="D668" s="26" t="s">
        <v>71</v>
      </c>
      <c r="E668" s="26" t="s">
        <v>94</v>
      </c>
      <c r="F668" s="26" t="s">
        <v>81</v>
      </c>
      <c r="G668" s="26" t="s">
        <v>11</v>
      </c>
      <c r="H668" s="27" t="n">
        <v>0.354166666666667</v>
      </c>
      <c r="I668" s="27" t="n">
        <v>0.854166666666667</v>
      </c>
      <c r="J668" s="26" t="n">
        <f aca="false">IFERROR((I668-H668)*24*60,"")</f>
        <v>720</v>
      </c>
      <c r="K668" s="26" t="s">
        <v>74</v>
      </c>
      <c r="L668" s="26" t="s">
        <v>107</v>
      </c>
      <c r="M668" s="26" t="s">
        <v>95</v>
      </c>
      <c r="N668" s="26" t="s">
        <v>96</v>
      </c>
      <c r="O668" s="26" t="n">
        <v>2</v>
      </c>
      <c r="P668" s="26" t="n">
        <v>50</v>
      </c>
      <c r="Q668" s="26" t="n">
        <f aca="false">IFERROR(3600/(P668/O668),"")</f>
        <v>144</v>
      </c>
      <c r="R668" s="26" t="n">
        <v>1277</v>
      </c>
      <c r="S668" s="26" t="n">
        <v>31</v>
      </c>
      <c r="T668" s="26" t="n">
        <f aca="false">IFERROR(J668-S668,"")</f>
        <v>689</v>
      </c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 t="n">
        <v>14</v>
      </c>
      <c r="AF668" s="26" t="n">
        <f aca="false">SUM(U668:AE668)</f>
        <v>14</v>
      </c>
      <c r="AG668" s="26" t="n">
        <f aca="false">T668-AF668</f>
        <v>675</v>
      </c>
      <c r="AH668" s="28" t="n">
        <f aca="false">IFERROR(AG668/T668,"")</f>
        <v>0.979680696661829</v>
      </c>
      <c r="AI668" s="29" t="n">
        <f aca="false">IFERROR(R668/AG668*60,"")</f>
        <v>113.511111111111</v>
      </c>
      <c r="AJ668" s="30" t="n">
        <f aca="false">IFERROR(AI668/Q668,"")</f>
        <v>0.788271604938272</v>
      </c>
      <c r="AK668" s="31" t="n">
        <f aca="false">IFERROR(R668/(T668/60*Q668),"")</f>
        <v>0.772254475084664</v>
      </c>
      <c r="AL668" s="26" t="n">
        <v>1</v>
      </c>
      <c r="AM668" s="26" t="n">
        <v>1</v>
      </c>
      <c r="AN668" s="26" t="n">
        <v>1</v>
      </c>
      <c r="AO668" s="26" t="n">
        <v>3</v>
      </c>
      <c r="AP668" s="26" t="n">
        <v>1</v>
      </c>
      <c r="AQ668" s="26" t="n">
        <v>1</v>
      </c>
      <c r="AR668" s="26" t="n">
        <v>3</v>
      </c>
      <c r="AS668" s="26" t="n">
        <v>1</v>
      </c>
      <c r="AT668" s="26" t="n">
        <v>1</v>
      </c>
      <c r="AU668" s="26" t="n">
        <v>2</v>
      </c>
      <c r="AV668" s="26" t="n">
        <f aca="false">SUM(AL668:AU668)</f>
        <v>15</v>
      </c>
      <c r="AW668" s="32" t="n">
        <f aca="false">IFERROR(AV668/R668*1000000,"")</f>
        <v>11746.2803445576</v>
      </c>
      <c r="AX668" s="33" t="n">
        <f aca="false">IFERROR((R668-AV668)/R668,"")</f>
        <v>0.988253719655442</v>
      </c>
      <c r="AY668" s="34" t="n">
        <f aca="false">IFERROR(AH668*AJ668*AX668,"")</f>
        <v>0.76318335752298</v>
      </c>
      <c r="AZ668" s="35" t="s">
        <v>86</v>
      </c>
    </row>
    <row r="669" customFormat="false" ht="12.75" hidden="false" customHeight="true" outlineLevel="0" collapsed="false">
      <c r="A669" s="24" t="n">
        <v>665</v>
      </c>
      <c r="B669" s="25" t="n">
        <v>46244</v>
      </c>
      <c r="C669" s="25" t="n">
        <v>12</v>
      </c>
      <c r="D669" s="26" t="s">
        <v>79</v>
      </c>
      <c r="E669" s="26" t="s">
        <v>97</v>
      </c>
      <c r="F669" s="26" t="s">
        <v>73</v>
      </c>
      <c r="G669" s="26" t="s">
        <v>12</v>
      </c>
      <c r="H669" s="27" t="n">
        <v>0.354166666666667</v>
      </c>
      <c r="I669" s="27" t="n">
        <v>0.854166666666667</v>
      </c>
      <c r="J669" s="26" t="n">
        <f aca="false">IFERROR((I669-H669)*24*60,"")</f>
        <v>720</v>
      </c>
      <c r="K669" s="26" t="s">
        <v>105</v>
      </c>
      <c r="L669" s="26" t="s">
        <v>98</v>
      </c>
      <c r="M669" s="26" t="s">
        <v>99</v>
      </c>
      <c r="N669" s="26" t="s">
        <v>100</v>
      </c>
      <c r="O669" s="26" t="n">
        <v>4</v>
      </c>
      <c r="P669" s="26" t="n">
        <v>32</v>
      </c>
      <c r="Q669" s="26" t="n">
        <f aca="false">IFERROR(3600/(P669/O669),"")</f>
        <v>450</v>
      </c>
      <c r="R669" s="26" t="n">
        <v>4528</v>
      </c>
      <c r="S669" s="26" t="n">
        <v>72</v>
      </c>
      <c r="T669" s="26" t="n">
        <f aca="false">IFERROR(J669-S669,"")</f>
        <v>648</v>
      </c>
      <c r="U669" s="26"/>
      <c r="V669" s="26" t="n">
        <v>18</v>
      </c>
      <c r="W669" s="26"/>
      <c r="X669" s="26"/>
      <c r="Y669" s="26"/>
      <c r="Z669" s="26"/>
      <c r="AA669" s="26"/>
      <c r="AB669" s="26" t="n">
        <v>9</v>
      </c>
      <c r="AC669" s="26"/>
      <c r="AD669" s="26"/>
      <c r="AE669" s="26" t="n">
        <v>5</v>
      </c>
      <c r="AF669" s="26" t="n">
        <f aca="false">SUM(U669:AE669)</f>
        <v>32</v>
      </c>
      <c r="AG669" s="26" t="n">
        <f aca="false">T669-AF669</f>
        <v>616</v>
      </c>
      <c r="AH669" s="28" t="n">
        <f aca="false">IFERROR(AG669/T669,"")</f>
        <v>0.950617283950617</v>
      </c>
      <c r="AI669" s="29" t="n">
        <f aca="false">IFERROR(R669/AG669*60,"")</f>
        <v>441.038961038961</v>
      </c>
      <c r="AJ669" s="30" t="n">
        <f aca="false">IFERROR(AI669/Q669,"")</f>
        <v>0.98008658008658</v>
      </c>
      <c r="AK669" s="31" t="n">
        <f aca="false">IFERROR(R669/(T669/60*Q669),"")</f>
        <v>0.931687242798354</v>
      </c>
      <c r="AL669" s="26"/>
      <c r="AM669" s="26" t="n">
        <v>2</v>
      </c>
      <c r="AN669" s="26" t="n">
        <v>3</v>
      </c>
      <c r="AO669" s="26" t="n">
        <v>2</v>
      </c>
      <c r="AP669" s="26" t="n">
        <v>5</v>
      </c>
      <c r="AQ669" s="26" t="n">
        <v>2</v>
      </c>
      <c r="AR669" s="26" t="n">
        <v>3</v>
      </c>
      <c r="AS669" s="26" t="n">
        <v>1</v>
      </c>
      <c r="AT669" s="26" t="n">
        <v>3</v>
      </c>
      <c r="AU669" s="26" t="n">
        <v>6</v>
      </c>
      <c r="AV669" s="26" t="n">
        <f aca="false">SUM(AL669:AU669)</f>
        <v>27</v>
      </c>
      <c r="AW669" s="32" t="n">
        <f aca="false">IFERROR(AV669/R669*1000000,"")</f>
        <v>5962.89752650177</v>
      </c>
      <c r="AX669" s="33" t="n">
        <f aca="false">IFERROR((R669-AV669)/R669,"")</f>
        <v>0.994037102473498</v>
      </c>
      <c r="AY669" s="34" t="n">
        <f aca="false">IFERROR(AH669*AJ669*AX669,"")</f>
        <v>0.926131687242798</v>
      </c>
      <c r="AZ669" s="35" t="s">
        <v>86</v>
      </c>
    </row>
    <row r="670" customFormat="false" ht="12.75" hidden="false" customHeight="true" outlineLevel="0" collapsed="false">
      <c r="A670" s="24" t="n">
        <v>666</v>
      </c>
      <c r="B670" s="25" t="n">
        <v>46244</v>
      </c>
      <c r="C670" s="25" t="n">
        <v>12</v>
      </c>
      <c r="D670" s="26" t="s">
        <v>87</v>
      </c>
      <c r="E670" s="26" t="s">
        <v>101</v>
      </c>
      <c r="F670" s="26" t="s">
        <v>81</v>
      </c>
      <c r="G670" s="26" t="s">
        <v>13</v>
      </c>
      <c r="H670" s="27" t="n">
        <v>0.354166666666667</v>
      </c>
      <c r="I670" s="27" t="n">
        <v>0.854166666666667</v>
      </c>
      <c r="J670" s="26" t="n">
        <f aca="false">IFERROR((I670-H670)*24*60,"")</f>
        <v>720</v>
      </c>
      <c r="K670" s="26" t="s">
        <v>82</v>
      </c>
      <c r="L670" s="26" t="s">
        <v>108</v>
      </c>
      <c r="M670" s="26" t="s">
        <v>103</v>
      </c>
      <c r="N670" s="26" t="s">
        <v>104</v>
      </c>
      <c r="O670" s="26" t="n">
        <v>8</v>
      </c>
      <c r="P670" s="26" t="n">
        <v>40</v>
      </c>
      <c r="Q670" s="26" t="n">
        <f aca="false">IFERROR(3600/(P670/O670),"")</f>
        <v>720</v>
      </c>
      <c r="R670" s="26" t="n">
        <v>5774</v>
      </c>
      <c r="S670" s="26" t="n">
        <v>44</v>
      </c>
      <c r="T670" s="26" t="n">
        <f aca="false">IFERROR(J670-S670,"")</f>
        <v>676</v>
      </c>
      <c r="U670" s="26" t="n">
        <v>7</v>
      </c>
      <c r="V670" s="26"/>
      <c r="W670" s="26"/>
      <c r="X670" s="26"/>
      <c r="Y670" s="26"/>
      <c r="Z670" s="26"/>
      <c r="AA670" s="26"/>
      <c r="AB670" s="26" t="n">
        <v>4</v>
      </c>
      <c r="AC670" s="26" t="n">
        <v>4</v>
      </c>
      <c r="AD670" s="26"/>
      <c r="AE670" s="26"/>
      <c r="AF670" s="26" t="n">
        <f aca="false">SUM(U670:AE670)</f>
        <v>15</v>
      </c>
      <c r="AG670" s="26" t="n">
        <f aca="false">T670-AF670</f>
        <v>661</v>
      </c>
      <c r="AH670" s="28" t="n">
        <f aca="false">IFERROR(AG670/T670,"")</f>
        <v>0.977810650887574</v>
      </c>
      <c r="AI670" s="29" t="n">
        <f aca="false">IFERROR(R670/AG670*60,"")</f>
        <v>524.11497730711</v>
      </c>
      <c r="AJ670" s="30" t="n">
        <f aca="false">IFERROR(AI670/Q670,"")</f>
        <v>0.727937468482098</v>
      </c>
      <c r="AK670" s="31" t="n">
        <f aca="false">IFERROR(R670/(T670/60*Q670),"")</f>
        <v>0.711785009861933</v>
      </c>
      <c r="AL670" s="26" t="n">
        <v>6</v>
      </c>
      <c r="AM670" s="26" t="n">
        <v>7</v>
      </c>
      <c r="AN670" s="26" t="n">
        <v>9</v>
      </c>
      <c r="AO670" s="26" t="n">
        <v>7</v>
      </c>
      <c r="AP670" s="26" t="n">
        <v>4</v>
      </c>
      <c r="AQ670" s="26" t="n">
        <v>10</v>
      </c>
      <c r="AR670" s="26" t="n">
        <v>7</v>
      </c>
      <c r="AS670" s="26" t="n">
        <v>10</v>
      </c>
      <c r="AT670" s="26" t="n">
        <v>4</v>
      </c>
      <c r="AU670" s="26" t="n">
        <v>11</v>
      </c>
      <c r="AV670" s="26" t="n">
        <f aca="false">SUM(AL670:AU670)</f>
        <v>75</v>
      </c>
      <c r="AW670" s="32" t="n">
        <f aca="false">IFERROR(AV670/R670*1000000,"")</f>
        <v>12989.2622099065</v>
      </c>
      <c r="AX670" s="33" t="n">
        <f aca="false">IFERROR((R670-AV670)/R670,"")</f>
        <v>0.987010737790094</v>
      </c>
      <c r="AY670" s="34" t="n">
        <f aca="false">IFERROR(AH670*AJ670*AX670,"")</f>
        <v>0.702539447731755</v>
      </c>
      <c r="AZ670" s="35"/>
    </row>
    <row r="671" customFormat="false" ht="12.75" hidden="false" customHeight="true" outlineLevel="0" collapsed="false">
      <c r="A671" s="24" t="n">
        <v>667</v>
      </c>
      <c r="B671" s="25" t="n">
        <v>46245</v>
      </c>
      <c r="C671" s="25" t="n">
        <v>12</v>
      </c>
      <c r="D671" s="26" t="s">
        <v>71</v>
      </c>
      <c r="E671" s="26" t="s">
        <v>72</v>
      </c>
      <c r="F671" s="26" t="s">
        <v>73</v>
      </c>
      <c r="G671" s="26" t="s">
        <v>8</v>
      </c>
      <c r="H671" s="27" t="n">
        <v>0.354166666666667</v>
      </c>
      <c r="I671" s="27" t="n">
        <v>0.854166666666667</v>
      </c>
      <c r="J671" s="26" t="n">
        <f aca="false">IFERROR((I671-H671)*24*60,"")</f>
        <v>720</v>
      </c>
      <c r="K671" s="26" t="s">
        <v>89</v>
      </c>
      <c r="L671" s="26" t="s">
        <v>75</v>
      </c>
      <c r="M671" s="26" t="s">
        <v>76</v>
      </c>
      <c r="N671" s="26" t="s">
        <v>77</v>
      </c>
      <c r="O671" s="26" t="n">
        <v>1</v>
      </c>
      <c r="P671" s="26" t="n">
        <v>34</v>
      </c>
      <c r="Q671" s="26" t="n">
        <f aca="false">IFERROR(3600/(P671/O671),"")</f>
        <v>105.882352941176</v>
      </c>
      <c r="R671" s="26" t="n">
        <v>949</v>
      </c>
      <c r="S671" s="26" t="n">
        <v>57</v>
      </c>
      <c r="T671" s="26" t="n">
        <f aca="false">IFERROR(J671-S671,"")</f>
        <v>663</v>
      </c>
      <c r="U671" s="26" t="n">
        <v>12</v>
      </c>
      <c r="V671" s="26"/>
      <c r="W671" s="26" t="n">
        <v>7</v>
      </c>
      <c r="X671" s="26" t="n">
        <v>4</v>
      </c>
      <c r="Y671" s="26"/>
      <c r="Z671" s="26"/>
      <c r="AA671" s="26"/>
      <c r="AB671" s="26"/>
      <c r="AC671" s="26"/>
      <c r="AD671" s="26"/>
      <c r="AE671" s="26"/>
      <c r="AF671" s="26" t="n">
        <f aca="false">SUM(U671:AE671)</f>
        <v>23</v>
      </c>
      <c r="AG671" s="26" t="n">
        <f aca="false">T671-AF671</f>
        <v>640</v>
      </c>
      <c r="AH671" s="28" t="n">
        <f aca="false">IFERROR(AG671/T671,"")</f>
        <v>0.965309200603318</v>
      </c>
      <c r="AI671" s="29" t="n">
        <f aca="false">IFERROR(R671/AG671*60,"")</f>
        <v>88.96875</v>
      </c>
      <c r="AJ671" s="30" t="n">
        <f aca="false">IFERROR(AI671/Q671,"")</f>
        <v>0.840260416666667</v>
      </c>
      <c r="AK671" s="31" t="n">
        <f aca="false">IFERROR(R671/(T671/60*Q671),"")</f>
        <v>0.811111111111111</v>
      </c>
      <c r="AL671" s="26" t="n">
        <v>3</v>
      </c>
      <c r="AM671" s="26" t="n">
        <v>1</v>
      </c>
      <c r="AN671" s="26" t="n">
        <v>4</v>
      </c>
      <c r="AO671" s="26" t="n">
        <v>2</v>
      </c>
      <c r="AP671" s="26" t="n">
        <v>1</v>
      </c>
      <c r="AQ671" s="26" t="n">
        <v>1</v>
      </c>
      <c r="AR671" s="26" t="n">
        <v>1</v>
      </c>
      <c r="AS671" s="26" t="n">
        <v>1</v>
      </c>
      <c r="AT671" s="26" t="n">
        <v>4</v>
      </c>
      <c r="AU671" s="26" t="n">
        <v>1</v>
      </c>
      <c r="AV671" s="26" t="n">
        <f aca="false">SUM(AL671:AU671)</f>
        <v>19</v>
      </c>
      <c r="AW671" s="32" t="n">
        <f aca="false">IFERROR(AV671/R671*1000000,"")</f>
        <v>20021.0748155954</v>
      </c>
      <c r="AX671" s="33" t="n">
        <f aca="false">IFERROR((R671-AV671)/R671,"")</f>
        <v>0.979978925184405</v>
      </c>
      <c r="AY671" s="34" t="n">
        <f aca="false">IFERROR(AH671*AJ671*AX671,"")</f>
        <v>0.794871794871795</v>
      </c>
      <c r="AZ671" s="35" t="s">
        <v>78</v>
      </c>
    </row>
    <row r="672" customFormat="false" ht="12.75" hidden="false" customHeight="true" outlineLevel="0" collapsed="false">
      <c r="A672" s="24" t="n">
        <v>668</v>
      </c>
      <c r="B672" s="25" t="n">
        <v>46245</v>
      </c>
      <c r="C672" s="25" t="n">
        <v>12</v>
      </c>
      <c r="D672" s="26" t="s">
        <v>79</v>
      </c>
      <c r="E672" s="26" t="s">
        <v>80</v>
      </c>
      <c r="F672" s="26" t="s">
        <v>81</v>
      </c>
      <c r="G672" s="26" t="s">
        <v>9</v>
      </c>
      <c r="H672" s="27" t="n">
        <v>0.354166666666667</v>
      </c>
      <c r="I672" s="27" t="n">
        <v>0.854166666666667</v>
      </c>
      <c r="J672" s="26" t="n">
        <f aca="false">IFERROR((I672-H672)*24*60,"")</f>
        <v>720</v>
      </c>
      <c r="K672" s="26" t="s">
        <v>89</v>
      </c>
      <c r="L672" s="26" t="s">
        <v>90</v>
      </c>
      <c r="M672" s="26" t="s">
        <v>84</v>
      </c>
      <c r="N672" s="26" t="s">
        <v>85</v>
      </c>
      <c r="O672" s="26" t="n">
        <v>2</v>
      </c>
      <c r="P672" s="26" t="n">
        <v>69</v>
      </c>
      <c r="Q672" s="26" t="n">
        <f aca="false">IFERROR(3600/(P672/O672),"")</f>
        <v>104.347826086957</v>
      </c>
      <c r="R672" s="26" t="n">
        <v>919</v>
      </c>
      <c r="S672" s="26" t="n">
        <v>40</v>
      </c>
      <c r="T672" s="26" t="n">
        <f aca="false">IFERROR(J672-S672,"")</f>
        <v>680</v>
      </c>
      <c r="U672" s="26"/>
      <c r="V672" s="26"/>
      <c r="W672" s="26" t="n">
        <v>14</v>
      </c>
      <c r="X672" s="26"/>
      <c r="Y672" s="26" t="n">
        <v>27</v>
      </c>
      <c r="Z672" s="26"/>
      <c r="AA672" s="26"/>
      <c r="AB672" s="26"/>
      <c r="AC672" s="26"/>
      <c r="AD672" s="26"/>
      <c r="AE672" s="26"/>
      <c r="AF672" s="26" t="n">
        <f aca="false">SUM(U672:AE672)</f>
        <v>41</v>
      </c>
      <c r="AG672" s="26" t="n">
        <f aca="false">T672-AF672</f>
        <v>639</v>
      </c>
      <c r="AH672" s="28" t="n">
        <f aca="false">IFERROR(AG672/T672,"")</f>
        <v>0.939705882352941</v>
      </c>
      <c r="AI672" s="29" t="n">
        <f aca="false">IFERROR(R672/AG672*60,"")</f>
        <v>86.2910798122066</v>
      </c>
      <c r="AJ672" s="30" t="n">
        <f aca="false">IFERROR(AI672/Q672,"")</f>
        <v>0.826956181533646</v>
      </c>
      <c r="AK672" s="31" t="n">
        <f aca="false">IFERROR(R672/(T672/60*Q672),"")</f>
        <v>0.777095588235294</v>
      </c>
      <c r="AL672" s="26" t="n">
        <v>1</v>
      </c>
      <c r="AM672" s="26" t="n">
        <v>1</v>
      </c>
      <c r="AN672" s="26" t="n">
        <v>1</v>
      </c>
      <c r="AO672" s="26"/>
      <c r="AP672" s="26"/>
      <c r="AQ672" s="26"/>
      <c r="AR672" s="26"/>
      <c r="AS672" s="26" t="n">
        <v>1</v>
      </c>
      <c r="AT672" s="26"/>
      <c r="AU672" s="26" t="n">
        <v>1</v>
      </c>
      <c r="AV672" s="26" t="n">
        <f aca="false">SUM(AL672:AU672)</f>
        <v>5</v>
      </c>
      <c r="AW672" s="32" t="n">
        <f aca="false">IFERROR(AV672/R672*1000000,"")</f>
        <v>5440.69640914037</v>
      </c>
      <c r="AX672" s="33" t="n">
        <f aca="false">IFERROR((R672-AV672)/R672,"")</f>
        <v>0.99455930359086</v>
      </c>
      <c r="AY672" s="34" t="n">
        <f aca="false">IFERROR(AH672*AJ672*AX672,"")</f>
        <v>0.772867647058824</v>
      </c>
      <c r="AZ672" s="35" t="s">
        <v>93</v>
      </c>
    </row>
    <row r="673" customFormat="false" ht="12.75" hidden="false" customHeight="true" outlineLevel="0" collapsed="false">
      <c r="A673" s="24" t="n">
        <v>669</v>
      </c>
      <c r="B673" s="25" t="n">
        <v>46245</v>
      </c>
      <c r="C673" s="25" t="n">
        <v>12</v>
      </c>
      <c r="D673" s="26" t="s">
        <v>87</v>
      </c>
      <c r="E673" s="26" t="s">
        <v>88</v>
      </c>
      <c r="F673" s="26" t="s">
        <v>73</v>
      </c>
      <c r="G673" s="26" t="s">
        <v>10</v>
      </c>
      <c r="H673" s="27" t="n">
        <v>0.354166666666667</v>
      </c>
      <c r="I673" s="27" t="n">
        <v>0.854166666666667</v>
      </c>
      <c r="J673" s="26" t="n">
        <f aca="false">IFERROR((I673-H673)*24*60,"")</f>
        <v>720</v>
      </c>
      <c r="K673" s="26" t="s">
        <v>74</v>
      </c>
      <c r="L673" s="26" t="s">
        <v>83</v>
      </c>
      <c r="M673" s="26" t="s">
        <v>91</v>
      </c>
      <c r="N673" s="26" t="s">
        <v>92</v>
      </c>
      <c r="O673" s="26" t="n">
        <v>8</v>
      </c>
      <c r="P673" s="26" t="n">
        <v>40</v>
      </c>
      <c r="Q673" s="26" t="n">
        <f aca="false">IFERROR(3600/(P673/O673),"")</f>
        <v>720</v>
      </c>
      <c r="R673" s="26" t="n">
        <v>7190</v>
      </c>
      <c r="S673" s="26" t="n">
        <v>38</v>
      </c>
      <c r="T673" s="26" t="n">
        <f aca="false">IFERROR(J673-S673,"")</f>
        <v>682</v>
      </c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 t="n">
        <v>30</v>
      </c>
      <c r="AF673" s="26" t="n">
        <f aca="false">SUM(U673:AE673)</f>
        <v>30</v>
      </c>
      <c r="AG673" s="26" t="n">
        <f aca="false">T673-AF673</f>
        <v>652</v>
      </c>
      <c r="AH673" s="28" t="n">
        <f aca="false">IFERROR(AG673/T673,"")</f>
        <v>0.956011730205279</v>
      </c>
      <c r="AI673" s="29" t="n">
        <f aca="false">IFERROR(R673/AG673*60,"")</f>
        <v>661.656441717791</v>
      </c>
      <c r="AJ673" s="30" t="n">
        <f aca="false">IFERROR(AI673/Q673,"")</f>
        <v>0.918967280163599</v>
      </c>
      <c r="AK673" s="31" t="n">
        <f aca="false">IFERROR(R673/(T673/60*Q673),"")</f>
        <v>0.878543499511241</v>
      </c>
      <c r="AL673" s="26" t="n">
        <v>18</v>
      </c>
      <c r="AM673" s="26" t="n">
        <v>15</v>
      </c>
      <c r="AN673" s="26" t="n">
        <v>14</v>
      </c>
      <c r="AO673" s="26" t="n">
        <v>13</v>
      </c>
      <c r="AP673" s="26" t="n">
        <v>13</v>
      </c>
      <c r="AQ673" s="26" t="n">
        <v>15</v>
      </c>
      <c r="AR673" s="26" t="n">
        <v>17</v>
      </c>
      <c r="AS673" s="26" t="n">
        <v>6</v>
      </c>
      <c r="AT673" s="26" t="n">
        <v>8</v>
      </c>
      <c r="AU673" s="26" t="n">
        <v>13</v>
      </c>
      <c r="AV673" s="26" t="n">
        <f aca="false">SUM(AL673:AU673)</f>
        <v>132</v>
      </c>
      <c r="AW673" s="32" t="n">
        <f aca="false">IFERROR(AV673/R673*1000000,"")</f>
        <v>18358.8317107093</v>
      </c>
      <c r="AX673" s="33" t="n">
        <f aca="false">IFERROR((R673-AV673)/R673,"")</f>
        <v>0.981641168289291</v>
      </c>
      <c r="AY673" s="34" t="n">
        <f aca="false">IFERROR(AH673*AJ673*AX673,"")</f>
        <v>0.862414467253177</v>
      </c>
      <c r="AZ673" s="35" t="s">
        <v>78</v>
      </c>
    </row>
    <row r="674" customFormat="false" ht="12.75" hidden="false" customHeight="true" outlineLevel="0" collapsed="false">
      <c r="A674" s="24" t="n">
        <v>670</v>
      </c>
      <c r="B674" s="25" t="n">
        <v>46246</v>
      </c>
      <c r="C674" s="25" t="n">
        <v>12</v>
      </c>
      <c r="D674" s="26" t="s">
        <v>71</v>
      </c>
      <c r="E674" s="26" t="s">
        <v>94</v>
      </c>
      <c r="F674" s="26" t="s">
        <v>81</v>
      </c>
      <c r="G674" s="26" t="s">
        <v>11</v>
      </c>
      <c r="H674" s="27" t="n">
        <v>0.354166666666667</v>
      </c>
      <c r="I674" s="27" t="n">
        <v>0.854166666666667</v>
      </c>
      <c r="J674" s="26" t="n">
        <f aca="false">IFERROR((I674-H674)*24*60,"")</f>
        <v>720</v>
      </c>
      <c r="K674" s="26" t="s">
        <v>82</v>
      </c>
      <c r="L674" s="26" t="s">
        <v>90</v>
      </c>
      <c r="M674" s="26" t="s">
        <v>95</v>
      </c>
      <c r="N674" s="26" t="s">
        <v>96</v>
      </c>
      <c r="O674" s="26" t="n">
        <v>2</v>
      </c>
      <c r="P674" s="26" t="n">
        <v>53</v>
      </c>
      <c r="Q674" s="26" t="n">
        <f aca="false">IFERROR(3600/(P674/O674),"")</f>
        <v>135.849056603774</v>
      </c>
      <c r="R674" s="26" t="n">
        <v>1260</v>
      </c>
      <c r="S674" s="26" t="n">
        <v>50</v>
      </c>
      <c r="T674" s="26" t="n">
        <f aca="false">IFERROR(J674-S674,"")</f>
        <v>670</v>
      </c>
      <c r="U674" s="26" t="n">
        <v>38</v>
      </c>
      <c r="V674" s="26"/>
      <c r="W674" s="26"/>
      <c r="X674" s="26" t="n">
        <v>22</v>
      </c>
      <c r="Y674" s="26" t="n">
        <v>14</v>
      </c>
      <c r="Z674" s="26"/>
      <c r="AA674" s="26"/>
      <c r="AB674" s="26"/>
      <c r="AC674" s="26"/>
      <c r="AD674" s="26"/>
      <c r="AE674" s="26"/>
      <c r="AF674" s="26" t="n">
        <f aca="false">SUM(U674:AE674)</f>
        <v>74</v>
      </c>
      <c r="AG674" s="26" t="n">
        <f aca="false">T674-AF674</f>
        <v>596</v>
      </c>
      <c r="AH674" s="28" t="n">
        <f aca="false">IFERROR(AG674/T674,"")</f>
        <v>0.88955223880597</v>
      </c>
      <c r="AI674" s="29" t="n">
        <f aca="false">IFERROR(R674/AG674*60,"")</f>
        <v>126.845637583893</v>
      </c>
      <c r="AJ674" s="30" t="n">
        <f aca="false">IFERROR(AI674/Q674,"")</f>
        <v>0.933724832214765</v>
      </c>
      <c r="AK674" s="31" t="n">
        <f aca="false">IFERROR(R674/(T674/60*Q674),"")</f>
        <v>0.830597014925373</v>
      </c>
      <c r="AL674" s="26" t="n">
        <v>2</v>
      </c>
      <c r="AM674" s="26" t="n">
        <v>4</v>
      </c>
      <c r="AN674" s="26" t="n">
        <v>4</v>
      </c>
      <c r="AO674" s="26" t="n">
        <v>2</v>
      </c>
      <c r="AP674" s="26" t="n">
        <v>1</v>
      </c>
      <c r="AQ674" s="26" t="n">
        <v>5</v>
      </c>
      <c r="AR674" s="26" t="n">
        <v>3</v>
      </c>
      <c r="AS674" s="26" t="n">
        <v>4</v>
      </c>
      <c r="AT674" s="26" t="n">
        <v>4</v>
      </c>
      <c r="AU674" s="26" t="n">
        <v>1</v>
      </c>
      <c r="AV674" s="26" t="n">
        <f aca="false">SUM(AL674:AU674)</f>
        <v>30</v>
      </c>
      <c r="AW674" s="32" t="n">
        <f aca="false">IFERROR(AV674/R674*1000000,"")</f>
        <v>23809.5238095238</v>
      </c>
      <c r="AX674" s="33" t="n">
        <f aca="false">IFERROR((R674-AV674)/R674,"")</f>
        <v>0.976190476190476</v>
      </c>
      <c r="AY674" s="34" t="n">
        <f aca="false">IFERROR(AH674*AJ674*AX674,"")</f>
        <v>0.810820895522388</v>
      </c>
      <c r="AZ674" s="35" t="s">
        <v>86</v>
      </c>
    </row>
    <row r="675" customFormat="false" ht="12.75" hidden="false" customHeight="true" outlineLevel="0" collapsed="false">
      <c r="A675" s="24" t="n">
        <v>671</v>
      </c>
      <c r="B675" s="25" t="n">
        <v>46246</v>
      </c>
      <c r="C675" s="25" t="n">
        <v>12</v>
      </c>
      <c r="D675" s="26" t="s">
        <v>79</v>
      </c>
      <c r="E675" s="26" t="s">
        <v>97</v>
      </c>
      <c r="F675" s="26" t="s">
        <v>73</v>
      </c>
      <c r="G675" s="26" t="s">
        <v>12</v>
      </c>
      <c r="H675" s="27" t="n">
        <v>0.354166666666667</v>
      </c>
      <c r="I675" s="27" t="n">
        <v>0.854166666666667</v>
      </c>
      <c r="J675" s="26" t="n">
        <f aca="false">IFERROR((I675-H675)*24*60,"")</f>
        <v>720</v>
      </c>
      <c r="K675" s="26" t="s">
        <v>89</v>
      </c>
      <c r="L675" s="26" t="s">
        <v>75</v>
      </c>
      <c r="M675" s="26" t="s">
        <v>99</v>
      </c>
      <c r="N675" s="26" t="s">
        <v>100</v>
      </c>
      <c r="O675" s="26" t="n">
        <v>4</v>
      </c>
      <c r="P675" s="26" t="n">
        <v>75</v>
      </c>
      <c r="Q675" s="26" t="n">
        <f aca="false">IFERROR(3600/(P675/O675),"")</f>
        <v>192</v>
      </c>
      <c r="R675" s="26" t="n">
        <v>2107</v>
      </c>
      <c r="S675" s="26" t="n">
        <v>31</v>
      </c>
      <c r="T675" s="26" t="n">
        <f aca="false">IFERROR(J675-S675,"")</f>
        <v>689</v>
      </c>
      <c r="U675" s="26"/>
      <c r="V675" s="26" t="n">
        <v>18</v>
      </c>
      <c r="W675" s="26"/>
      <c r="X675" s="26"/>
      <c r="Y675" s="26"/>
      <c r="Z675" s="26"/>
      <c r="AA675" s="26"/>
      <c r="AB675" s="26"/>
      <c r="AC675" s="26" t="n">
        <v>21</v>
      </c>
      <c r="AD675" s="26" t="n">
        <v>3</v>
      </c>
      <c r="AE675" s="26"/>
      <c r="AF675" s="26" t="n">
        <f aca="false">SUM(U675:AE675)</f>
        <v>42</v>
      </c>
      <c r="AG675" s="26" t="n">
        <f aca="false">T675-AF675</f>
        <v>647</v>
      </c>
      <c r="AH675" s="28" t="n">
        <f aca="false">IFERROR(AG675/T675,"")</f>
        <v>0.939042089985486</v>
      </c>
      <c r="AI675" s="29" t="n">
        <f aca="false">IFERROR(R675/AG675*60,"")</f>
        <v>195.394126738794</v>
      </c>
      <c r="AJ675" s="30" t="n">
        <f aca="false">IFERROR(AI675/Q675,"")</f>
        <v>1.01767774343122</v>
      </c>
      <c r="AK675" s="31" t="n">
        <f aca="false">IFERROR(R675/(T675/60*Q675),"")</f>
        <v>0.955642235123367</v>
      </c>
      <c r="AL675" s="26" t="n">
        <v>1</v>
      </c>
      <c r="AM675" s="26" t="n">
        <v>2</v>
      </c>
      <c r="AN675" s="26" t="n">
        <v>3</v>
      </c>
      <c r="AO675" s="26" t="n">
        <v>2</v>
      </c>
      <c r="AP675" s="26" t="n">
        <v>2</v>
      </c>
      <c r="AQ675" s="26" t="n">
        <v>6</v>
      </c>
      <c r="AR675" s="26" t="n">
        <v>1</v>
      </c>
      <c r="AS675" s="26" t="n">
        <v>3</v>
      </c>
      <c r="AT675" s="26"/>
      <c r="AU675" s="26" t="n">
        <v>5</v>
      </c>
      <c r="AV675" s="26" t="n">
        <f aca="false">SUM(AL675:AU675)</f>
        <v>25</v>
      </c>
      <c r="AW675" s="32" t="n">
        <f aca="false">IFERROR(AV675/R675*1000000,"")</f>
        <v>11865.2112007594</v>
      </c>
      <c r="AX675" s="33" t="n">
        <f aca="false">IFERROR((R675-AV675)/R675,"")</f>
        <v>0.988134788799241</v>
      </c>
      <c r="AY675" s="34" t="n">
        <f aca="false">IFERROR(AH675*AJ675*AX675,"")</f>
        <v>0.944303338171263</v>
      </c>
      <c r="AZ675" s="35" t="s">
        <v>78</v>
      </c>
    </row>
    <row r="676" customFormat="false" ht="12.75" hidden="false" customHeight="true" outlineLevel="0" collapsed="false">
      <c r="A676" s="24" t="n">
        <v>672</v>
      </c>
      <c r="B676" s="25" t="n">
        <v>46246</v>
      </c>
      <c r="C676" s="25" t="n">
        <v>12</v>
      </c>
      <c r="D676" s="26" t="s">
        <v>87</v>
      </c>
      <c r="E676" s="26" t="s">
        <v>101</v>
      </c>
      <c r="F676" s="26" t="s">
        <v>81</v>
      </c>
      <c r="G676" s="26" t="s">
        <v>13</v>
      </c>
      <c r="H676" s="27" t="n">
        <v>0.354166666666667</v>
      </c>
      <c r="I676" s="27" t="n">
        <v>0.854166666666667</v>
      </c>
      <c r="J676" s="26" t="n">
        <f aca="false">IFERROR((I676-H676)*24*60,"")</f>
        <v>720</v>
      </c>
      <c r="K676" s="26" t="s">
        <v>89</v>
      </c>
      <c r="L676" s="26" t="s">
        <v>90</v>
      </c>
      <c r="M676" s="26" t="s">
        <v>103</v>
      </c>
      <c r="N676" s="26" t="s">
        <v>104</v>
      </c>
      <c r="O676" s="26" t="n">
        <v>4</v>
      </c>
      <c r="P676" s="26" t="n">
        <v>53</v>
      </c>
      <c r="Q676" s="26" t="n">
        <f aca="false">IFERROR(3600/(P676/O676),"")</f>
        <v>271.698113207547</v>
      </c>
      <c r="R676" s="26" t="n">
        <v>2309</v>
      </c>
      <c r="S676" s="26" t="n">
        <v>75</v>
      </c>
      <c r="T676" s="26" t="n">
        <f aca="false">IFERROR(J676-S676,"")</f>
        <v>645</v>
      </c>
      <c r="U676" s="26"/>
      <c r="V676" s="26"/>
      <c r="W676" s="26"/>
      <c r="X676" s="26"/>
      <c r="Y676" s="26" t="n">
        <v>17</v>
      </c>
      <c r="Z676" s="26"/>
      <c r="AA676" s="26"/>
      <c r="AB676" s="26"/>
      <c r="AC676" s="26"/>
      <c r="AD676" s="26"/>
      <c r="AE676" s="26"/>
      <c r="AF676" s="26" t="n">
        <f aca="false">SUM(U676:AE676)</f>
        <v>17</v>
      </c>
      <c r="AG676" s="26" t="n">
        <f aca="false">T676-AF676</f>
        <v>628</v>
      </c>
      <c r="AH676" s="28" t="n">
        <f aca="false">IFERROR(AG676/T676,"")</f>
        <v>0.973643410852713</v>
      </c>
      <c r="AI676" s="29" t="n">
        <f aca="false">IFERROR(R676/AG676*60,"")</f>
        <v>220.605095541401</v>
      </c>
      <c r="AJ676" s="30" t="n">
        <f aca="false">IFERROR(AI676/Q676,"")</f>
        <v>0.811949309978769</v>
      </c>
      <c r="AK676" s="31" t="n">
        <f aca="false">IFERROR(R676/(T676/60*Q676),"")</f>
        <v>0.790549095607235</v>
      </c>
      <c r="AL676" s="26" t="n">
        <v>2</v>
      </c>
      <c r="AM676" s="26" t="n">
        <v>4</v>
      </c>
      <c r="AN676" s="26" t="n">
        <v>2</v>
      </c>
      <c r="AO676" s="26" t="n">
        <v>2</v>
      </c>
      <c r="AP676" s="26"/>
      <c r="AQ676" s="26" t="n">
        <v>2</v>
      </c>
      <c r="AR676" s="26" t="n">
        <v>2</v>
      </c>
      <c r="AS676" s="26" t="n">
        <v>1</v>
      </c>
      <c r="AT676" s="26" t="n">
        <v>3</v>
      </c>
      <c r="AU676" s="26" t="n">
        <v>3</v>
      </c>
      <c r="AV676" s="26" t="n">
        <f aca="false">SUM(AL676:AU676)</f>
        <v>21</v>
      </c>
      <c r="AW676" s="32" t="n">
        <f aca="false">IFERROR(AV676/R676*1000000,"")</f>
        <v>9094.84625378952</v>
      </c>
      <c r="AX676" s="33" t="n">
        <f aca="false">IFERROR((R676-AV676)/R676,"")</f>
        <v>0.990905153746211</v>
      </c>
      <c r="AY676" s="34" t="n">
        <f aca="false">IFERROR(AH676*AJ676*AX676,"")</f>
        <v>0.783359173126615</v>
      </c>
      <c r="AZ676" s="35" t="s">
        <v>78</v>
      </c>
    </row>
    <row r="677" customFormat="false" ht="12.75" hidden="false" customHeight="true" outlineLevel="0" collapsed="false">
      <c r="A677" s="24" t="n">
        <v>673</v>
      </c>
      <c r="B677" s="25" t="n">
        <v>46247</v>
      </c>
      <c r="C677" s="25" t="n">
        <v>12</v>
      </c>
      <c r="D677" s="26" t="s">
        <v>71</v>
      </c>
      <c r="E677" s="26" t="s">
        <v>72</v>
      </c>
      <c r="F677" s="26" t="s">
        <v>73</v>
      </c>
      <c r="G677" s="26" t="s">
        <v>8</v>
      </c>
      <c r="H677" s="27" t="n">
        <v>0.354166666666667</v>
      </c>
      <c r="I677" s="27" t="n">
        <v>0.854166666666667</v>
      </c>
      <c r="J677" s="26" t="n">
        <f aca="false">IFERROR((I677-H677)*24*60,"")</f>
        <v>720</v>
      </c>
      <c r="K677" s="26" t="s">
        <v>105</v>
      </c>
      <c r="L677" s="26" t="s">
        <v>98</v>
      </c>
      <c r="M677" s="26" t="s">
        <v>76</v>
      </c>
      <c r="N677" s="26" t="s">
        <v>77</v>
      </c>
      <c r="O677" s="26" t="n">
        <v>4</v>
      </c>
      <c r="P677" s="26" t="n">
        <v>53</v>
      </c>
      <c r="Q677" s="26" t="n">
        <f aca="false">IFERROR(3600/(P677/O677),"")</f>
        <v>271.698113207547</v>
      </c>
      <c r="R677" s="26" t="n">
        <v>2433</v>
      </c>
      <c r="S677" s="26" t="n">
        <v>62</v>
      </c>
      <c r="T677" s="26" t="n">
        <f aca="false">IFERROR(J677-S677,"")</f>
        <v>658</v>
      </c>
      <c r="U677" s="26"/>
      <c r="V677" s="26"/>
      <c r="W677" s="26" t="n">
        <v>4</v>
      </c>
      <c r="X677" s="26"/>
      <c r="Y677" s="26"/>
      <c r="Z677" s="26"/>
      <c r="AA677" s="26"/>
      <c r="AB677" s="26"/>
      <c r="AC677" s="26" t="n">
        <v>13</v>
      </c>
      <c r="AD677" s="26"/>
      <c r="AE677" s="26" t="n">
        <v>18</v>
      </c>
      <c r="AF677" s="26" t="n">
        <f aca="false">SUM(U677:AE677)</f>
        <v>35</v>
      </c>
      <c r="AG677" s="26" t="n">
        <f aca="false">T677-AF677</f>
        <v>623</v>
      </c>
      <c r="AH677" s="28" t="n">
        <f aca="false">IFERROR(AG677/T677,"")</f>
        <v>0.946808510638298</v>
      </c>
      <c r="AI677" s="29" t="n">
        <f aca="false">IFERROR(R677/AG677*60,"")</f>
        <v>234.317817014446</v>
      </c>
      <c r="AJ677" s="30" t="n">
        <f aca="false">IFERROR(AI677/Q677,"")</f>
        <v>0.86241974317817</v>
      </c>
      <c r="AK677" s="31" t="n">
        <f aca="false">IFERROR(R677/(T677/60*Q677),"")</f>
        <v>0.816546352583587</v>
      </c>
      <c r="AL677" s="26" t="n">
        <v>2</v>
      </c>
      <c r="AM677" s="26" t="n">
        <v>3</v>
      </c>
      <c r="AN677" s="26" t="n">
        <v>2</v>
      </c>
      <c r="AO677" s="26" t="n">
        <v>4</v>
      </c>
      <c r="AP677" s="26" t="n">
        <v>1</v>
      </c>
      <c r="AQ677" s="26" t="n">
        <v>3</v>
      </c>
      <c r="AR677" s="26" t="n">
        <v>3</v>
      </c>
      <c r="AS677" s="26" t="n">
        <v>4</v>
      </c>
      <c r="AT677" s="26" t="n">
        <v>8</v>
      </c>
      <c r="AU677" s="26" t="n">
        <v>7</v>
      </c>
      <c r="AV677" s="26" t="n">
        <f aca="false">SUM(AL677:AU677)</f>
        <v>37</v>
      </c>
      <c r="AW677" s="32" t="n">
        <f aca="false">IFERROR(AV677/R677*1000000,"")</f>
        <v>15207.5626798192</v>
      </c>
      <c r="AX677" s="33" t="n">
        <f aca="false">IFERROR((R677-AV677)/R677,"")</f>
        <v>0.984792437320181</v>
      </c>
      <c r="AY677" s="34" t="n">
        <f aca="false">IFERROR(AH677*AJ677*AX677,"")</f>
        <v>0.804128672745694</v>
      </c>
      <c r="AZ677" s="35" t="s">
        <v>86</v>
      </c>
    </row>
    <row r="678" customFormat="false" ht="12.75" hidden="false" customHeight="true" outlineLevel="0" collapsed="false">
      <c r="A678" s="24" t="n">
        <v>674</v>
      </c>
      <c r="B678" s="25" t="n">
        <v>46247</v>
      </c>
      <c r="C678" s="25" t="n">
        <v>12</v>
      </c>
      <c r="D678" s="26" t="s">
        <v>79</v>
      </c>
      <c r="E678" s="26" t="s">
        <v>80</v>
      </c>
      <c r="F678" s="26" t="s">
        <v>81</v>
      </c>
      <c r="G678" s="26" t="s">
        <v>9</v>
      </c>
      <c r="H678" s="27" t="n">
        <v>0.354166666666667</v>
      </c>
      <c r="I678" s="27" t="n">
        <v>0.854166666666667</v>
      </c>
      <c r="J678" s="26" t="n">
        <f aca="false">IFERROR((I678-H678)*24*60,"")</f>
        <v>720</v>
      </c>
      <c r="K678" s="26" t="s">
        <v>89</v>
      </c>
      <c r="L678" s="26" t="s">
        <v>106</v>
      </c>
      <c r="M678" s="26" t="s">
        <v>84</v>
      </c>
      <c r="N678" s="26" t="s">
        <v>85</v>
      </c>
      <c r="O678" s="26" t="n">
        <v>8</v>
      </c>
      <c r="P678" s="26" t="n">
        <v>68</v>
      </c>
      <c r="Q678" s="26" t="n">
        <f aca="false">IFERROR(3600/(P678/O678),"")</f>
        <v>423.529411764706</v>
      </c>
      <c r="R678" s="26" t="n">
        <v>3303</v>
      </c>
      <c r="S678" s="26" t="n">
        <v>66</v>
      </c>
      <c r="T678" s="26" t="n">
        <f aca="false">IFERROR(J678-S678,"")</f>
        <v>654</v>
      </c>
      <c r="U678" s="26"/>
      <c r="V678" s="26"/>
      <c r="W678" s="26"/>
      <c r="X678" s="26" t="n">
        <v>63</v>
      </c>
      <c r="Y678" s="26"/>
      <c r="Z678" s="26"/>
      <c r="AA678" s="26"/>
      <c r="AB678" s="26" t="n">
        <v>3</v>
      </c>
      <c r="AC678" s="26"/>
      <c r="AD678" s="26"/>
      <c r="AE678" s="26" t="n">
        <v>3</v>
      </c>
      <c r="AF678" s="26" t="n">
        <f aca="false">SUM(U678:AE678)</f>
        <v>69</v>
      </c>
      <c r="AG678" s="26" t="n">
        <f aca="false">T678-AF678</f>
        <v>585</v>
      </c>
      <c r="AH678" s="28" t="n">
        <f aca="false">IFERROR(AG678/T678,"")</f>
        <v>0.894495412844037</v>
      </c>
      <c r="AI678" s="29" t="n">
        <f aca="false">IFERROR(R678/AG678*60,"")</f>
        <v>338.769230769231</v>
      </c>
      <c r="AJ678" s="30" t="n">
        <f aca="false">IFERROR(AI678/Q678,"")</f>
        <v>0.799871794871795</v>
      </c>
      <c r="AK678" s="31" t="n">
        <f aca="false">IFERROR(R678/(T678/60*Q678),"")</f>
        <v>0.715481651376147</v>
      </c>
      <c r="AL678" s="26" t="n">
        <v>3</v>
      </c>
      <c r="AM678" s="26" t="n">
        <v>2</v>
      </c>
      <c r="AN678" s="26" t="n">
        <v>2</v>
      </c>
      <c r="AO678" s="26" t="n">
        <v>3</v>
      </c>
      <c r="AP678" s="26" t="n">
        <v>9</v>
      </c>
      <c r="AQ678" s="26" t="n">
        <v>5</v>
      </c>
      <c r="AR678" s="26" t="n">
        <v>4</v>
      </c>
      <c r="AS678" s="26" t="n">
        <v>4</v>
      </c>
      <c r="AT678" s="26" t="n">
        <v>2</v>
      </c>
      <c r="AU678" s="26" t="n">
        <v>10</v>
      </c>
      <c r="AV678" s="26" t="n">
        <f aca="false">SUM(AL678:AU678)</f>
        <v>44</v>
      </c>
      <c r="AW678" s="32" t="n">
        <f aca="false">IFERROR(AV678/R678*1000000,"")</f>
        <v>13321.2231304874</v>
      </c>
      <c r="AX678" s="33" t="n">
        <f aca="false">IFERROR((R678-AV678)/R678,"")</f>
        <v>0.986678776869513</v>
      </c>
      <c r="AY678" s="34" t="n">
        <f aca="false">IFERROR(AH678*AJ678*AX678,"")</f>
        <v>0.705950560652396</v>
      </c>
      <c r="AZ678" s="35" t="s">
        <v>93</v>
      </c>
    </row>
    <row r="679" customFormat="false" ht="12.75" hidden="false" customHeight="true" outlineLevel="0" collapsed="false">
      <c r="A679" s="24" t="n">
        <v>675</v>
      </c>
      <c r="B679" s="25" t="n">
        <v>46247</v>
      </c>
      <c r="C679" s="25" t="n">
        <v>12</v>
      </c>
      <c r="D679" s="26" t="s">
        <v>87</v>
      </c>
      <c r="E679" s="26" t="s">
        <v>88</v>
      </c>
      <c r="F679" s="26" t="s">
        <v>73</v>
      </c>
      <c r="G679" s="26" t="s">
        <v>10</v>
      </c>
      <c r="H679" s="27" t="n">
        <v>0.354166666666667</v>
      </c>
      <c r="I679" s="27" t="n">
        <v>0.854166666666667</v>
      </c>
      <c r="J679" s="26" t="n">
        <f aca="false">IFERROR((I679-H679)*24*60,"")</f>
        <v>720</v>
      </c>
      <c r="K679" s="26" t="s">
        <v>89</v>
      </c>
      <c r="L679" s="26" t="s">
        <v>102</v>
      </c>
      <c r="M679" s="26" t="s">
        <v>91</v>
      </c>
      <c r="N679" s="26" t="s">
        <v>92</v>
      </c>
      <c r="O679" s="26" t="n">
        <v>2</v>
      </c>
      <c r="P679" s="26" t="n">
        <v>67</v>
      </c>
      <c r="Q679" s="26" t="n">
        <f aca="false">IFERROR(3600/(P679/O679),"")</f>
        <v>107.462686567164</v>
      </c>
      <c r="R679" s="26" t="n">
        <v>930</v>
      </c>
      <c r="S679" s="26" t="n">
        <v>58</v>
      </c>
      <c r="T679" s="26" t="n">
        <f aca="false">IFERROR(J679-S679,"")</f>
        <v>662</v>
      </c>
      <c r="U679" s="26"/>
      <c r="V679" s="26"/>
      <c r="W679" s="26"/>
      <c r="X679" s="26"/>
      <c r="Y679" s="26"/>
      <c r="Z679" s="26"/>
      <c r="AA679" s="26" t="n">
        <v>7</v>
      </c>
      <c r="AB679" s="26"/>
      <c r="AC679" s="26" t="n">
        <v>18</v>
      </c>
      <c r="AD679" s="26"/>
      <c r="AE679" s="26"/>
      <c r="AF679" s="26" t="n">
        <f aca="false">SUM(U679:AE679)</f>
        <v>25</v>
      </c>
      <c r="AG679" s="26" t="n">
        <f aca="false">T679-AF679</f>
        <v>637</v>
      </c>
      <c r="AH679" s="28" t="n">
        <f aca="false">IFERROR(AG679/T679,"")</f>
        <v>0.962235649546828</v>
      </c>
      <c r="AI679" s="29" t="n">
        <f aca="false">IFERROR(R679/AG679*60,"")</f>
        <v>87.5981161695447</v>
      </c>
      <c r="AJ679" s="30" t="n">
        <f aca="false">IFERROR(AI679/Q679,"")</f>
        <v>0.815149136577708</v>
      </c>
      <c r="AK679" s="31" t="n">
        <f aca="false">IFERROR(R679/(T679/60*Q679),"")</f>
        <v>0.784365558912387</v>
      </c>
      <c r="AL679" s="26" t="n">
        <v>2</v>
      </c>
      <c r="AM679" s="26" t="n">
        <v>1</v>
      </c>
      <c r="AN679" s="26"/>
      <c r="AO679" s="26" t="n">
        <v>2</v>
      </c>
      <c r="AP679" s="26" t="n">
        <v>1</v>
      </c>
      <c r="AQ679" s="26"/>
      <c r="AR679" s="26"/>
      <c r="AS679" s="26" t="n">
        <v>2</v>
      </c>
      <c r="AT679" s="26"/>
      <c r="AU679" s="26"/>
      <c r="AV679" s="26" t="n">
        <f aca="false">SUM(AL679:AU679)</f>
        <v>8</v>
      </c>
      <c r="AW679" s="32" t="n">
        <f aca="false">IFERROR(AV679/R679*1000000,"")</f>
        <v>8602.15053763441</v>
      </c>
      <c r="AX679" s="33" t="n">
        <f aca="false">IFERROR((R679-AV679)/R679,"")</f>
        <v>0.991397849462366</v>
      </c>
      <c r="AY679" s="34" t="n">
        <f aca="false">IFERROR(AH679*AJ679*AX679,"")</f>
        <v>0.777618328298087</v>
      </c>
      <c r="AZ679" s="35"/>
    </row>
    <row r="680" customFormat="false" ht="12.75" hidden="false" customHeight="true" outlineLevel="0" collapsed="false">
      <c r="A680" s="24" t="n">
        <v>676</v>
      </c>
      <c r="B680" s="25" t="n">
        <v>46248</v>
      </c>
      <c r="C680" s="25" t="n">
        <v>12</v>
      </c>
      <c r="D680" s="26" t="s">
        <v>71</v>
      </c>
      <c r="E680" s="26" t="s">
        <v>94</v>
      </c>
      <c r="F680" s="26" t="s">
        <v>81</v>
      </c>
      <c r="G680" s="26" t="s">
        <v>11</v>
      </c>
      <c r="H680" s="27" t="n">
        <v>0.354166666666667</v>
      </c>
      <c r="I680" s="27" t="n">
        <v>0.854166666666667</v>
      </c>
      <c r="J680" s="26" t="n">
        <f aca="false">IFERROR((I680-H680)*24*60,"")</f>
        <v>720</v>
      </c>
      <c r="K680" s="26" t="s">
        <v>105</v>
      </c>
      <c r="L680" s="26" t="s">
        <v>83</v>
      </c>
      <c r="M680" s="26" t="s">
        <v>95</v>
      </c>
      <c r="N680" s="26" t="s">
        <v>96</v>
      </c>
      <c r="O680" s="26" t="n">
        <v>4</v>
      </c>
      <c r="P680" s="26" t="n">
        <v>66</v>
      </c>
      <c r="Q680" s="26" t="n">
        <f aca="false">IFERROR(3600/(P680/O680),"")</f>
        <v>218.181818181818</v>
      </c>
      <c r="R680" s="26" t="n">
        <v>1721</v>
      </c>
      <c r="S680" s="26" t="n">
        <v>36</v>
      </c>
      <c r="T680" s="26" t="n">
        <f aca="false">IFERROR(J680-S680,"")</f>
        <v>684</v>
      </c>
      <c r="U680" s="26"/>
      <c r="V680" s="26"/>
      <c r="W680" s="26"/>
      <c r="X680" s="26" t="n">
        <v>20</v>
      </c>
      <c r="Y680" s="26"/>
      <c r="Z680" s="26"/>
      <c r="AA680" s="26"/>
      <c r="AB680" s="26" t="n">
        <v>3</v>
      </c>
      <c r="AC680" s="26" t="n">
        <v>11</v>
      </c>
      <c r="AD680" s="26"/>
      <c r="AE680" s="26"/>
      <c r="AF680" s="26" t="n">
        <f aca="false">SUM(U680:AE680)</f>
        <v>34</v>
      </c>
      <c r="AG680" s="26" t="n">
        <f aca="false">T680-AF680</f>
        <v>650</v>
      </c>
      <c r="AH680" s="28" t="n">
        <f aca="false">IFERROR(AG680/T680,"")</f>
        <v>0.950292397660819</v>
      </c>
      <c r="AI680" s="29" t="n">
        <f aca="false">IFERROR(R680/AG680*60,"")</f>
        <v>158.861538461538</v>
      </c>
      <c r="AJ680" s="30" t="n">
        <f aca="false">IFERROR(AI680/Q680,"")</f>
        <v>0.728115384615385</v>
      </c>
      <c r="AK680" s="31" t="n">
        <f aca="false">IFERROR(R680/(T680/60*Q680),"")</f>
        <v>0.691922514619883</v>
      </c>
      <c r="AL680" s="26" t="n">
        <v>1</v>
      </c>
      <c r="AM680" s="26"/>
      <c r="AN680" s="26" t="n">
        <v>3</v>
      </c>
      <c r="AO680" s="26" t="n">
        <v>4</v>
      </c>
      <c r="AP680" s="26" t="n">
        <v>1</v>
      </c>
      <c r="AQ680" s="26" t="n">
        <v>3</v>
      </c>
      <c r="AR680" s="26" t="n">
        <v>1</v>
      </c>
      <c r="AS680" s="26"/>
      <c r="AT680" s="26" t="n">
        <v>2</v>
      </c>
      <c r="AU680" s="26" t="n">
        <v>3</v>
      </c>
      <c r="AV680" s="26" t="n">
        <f aca="false">SUM(AL680:AU680)</f>
        <v>18</v>
      </c>
      <c r="AW680" s="32" t="n">
        <f aca="false">IFERROR(AV680/R680*1000000,"")</f>
        <v>10459.035444509</v>
      </c>
      <c r="AX680" s="33" t="n">
        <f aca="false">IFERROR((R680-AV680)/R680,"")</f>
        <v>0.989540964555491</v>
      </c>
      <c r="AY680" s="34" t="n">
        <f aca="false">IFERROR(AH680*AJ680*AX680,"")</f>
        <v>0.68468567251462</v>
      </c>
      <c r="AZ680" s="35" t="s">
        <v>86</v>
      </c>
    </row>
    <row r="681" customFormat="false" ht="12.75" hidden="false" customHeight="true" outlineLevel="0" collapsed="false">
      <c r="A681" s="24" t="n">
        <v>677</v>
      </c>
      <c r="B681" s="25" t="n">
        <v>46248</v>
      </c>
      <c r="C681" s="25" t="n">
        <v>12</v>
      </c>
      <c r="D681" s="26" t="s">
        <v>79</v>
      </c>
      <c r="E681" s="26" t="s">
        <v>97</v>
      </c>
      <c r="F681" s="26" t="s">
        <v>73</v>
      </c>
      <c r="G681" s="26" t="s">
        <v>12</v>
      </c>
      <c r="H681" s="27" t="n">
        <v>0.354166666666667</v>
      </c>
      <c r="I681" s="27" t="n">
        <v>0.854166666666667</v>
      </c>
      <c r="J681" s="26" t="n">
        <f aca="false">IFERROR((I681-H681)*24*60,"")</f>
        <v>720</v>
      </c>
      <c r="K681" s="26" t="s">
        <v>74</v>
      </c>
      <c r="L681" s="26" t="s">
        <v>107</v>
      </c>
      <c r="M681" s="26" t="s">
        <v>99</v>
      </c>
      <c r="N681" s="26" t="s">
        <v>100</v>
      </c>
      <c r="O681" s="26" t="n">
        <v>8</v>
      </c>
      <c r="P681" s="26" t="n">
        <v>44</v>
      </c>
      <c r="Q681" s="26" t="n">
        <f aca="false">IFERROR(3600/(P681/O681),"")</f>
        <v>654.545454545455</v>
      </c>
      <c r="R681" s="26" t="n">
        <v>5631</v>
      </c>
      <c r="S681" s="26" t="n">
        <v>35</v>
      </c>
      <c r="T681" s="26" t="n">
        <f aca="false">IFERROR(J681-S681,"")</f>
        <v>685</v>
      </c>
      <c r="U681" s="26"/>
      <c r="V681" s="26" t="n">
        <v>8</v>
      </c>
      <c r="W681" s="26"/>
      <c r="X681" s="26"/>
      <c r="Y681" s="26"/>
      <c r="Z681" s="26" t="n">
        <v>6</v>
      </c>
      <c r="AA681" s="26"/>
      <c r="AB681" s="26"/>
      <c r="AC681" s="26"/>
      <c r="AD681" s="26"/>
      <c r="AE681" s="26"/>
      <c r="AF681" s="26" t="n">
        <f aca="false">SUM(U681:AE681)</f>
        <v>14</v>
      </c>
      <c r="AG681" s="26" t="n">
        <f aca="false">T681-AF681</f>
        <v>671</v>
      </c>
      <c r="AH681" s="28" t="n">
        <f aca="false">IFERROR(AG681/T681,"")</f>
        <v>0.97956204379562</v>
      </c>
      <c r="AI681" s="29" t="n">
        <f aca="false">IFERROR(R681/AG681*60,"")</f>
        <v>503.517138599106</v>
      </c>
      <c r="AJ681" s="30" t="n">
        <f aca="false">IFERROR(AI681/Q681,"")</f>
        <v>0.769262295081967</v>
      </c>
      <c r="AK681" s="31" t="n">
        <f aca="false">IFERROR(R681/(T681/60*Q681),"")</f>
        <v>0.753540145985402</v>
      </c>
      <c r="AL681" s="26" t="n">
        <v>5</v>
      </c>
      <c r="AM681" s="26" t="n">
        <v>5</v>
      </c>
      <c r="AN681" s="26" t="n">
        <v>5</v>
      </c>
      <c r="AO681" s="26" t="n">
        <v>4</v>
      </c>
      <c r="AP681" s="26" t="n">
        <v>7</v>
      </c>
      <c r="AQ681" s="26" t="n">
        <v>6</v>
      </c>
      <c r="AR681" s="26" t="n">
        <v>4</v>
      </c>
      <c r="AS681" s="26" t="n">
        <v>6</v>
      </c>
      <c r="AT681" s="26" t="n">
        <v>1</v>
      </c>
      <c r="AU681" s="26" t="n">
        <v>5</v>
      </c>
      <c r="AV681" s="26" t="n">
        <f aca="false">SUM(AL681:AU681)</f>
        <v>48</v>
      </c>
      <c r="AW681" s="32" t="n">
        <f aca="false">IFERROR(AV681/R681*1000000,"")</f>
        <v>8524.24080980288</v>
      </c>
      <c r="AX681" s="33" t="n">
        <f aca="false">IFERROR((R681-AV681)/R681,"")</f>
        <v>0.991475759190197</v>
      </c>
      <c r="AY681" s="34" t="n">
        <f aca="false">IFERROR(AH681*AJ681*AX681,"")</f>
        <v>0.747116788321168</v>
      </c>
      <c r="AZ681" s="35" t="s">
        <v>86</v>
      </c>
    </row>
    <row r="682" customFormat="false" ht="12.75" hidden="false" customHeight="true" outlineLevel="0" collapsed="false">
      <c r="A682" s="24" t="n">
        <v>678</v>
      </c>
      <c r="B682" s="25" t="n">
        <v>46248</v>
      </c>
      <c r="C682" s="25" t="n">
        <v>12</v>
      </c>
      <c r="D682" s="26" t="s">
        <v>87</v>
      </c>
      <c r="E682" s="26" t="s">
        <v>101</v>
      </c>
      <c r="F682" s="26" t="s">
        <v>81</v>
      </c>
      <c r="G682" s="26" t="s">
        <v>13</v>
      </c>
      <c r="H682" s="27" t="n">
        <v>0.354166666666667</v>
      </c>
      <c r="I682" s="27" t="n">
        <v>0.854166666666667</v>
      </c>
      <c r="J682" s="26" t="n">
        <f aca="false">IFERROR((I682-H682)*24*60,"")</f>
        <v>720</v>
      </c>
      <c r="K682" s="26" t="s">
        <v>74</v>
      </c>
      <c r="L682" s="26" t="s">
        <v>83</v>
      </c>
      <c r="M682" s="26" t="s">
        <v>103</v>
      </c>
      <c r="N682" s="26" t="s">
        <v>104</v>
      </c>
      <c r="O682" s="26" t="n">
        <v>8</v>
      </c>
      <c r="P682" s="26" t="n">
        <v>44</v>
      </c>
      <c r="Q682" s="26" t="n">
        <f aca="false">IFERROR(3600/(P682/O682),"")</f>
        <v>654.545454545455</v>
      </c>
      <c r="R682" s="26" t="n">
        <v>5166</v>
      </c>
      <c r="S682" s="26" t="n">
        <v>60</v>
      </c>
      <c r="T682" s="26" t="n">
        <f aca="false">IFERROR(J682-S682,"")</f>
        <v>660</v>
      </c>
      <c r="U682" s="26"/>
      <c r="V682" s="26" t="n">
        <v>4</v>
      </c>
      <c r="W682" s="26" t="n">
        <v>7</v>
      </c>
      <c r="X682" s="26"/>
      <c r="Y682" s="26"/>
      <c r="Z682" s="26"/>
      <c r="AA682" s="26"/>
      <c r="AB682" s="26"/>
      <c r="AC682" s="26"/>
      <c r="AD682" s="26"/>
      <c r="AE682" s="26"/>
      <c r="AF682" s="26" t="n">
        <f aca="false">SUM(U682:AE682)</f>
        <v>11</v>
      </c>
      <c r="AG682" s="26" t="n">
        <f aca="false">T682-AF682</f>
        <v>649</v>
      </c>
      <c r="AH682" s="28" t="n">
        <f aca="false">IFERROR(AG682/T682,"")</f>
        <v>0.983333333333333</v>
      </c>
      <c r="AI682" s="29" t="n">
        <f aca="false">IFERROR(R682/AG682*60,"")</f>
        <v>477.596302003082</v>
      </c>
      <c r="AJ682" s="30" t="n">
        <f aca="false">IFERROR(AI682/Q682,"")</f>
        <v>0.729661016949153</v>
      </c>
      <c r="AK682" s="31" t="n">
        <f aca="false">IFERROR(R682/(T682/60*Q682),"")</f>
        <v>0.7175</v>
      </c>
      <c r="AL682" s="26" t="n">
        <v>19</v>
      </c>
      <c r="AM682" s="26" t="n">
        <v>8</v>
      </c>
      <c r="AN682" s="26" t="n">
        <v>14</v>
      </c>
      <c r="AO682" s="26" t="n">
        <v>13</v>
      </c>
      <c r="AP682" s="26" t="n">
        <v>7</v>
      </c>
      <c r="AQ682" s="26" t="n">
        <v>12</v>
      </c>
      <c r="AR682" s="26" t="n">
        <v>15</v>
      </c>
      <c r="AS682" s="26" t="n">
        <v>10</v>
      </c>
      <c r="AT682" s="26" t="n">
        <v>5</v>
      </c>
      <c r="AU682" s="26" t="n">
        <v>15</v>
      </c>
      <c r="AV682" s="26" t="n">
        <f aca="false">SUM(AL682:AU682)</f>
        <v>118</v>
      </c>
      <c r="AW682" s="32" t="n">
        <f aca="false">IFERROR(AV682/R682*1000000,"")</f>
        <v>22841.6569879985</v>
      </c>
      <c r="AX682" s="33" t="n">
        <f aca="false">IFERROR((R682-AV682)/R682,"")</f>
        <v>0.977158343012002</v>
      </c>
      <c r="AY682" s="34" t="n">
        <f aca="false">IFERROR(AH682*AJ682*AX682,"")</f>
        <v>0.701111111111111</v>
      </c>
      <c r="AZ682" s="35" t="s">
        <v>86</v>
      </c>
    </row>
    <row r="683" customFormat="false" ht="12.75" hidden="false" customHeight="true" outlineLevel="0" collapsed="false">
      <c r="A683" s="24" t="n">
        <v>679</v>
      </c>
      <c r="B683" s="25" t="n">
        <v>46249</v>
      </c>
      <c r="C683" s="25" t="n">
        <v>12</v>
      </c>
      <c r="D683" s="26" t="s">
        <v>71</v>
      </c>
      <c r="E683" s="26" t="s">
        <v>72</v>
      </c>
      <c r="F683" s="26" t="s">
        <v>73</v>
      </c>
      <c r="G683" s="26" t="s">
        <v>8</v>
      </c>
      <c r="H683" s="27" t="n">
        <v>0.354166666666667</v>
      </c>
      <c r="I683" s="27" t="n">
        <v>0.854166666666667</v>
      </c>
      <c r="J683" s="26" t="n">
        <f aca="false">IFERROR((I683-H683)*24*60,"")</f>
        <v>720</v>
      </c>
      <c r="K683" s="26" t="s">
        <v>89</v>
      </c>
      <c r="L683" s="26" t="s">
        <v>98</v>
      </c>
      <c r="M683" s="26" t="s">
        <v>76</v>
      </c>
      <c r="N683" s="26" t="s">
        <v>77</v>
      </c>
      <c r="O683" s="26" t="n">
        <v>8</v>
      </c>
      <c r="P683" s="26" t="n">
        <v>71</v>
      </c>
      <c r="Q683" s="26" t="n">
        <f aca="false">IFERROR(3600/(P683/O683),"")</f>
        <v>405.633802816901</v>
      </c>
      <c r="R683" s="26" t="n">
        <v>3185</v>
      </c>
      <c r="S683" s="26" t="n">
        <v>71</v>
      </c>
      <c r="T683" s="26" t="n">
        <f aca="false">IFERROR(J683-S683,"")</f>
        <v>649</v>
      </c>
      <c r="U683" s="26"/>
      <c r="V683" s="26"/>
      <c r="W683" s="26"/>
      <c r="X683" s="26"/>
      <c r="Y683" s="26"/>
      <c r="Z683" s="26" t="n">
        <v>6</v>
      </c>
      <c r="AA683" s="26"/>
      <c r="AB683" s="26"/>
      <c r="AC683" s="26"/>
      <c r="AD683" s="26" t="n">
        <v>12</v>
      </c>
      <c r="AE683" s="26"/>
      <c r="AF683" s="26" t="n">
        <f aca="false">SUM(U683:AE683)</f>
        <v>18</v>
      </c>
      <c r="AG683" s="26" t="n">
        <f aca="false">T683-AF683</f>
        <v>631</v>
      </c>
      <c r="AH683" s="28" t="n">
        <f aca="false">IFERROR(AG683/T683,"")</f>
        <v>0.972265023112481</v>
      </c>
      <c r="AI683" s="29" t="n">
        <f aca="false">IFERROR(R683/AG683*60,"")</f>
        <v>302.852614896989</v>
      </c>
      <c r="AJ683" s="30" t="n">
        <f aca="false">IFERROR(AI683/Q683,"")</f>
        <v>0.746615821447438</v>
      </c>
      <c r="AK683" s="31" t="n">
        <f aca="false">IFERROR(R683/(T683/60*Q683),"")</f>
        <v>0.725908448895737</v>
      </c>
      <c r="AL683" s="26" t="n">
        <v>5</v>
      </c>
      <c r="AM683" s="26" t="n">
        <v>1</v>
      </c>
      <c r="AN683" s="26" t="n">
        <v>8</v>
      </c>
      <c r="AO683" s="26" t="n">
        <v>2</v>
      </c>
      <c r="AP683" s="26" t="n">
        <v>5</v>
      </c>
      <c r="AQ683" s="26" t="n">
        <v>4</v>
      </c>
      <c r="AR683" s="26" t="n">
        <v>7</v>
      </c>
      <c r="AS683" s="26" t="n">
        <v>6</v>
      </c>
      <c r="AT683" s="26" t="n">
        <v>6</v>
      </c>
      <c r="AU683" s="26" t="n">
        <v>3</v>
      </c>
      <c r="AV683" s="26" t="n">
        <f aca="false">SUM(AL683:AU683)</f>
        <v>47</v>
      </c>
      <c r="AW683" s="32" t="n">
        <f aca="false">IFERROR(AV683/R683*1000000,"")</f>
        <v>14756.671899529</v>
      </c>
      <c r="AX683" s="33" t="n">
        <f aca="false">IFERROR((R683-AV683)/R683,"")</f>
        <v>0.985243328100471</v>
      </c>
      <c r="AY683" s="34" t="n">
        <f aca="false">IFERROR(AH683*AJ683*AX683,"")</f>
        <v>0.715196456086287</v>
      </c>
      <c r="AZ683" s="35"/>
    </row>
    <row r="684" customFormat="false" ht="12.75" hidden="false" customHeight="true" outlineLevel="0" collapsed="false">
      <c r="A684" s="24" t="n">
        <v>680</v>
      </c>
      <c r="B684" s="25" t="n">
        <v>46249</v>
      </c>
      <c r="C684" s="25" t="n">
        <v>12</v>
      </c>
      <c r="D684" s="26" t="s">
        <v>79</v>
      </c>
      <c r="E684" s="26" t="s">
        <v>80</v>
      </c>
      <c r="F684" s="26" t="s">
        <v>81</v>
      </c>
      <c r="G684" s="26" t="s">
        <v>9</v>
      </c>
      <c r="H684" s="27" t="n">
        <v>0.354166666666667</v>
      </c>
      <c r="I684" s="27" t="n">
        <v>0.854166666666667</v>
      </c>
      <c r="J684" s="26" t="n">
        <f aca="false">IFERROR((I684-H684)*24*60,"")</f>
        <v>720</v>
      </c>
      <c r="K684" s="26" t="s">
        <v>82</v>
      </c>
      <c r="L684" s="26" t="s">
        <v>98</v>
      </c>
      <c r="M684" s="26" t="s">
        <v>84</v>
      </c>
      <c r="N684" s="26" t="s">
        <v>85</v>
      </c>
      <c r="O684" s="26" t="n">
        <v>4</v>
      </c>
      <c r="P684" s="26" t="n">
        <v>24</v>
      </c>
      <c r="Q684" s="26" t="n">
        <f aca="false">IFERROR(3600/(P684/O684),"")</f>
        <v>600</v>
      </c>
      <c r="R684" s="26" t="n">
        <v>5012</v>
      </c>
      <c r="S684" s="26" t="n">
        <v>61</v>
      </c>
      <c r="T684" s="26" t="n">
        <f aca="false">IFERROR(J684-S684,"")</f>
        <v>659</v>
      </c>
      <c r="U684" s="26"/>
      <c r="V684" s="26"/>
      <c r="W684" s="26"/>
      <c r="X684" s="26"/>
      <c r="Y684" s="26"/>
      <c r="Z684" s="26"/>
      <c r="AA684" s="26" t="n">
        <v>20</v>
      </c>
      <c r="AB684" s="26" t="n">
        <v>60</v>
      </c>
      <c r="AC684" s="26"/>
      <c r="AD684" s="26"/>
      <c r="AE684" s="26"/>
      <c r="AF684" s="26" t="n">
        <f aca="false">SUM(U684:AE684)</f>
        <v>80</v>
      </c>
      <c r="AG684" s="26" t="n">
        <f aca="false">T684-AF684</f>
        <v>579</v>
      </c>
      <c r="AH684" s="28" t="n">
        <f aca="false">IFERROR(AG684/T684,"")</f>
        <v>0.878603945371775</v>
      </c>
      <c r="AI684" s="29" t="n">
        <f aca="false">IFERROR(R684/AG684*60,"")</f>
        <v>519.378238341969</v>
      </c>
      <c r="AJ684" s="30" t="n">
        <f aca="false">IFERROR(AI684/Q684,"")</f>
        <v>0.865630397236615</v>
      </c>
      <c r="AK684" s="31" t="n">
        <f aca="false">IFERROR(R684/(T684/60*Q684),"")</f>
        <v>0.760546282245827</v>
      </c>
      <c r="AL684" s="26" t="n">
        <v>6</v>
      </c>
      <c r="AM684" s="26" t="n">
        <v>7</v>
      </c>
      <c r="AN684" s="26" t="n">
        <v>8</v>
      </c>
      <c r="AO684" s="26" t="n">
        <v>4</v>
      </c>
      <c r="AP684" s="26" t="n">
        <v>4</v>
      </c>
      <c r="AQ684" s="26" t="n">
        <v>4</v>
      </c>
      <c r="AR684" s="26" t="n">
        <v>9</v>
      </c>
      <c r="AS684" s="26" t="n">
        <v>5</v>
      </c>
      <c r="AT684" s="26" t="n">
        <v>10</v>
      </c>
      <c r="AU684" s="26" t="n">
        <v>5</v>
      </c>
      <c r="AV684" s="26" t="n">
        <f aca="false">SUM(AL684:AU684)</f>
        <v>62</v>
      </c>
      <c r="AW684" s="32" t="n">
        <f aca="false">IFERROR(AV684/R684*1000000,"")</f>
        <v>12370.3112529928</v>
      </c>
      <c r="AX684" s="33" t="n">
        <f aca="false">IFERROR((R684-AV684)/R684,"")</f>
        <v>0.987629688747007</v>
      </c>
      <c r="AY684" s="34" t="n">
        <f aca="false">IFERROR(AH684*AJ684*AX684,"")</f>
        <v>0.75113808801214</v>
      </c>
      <c r="AZ684" s="35" t="s">
        <v>78</v>
      </c>
    </row>
    <row r="685" customFormat="false" ht="12.75" hidden="false" customHeight="true" outlineLevel="0" collapsed="false">
      <c r="A685" s="24" t="n">
        <v>681</v>
      </c>
      <c r="B685" s="25" t="n">
        <v>46249</v>
      </c>
      <c r="C685" s="25" t="n">
        <v>12</v>
      </c>
      <c r="D685" s="26" t="s">
        <v>87</v>
      </c>
      <c r="E685" s="26" t="s">
        <v>88</v>
      </c>
      <c r="F685" s="26" t="s">
        <v>73</v>
      </c>
      <c r="G685" s="26" t="s">
        <v>10</v>
      </c>
      <c r="H685" s="27" t="n">
        <v>0.354166666666667</v>
      </c>
      <c r="I685" s="27" t="n">
        <v>0.854166666666667</v>
      </c>
      <c r="J685" s="26" t="n">
        <f aca="false">IFERROR((I685-H685)*24*60,"")</f>
        <v>720</v>
      </c>
      <c r="K685" s="26" t="s">
        <v>89</v>
      </c>
      <c r="L685" s="26" t="s">
        <v>90</v>
      </c>
      <c r="M685" s="26" t="s">
        <v>91</v>
      </c>
      <c r="N685" s="26" t="s">
        <v>92</v>
      </c>
      <c r="O685" s="26" t="n">
        <v>1</v>
      </c>
      <c r="P685" s="26" t="n">
        <v>60</v>
      </c>
      <c r="Q685" s="26" t="n">
        <f aca="false">IFERROR(3600/(P685/O685),"")</f>
        <v>60</v>
      </c>
      <c r="R685" s="26" t="n">
        <v>600</v>
      </c>
      <c r="S685" s="26" t="n">
        <v>55</v>
      </c>
      <c r="T685" s="26" t="n">
        <f aca="false">IFERROR(J685-S685,"")</f>
        <v>665</v>
      </c>
      <c r="U685" s="26"/>
      <c r="V685" s="26"/>
      <c r="W685" s="26"/>
      <c r="X685" s="26"/>
      <c r="Y685" s="26"/>
      <c r="Z685" s="26"/>
      <c r="AA685" s="26"/>
      <c r="AB685" s="26" t="n">
        <v>4</v>
      </c>
      <c r="AC685" s="26" t="n">
        <v>8</v>
      </c>
      <c r="AD685" s="26"/>
      <c r="AE685" s="26"/>
      <c r="AF685" s="26" t="n">
        <f aca="false">SUM(U685:AE685)</f>
        <v>12</v>
      </c>
      <c r="AG685" s="26" t="n">
        <f aca="false">T685-AF685</f>
        <v>653</v>
      </c>
      <c r="AH685" s="28" t="n">
        <f aca="false">IFERROR(AG685/T685,"")</f>
        <v>0.981954887218045</v>
      </c>
      <c r="AI685" s="29" t="n">
        <f aca="false">IFERROR(R685/AG685*60,"")</f>
        <v>55.1301684532925</v>
      </c>
      <c r="AJ685" s="30" t="n">
        <f aca="false">IFERROR(AI685/Q685,"")</f>
        <v>0.918836140888208</v>
      </c>
      <c r="AK685" s="31" t="n">
        <f aca="false">IFERROR(R685/(T685/60*Q685),"")</f>
        <v>0.902255639097744</v>
      </c>
      <c r="AL685" s="26"/>
      <c r="AM685" s="26" t="n">
        <v>1</v>
      </c>
      <c r="AN685" s="26"/>
      <c r="AO685" s="26"/>
      <c r="AP685" s="26"/>
      <c r="AQ685" s="26"/>
      <c r="AR685" s="26"/>
      <c r="AS685" s="26"/>
      <c r="AT685" s="26"/>
      <c r="AU685" s="26"/>
      <c r="AV685" s="26" t="n">
        <f aca="false">SUM(AL685:AU685)</f>
        <v>1</v>
      </c>
      <c r="AW685" s="32" t="n">
        <f aca="false">IFERROR(AV685/R685*1000000,"")</f>
        <v>1666.66666666667</v>
      </c>
      <c r="AX685" s="33" t="n">
        <f aca="false">IFERROR((R685-AV685)/R685,"")</f>
        <v>0.998333333333333</v>
      </c>
      <c r="AY685" s="34" t="n">
        <f aca="false">IFERROR(AH685*AJ685*AX685,"")</f>
        <v>0.900751879699248</v>
      </c>
      <c r="AZ685" s="35"/>
    </row>
    <row r="686" customFormat="false" ht="12.75" hidden="false" customHeight="true" outlineLevel="0" collapsed="false">
      <c r="A686" s="24" t="n">
        <v>682</v>
      </c>
      <c r="B686" s="25" t="n">
        <v>46250</v>
      </c>
      <c r="C686" s="25" t="n">
        <v>12</v>
      </c>
      <c r="D686" s="26" t="s">
        <v>71</v>
      </c>
      <c r="E686" s="26" t="s">
        <v>94</v>
      </c>
      <c r="F686" s="26" t="s">
        <v>81</v>
      </c>
      <c r="G686" s="26" t="s">
        <v>11</v>
      </c>
      <c r="H686" s="27" t="n">
        <v>0.354166666666667</v>
      </c>
      <c r="I686" s="27" t="n">
        <v>0.854166666666667</v>
      </c>
      <c r="J686" s="26" t="n">
        <f aca="false">IFERROR((I686-H686)*24*60,"")</f>
        <v>720</v>
      </c>
      <c r="K686" s="26" t="s">
        <v>74</v>
      </c>
      <c r="L686" s="26" t="s">
        <v>98</v>
      </c>
      <c r="M686" s="26" t="s">
        <v>95</v>
      </c>
      <c r="N686" s="26" t="s">
        <v>96</v>
      </c>
      <c r="O686" s="26" t="n">
        <v>4</v>
      </c>
      <c r="P686" s="26" t="n">
        <v>34</v>
      </c>
      <c r="Q686" s="26" t="n">
        <f aca="false">IFERROR(3600/(P686/O686),"")</f>
        <v>423.529411764706</v>
      </c>
      <c r="R686" s="26" t="n">
        <v>3290</v>
      </c>
      <c r="S686" s="26" t="n">
        <v>61</v>
      </c>
      <c r="T686" s="26" t="n">
        <f aca="false">IFERROR(J686-S686,"")</f>
        <v>659</v>
      </c>
      <c r="U686" s="26" t="n">
        <v>4</v>
      </c>
      <c r="V686" s="26"/>
      <c r="W686" s="26"/>
      <c r="X686" s="26"/>
      <c r="Y686" s="26" t="n">
        <v>6</v>
      </c>
      <c r="Z686" s="26"/>
      <c r="AA686" s="26"/>
      <c r="AB686" s="26"/>
      <c r="AC686" s="26"/>
      <c r="AD686" s="26"/>
      <c r="AE686" s="26"/>
      <c r="AF686" s="26" t="n">
        <f aca="false">SUM(U686:AE686)</f>
        <v>10</v>
      </c>
      <c r="AG686" s="26" t="n">
        <f aca="false">T686-AF686</f>
        <v>649</v>
      </c>
      <c r="AH686" s="28" t="n">
        <f aca="false">IFERROR(AG686/T686,"")</f>
        <v>0.984825493171472</v>
      </c>
      <c r="AI686" s="29" t="n">
        <f aca="false">IFERROR(R686/AG686*60,"")</f>
        <v>304.160246533128</v>
      </c>
      <c r="AJ686" s="30" t="n">
        <f aca="false">IFERROR(AI686/Q686,"")</f>
        <v>0.718156137647663</v>
      </c>
      <c r="AK686" s="31" t="n">
        <f aca="false">IFERROR(R686/(T686/60*Q686),"")</f>
        <v>0.707258472432979</v>
      </c>
      <c r="AL686" s="26"/>
      <c r="AM686" s="26"/>
      <c r="AN686" s="26"/>
      <c r="AO686" s="26" t="n">
        <v>2</v>
      </c>
      <c r="AP686" s="26"/>
      <c r="AQ686" s="26" t="n">
        <v>1</v>
      </c>
      <c r="AR686" s="26" t="n">
        <v>2</v>
      </c>
      <c r="AS686" s="26" t="n">
        <v>2</v>
      </c>
      <c r="AT686" s="26" t="n">
        <v>1</v>
      </c>
      <c r="AU686" s="26" t="n">
        <v>2</v>
      </c>
      <c r="AV686" s="26" t="n">
        <f aca="false">SUM(AL686:AU686)</f>
        <v>10</v>
      </c>
      <c r="AW686" s="32" t="n">
        <f aca="false">IFERROR(AV686/R686*1000000,"")</f>
        <v>3039.51367781155</v>
      </c>
      <c r="AX686" s="33" t="n">
        <f aca="false">IFERROR((R686-AV686)/R686,"")</f>
        <v>0.996960486322189</v>
      </c>
      <c r="AY686" s="34" t="n">
        <f aca="false">IFERROR(AH686*AJ686*AX686,"")</f>
        <v>0.705108750632271</v>
      </c>
      <c r="AZ686" s="35"/>
    </row>
    <row r="687" customFormat="false" ht="12.75" hidden="false" customHeight="true" outlineLevel="0" collapsed="false">
      <c r="A687" s="24" t="n">
        <v>683</v>
      </c>
      <c r="B687" s="25" t="n">
        <v>46250</v>
      </c>
      <c r="C687" s="25" t="n">
        <v>12</v>
      </c>
      <c r="D687" s="26" t="s">
        <v>79</v>
      </c>
      <c r="E687" s="26" t="s">
        <v>97</v>
      </c>
      <c r="F687" s="26" t="s">
        <v>73</v>
      </c>
      <c r="G687" s="26" t="s">
        <v>12</v>
      </c>
      <c r="H687" s="27" t="n">
        <v>0.354166666666667</v>
      </c>
      <c r="I687" s="27" t="n">
        <v>0.854166666666667</v>
      </c>
      <c r="J687" s="26" t="n">
        <f aca="false">IFERROR((I687-H687)*24*60,"")</f>
        <v>720</v>
      </c>
      <c r="K687" s="26" t="s">
        <v>74</v>
      </c>
      <c r="L687" s="26" t="s">
        <v>102</v>
      </c>
      <c r="M687" s="26" t="s">
        <v>99</v>
      </c>
      <c r="N687" s="26" t="s">
        <v>100</v>
      </c>
      <c r="O687" s="26" t="n">
        <v>4</v>
      </c>
      <c r="P687" s="26" t="n">
        <v>28</v>
      </c>
      <c r="Q687" s="26" t="n">
        <f aca="false">IFERROR(3600/(P687/O687),"")</f>
        <v>514.285714285714</v>
      </c>
      <c r="R687" s="26" t="n">
        <v>4302</v>
      </c>
      <c r="S687" s="26" t="n">
        <v>35</v>
      </c>
      <c r="T687" s="26" t="n">
        <f aca="false">IFERROR(J687-S687,"")</f>
        <v>685</v>
      </c>
      <c r="U687" s="26" t="n">
        <v>9</v>
      </c>
      <c r="V687" s="26" t="n">
        <v>7</v>
      </c>
      <c r="W687" s="26"/>
      <c r="X687" s="26"/>
      <c r="Y687" s="26"/>
      <c r="Z687" s="26"/>
      <c r="AA687" s="26"/>
      <c r="AB687" s="26"/>
      <c r="AC687" s="26"/>
      <c r="AD687" s="26"/>
      <c r="AE687" s="26"/>
      <c r="AF687" s="26" t="n">
        <f aca="false">SUM(U687:AE687)</f>
        <v>16</v>
      </c>
      <c r="AG687" s="26" t="n">
        <f aca="false">T687-AF687</f>
        <v>669</v>
      </c>
      <c r="AH687" s="28" t="n">
        <f aca="false">IFERROR(AG687/T687,"")</f>
        <v>0.976642335766423</v>
      </c>
      <c r="AI687" s="29" t="n">
        <f aca="false">IFERROR(R687/AG687*60,"")</f>
        <v>385.829596412556</v>
      </c>
      <c r="AJ687" s="30" t="n">
        <f aca="false">IFERROR(AI687/Q687,"")</f>
        <v>0.750224215246637</v>
      </c>
      <c r="AK687" s="31" t="n">
        <f aca="false">IFERROR(R687/(T687/60*Q687),"")</f>
        <v>0.732700729927007</v>
      </c>
      <c r="AL687" s="26" t="n">
        <v>7</v>
      </c>
      <c r="AM687" s="26" t="n">
        <v>4</v>
      </c>
      <c r="AN687" s="26" t="n">
        <v>8</v>
      </c>
      <c r="AO687" s="26" t="n">
        <v>4</v>
      </c>
      <c r="AP687" s="26" t="n">
        <v>8</v>
      </c>
      <c r="AQ687" s="26" t="n">
        <v>9</v>
      </c>
      <c r="AR687" s="26" t="n">
        <v>3</v>
      </c>
      <c r="AS687" s="26" t="n">
        <v>6</v>
      </c>
      <c r="AT687" s="26"/>
      <c r="AU687" s="26" t="n">
        <v>8</v>
      </c>
      <c r="AV687" s="26" t="n">
        <f aca="false">SUM(AL687:AU687)</f>
        <v>57</v>
      </c>
      <c r="AW687" s="32" t="n">
        <f aca="false">IFERROR(AV687/R687*1000000,"")</f>
        <v>13249.6513249651</v>
      </c>
      <c r="AX687" s="33" t="n">
        <f aca="false">IFERROR((R687-AV687)/R687,"")</f>
        <v>0.986750348675035</v>
      </c>
      <c r="AY687" s="34" t="n">
        <f aca="false">IFERROR(AH687*AJ687*AX687,"")</f>
        <v>0.722992700729927</v>
      </c>
      <c r="AZ687" s="35" t="s">
        <v>86</v>
      </c>
    </row>
    <row r="688" customFormat="false" ht="12.75" hidden="false" customHeight="true" outlineLevel="0" collapsed="false">
      <c r="A688" s="24" t="n">
        <v>684</v>
      </c>
      <c r="B688" s="25" t="n">
        <v>46250</v>
      </c>
      <c r="C688" s="25" t="n">
        <v>12</v>
      </c>
      <c r="D688" s="26" t="s">
        <v>87</v>
      </c>
      <c r="E688" s="26" t="s">
        <v>101</v>
      </c>
      <c r="F688" s="26" t="s">
        <v>81</v>
      </c>
      <c r="G688" s="26" t="s">
        <v>13</v>
      </c>
      <c r="H688" s="27" t="n">
        <v>0.354166666666667</v>
      </c>
      <c r="I688" s="27" t="n">
        <v>0.854166666666667</v>
      </c>
      <c r="J688" s="26" t="n">
        <f aca="false">IFERROR((I688-H688)*24*60,"")</f>
        <v>720</v>
      </c>
      <c r="K688" s="26" t="s">
        <v>74</v>
      </c>
      <c r="L688" s="26" t="s">
        <v>83</v>
      </c>
      <c r="M688" s="26" t="s">
        <v>103</v>
      </c>
      <c r="N688" s="26" t="s">
        <v>104</v>
      </c>
      <c r="O688" s="26" t="n">
        <v>8</v>
      </c>
      <c r="P688" s="26" t="n">
        <v>71</v>
      </c>
      <c r="Q688" s="26" t="n">
        <f aca="false">IFERROR(3600/(P688/O688),"")</f>
        <v>405.633802816901</v>
      </c>
      <c r="R688" s="26" t="n">
        <v>3675</v>
      </c>
      <c r="S688" s="26" t="n">
        <v>58</v>
      </c>
      <c r="T688" s="26" t="n">
        <f aca="false">IFERROR(J688-S688,"")</f>
        <v>662</v>
      </c>
      <c r="U688" s="26"/>
      <c r="V688" s="26" t="n">
        <v>27</v>
      </c>
      <c r="W688" s="26"/>
      <c r="X688" s="26"/>
      <c r="Y688" s="26"/>
      <c r="Z688" s="26"/>
      <c r="AA688" s="26"/>
      <c r="AB688" s="26" t="n">
        <v>22</v>
      </c>
      <c r="AC688" s="26" t="n">
        <v>15</v>
      </c>
      <c r="AD688" s="26"/>
      <c r="AE688" s="26"/>
      <c r="AF688" s="26" t="n">
        <f aca="false">SUM(U688:AE688)</f>
        <v>64</v>
      </c>
      <c r="AG688" s="26" t="n">
        <f aca="false">T688-AF688</f>
        <v>598</v>
      </c>
      <c r="AH688" s="28" t="n">
        <f aca="false">IFERROR(AG688/T688,"")</f>
        <v>0.903323262839879</v>
      </c>
      <c r="AI688" s="29" t="n">
        <f aca="false">IFERROR(R688/AG688*60,"")</f>
        <v>368.729096989967</v>
      </c>
      <c r="AJ688" s="30" t="n">
        <f aca="false">IFERROR(AI688/Q688,"")</f>
        <v>0.909019648829431</v>
      </c>
      <c r="AK688" s="31" t="n">
        <f aca="false">IFERROR(R688/(T688/60*Q688),"")</f>
        <v>0.821138595166163</v>
      </c>
      <c r="AL688" s="26" t="n">
        <v>7</v>
      </c>
      <c r="AM688" s="26" t="n">
        <v>7</v>
      </c>
      <c r="AN688" s="26" t="n">
        <v>3</v>
      </c>
      <c r="AO688" s="26" t="n">
        <v>3</v>
      </c>
      <c r="AP688" s="26" t="n">
        <v>9</v>
      </c>
      <c r="AQ688" s="26" t="n">
        <v>10</v>
      </c>
      <c r="AR688" s="26" t="n">
        <v>6</v>
      </c>
      <c r="AS688" s="26" t="n">
        <v>4</v>
      </c>
      <c r="AT688" s="26" t="n">
        <v>11</v>
      </c>
      <c r="AU688" s="26" t="n">
        <v>10</v>
      </c>
      <c r="AV688" s="26" t="n">
        <f aca="false">SUM(AL688:AU688)</f>
        <v>70</v>
      </c>
      <c r="AW688" s="32" t="n">
        <f aca="false">IFERROR(AV688/R688*1000000,"")</f>
        <v>19047.6190476191</v>
      </c>
      <c r="AX688" s="33" t="n">
        <f aca="false">IFERROR((R688-AV688)/R688,"")</f>
        <v>0.980952380952381</v>
      </c>
      <c r="AY688" s="34" t="n">
        <f aca="false">IFERROR(AH688*AJ688*AX688,"")</f>
        <v>0.805497860020141</v>
      </c>
      <c r="AZ688" s="35" t="s">
        <v>78</v>
      </c>
    </row>
    <row r="689" customFormat="false" ht="12.75" hidden="false" customHeight="true" outlineLevel="0" collapsed="false">
      <c r="A689" s="24" t="n">
        <v>685</v>
      </c>
      <c r="B689" s="25" t="n">
        <v>46251</v>
      </c>
      <c r="C689" s="25" t="n">
        <v>12</v>
      </c>
      <c r="D689" s="26" t="s">
        <v>71</v>
      </c>
      <c r="E689" s="26" t="s">
        <v>72</v>
      </c>
      <c r="F689" s="26" t="s">
        <v>73</v>
      </c>
      <c r="G689" s="26" t="s">
        <v>8</v>
      </c>
      <c r="H689" s="27" t="n">
        <v>0.354166666666667</v>
      </c>
      <c r="I689" s="27" t="n">
        <v>0.854166666666667</v>
      </c>
      <c r="J689" s="26" t="n">
        <f aca="false">IFERROR((I689-H689)*24*60,"")</f>
        <v>720</v>
      </c>
      <c r="K689" s="26" t="s">
        <v>82</v>
      </c>
      <c r="L689" s="26" t="s">
        <v>108</v>
      </c>
      <c r="M689" s="26" t="s">
        <v>76</v>
      </c>
      <c r="N689" s="26" t="s">
        <v>77</v>
      </c>
      <c r="O689" s="26" t="n">
        <v>8</v>
      </c>
      <c r="P689" s="26" t="n">
        <v>31</v>
      </c>
      <c r="Q689" s="26" t="n">
        <f aca="false">IFERROR(3600/(P689/O689),"")</f>
        <v>929.032258064516</v>
      </c>
      <c r="R689" s="26" t="n">
        <v>8496</v>
      </c>
      <c r="S689" s="26" t="n">
        <v>45</v>
      </c>
      <c r="T689" s="26" t="n">
        <f aca="false">IFERROR(J689-S689,"")</f>
        <v>675</v>
      </c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 t="n">
        <v>4</v>
      </c>
      <c r="AF689" s="26" t="n">
        <f aca="false">SUM(U689:AE689)</f>
        <v>4</v>
      </c>
      <c r="AG689" s="26" t="n">
        <f aca="false">T689-AF689</f>
        <v>671</v>
      </c>
      <c r="AH689" s="28" t="n">
        <f aca="false">IFERROR(AG689/T689,"")</f>
        <v>0.994074074074074</v>
      </c>
      <c r="AI689" s="29" t="n">
        <f aca="false">IFERROR(R689/AG689*60,"")</f>
        <v>759.701937406855</v>
      </c>
      <c r="AJ689" s="30" t="n">
        <f aca="false">IFERROR(AI689/Q689,"")</f>
        <v>0.817734724292101</v>
      </c>
      <c r="AK689" s="31" t="n">
        <f aca="false">IFERROR(R689/(T689/60*Q689),"")</f>
        <v>0.812888888888889</v>
      </c>
      <c r="AL689" s="26" t="n">
        <v>7</v>
      </c>
      <c r="AM689" s="26" t="n">
        <v>8</v>
      </c>
      <c r="AN689" s="26" t="n">
        <v>13</v>
      </c>
      <c r="AO689" s="26" t="n">
        <v>5</v>
      </c>
      <c r="AP689" s="26" t="n">
        <v>16</v>
      </c>
      <c r="AQ689" s="26" t="n">
        <v>9</v>
      </c>
      <c r="AR689" s="26" t="n">
        <v>7</v>
      </c>
      <c r="AS689" s="26" t="n">
        <v>15</v>
      </c>
      <c r="AT689" s="26" t="n">
        <v>12</v>
      </c>
      <c r="AU689" s="26" t="n">
        <v>13</v>
      </c>
      <c r="AV689" s="26" t="n">
        <f aca="false">SUM(AL689:AU689)</f>
        <v>105</v>
      </c>
      <c r="AW689" s="32" t="n">
        <f aca="false">IFERROR(AV689/R689*1000000,"")</f>
        <v>12358.7570621469</v>
      </c>
      <c r="AX689" s="33" t="n">
        <f aca="false">IFERROR((R689-AV689)/R689,"")</f>
        <v>0.987641242937853</v>
      </c>
      <c r="AY689" s="34" t="n">
        <f aca="false">IFERROR(AH689*AJ689*AX689,"")</f>
        <v>0.802842592592593</v>
      </c>
      <c r="AZ689" s="35" t="s">
        <v>86</v>
      </c>
    </row>
    <row r="690" customFormat="false" ht="12.75" hidden="false" customHeight="true" outlineLevel="0" collapsed="false">
      <c r="A690" s="24" t="n">
        <v>686</v>
      </c>
      <c r="B690" s="25" t="n">
        <v>46251</v>
      </c>
      <c r="C690" s="25" t="n">
        <v>12</v>
      </c>
      <c r="D690" s="26" t="s">
        <v>79</v>
      </c>
      <c r="E690" s="26" t="s">
        <v>80</v>
      </c>
      <c r="F690" s="26" t="s">
        <v>81</v>
      </c>
      <c r="G690" s="26" t="s">
        <v>9</v>
      </c>
      <c r="H690" s="27" t="n">
        <v>0.354166666666667</v>
      </c>
      <c r="I690" s="27" t="n">
        <v>0.854166666666667</v>
      </c>
      <c r="J690" s="26" t="n">
        <f aca="false">IFERROR((I690-H690)*24*60,"")</f>
        <v>720</v>
      </c>
      <c r="K690" s="26" t="s">
        <v>105</v>
      </c>
      <c r="L690" s="26" t="s">
        <v>108</v>
      </c>
      <c r="M690" s="26" t="s">
        <v>84</v>
      </c>
      <c r="N690" s="26" t="s">
        <v>85</v>
      </c>
      <c r="O690" s="26" t="n">
        <v>1</v>
      </c>
      <c r="P690" s="26" t="n">
        <v>33</v>
      </c>
      <c r="Q690" s="26" t="n">
        <f aca="false">IFERROR(3600/(P690/O690),"")</f>
        <v>109.090909090909</v>
      </c>
      <c r="R690" s="26" t="n">
        <v>1167</v>
      </c>
      <c r="S690" s="26" t="n">
        <v>63</v>
      </c>
      <c r="T690" s="26" t="n">
        <f aca="false">IFERROR(J690-S690,"")</f>
        <v>657</v>
      </c>
      <c r="U690" s="26"/>
      <c r="V690" s="26"/>
      <c r="W690" s="26"/>
      <c r="X690" s="26" t="n">
        <v>4</v>
      </c>
      <c r="Y690" s="26" t="n">
        <v>5</v>
      </c>
      <c r="Z690" s="26"/>
      <c r="AA690" s="26"/>
      <c r="AB690" s="26"/>
      <c r="AC690" s="26"/>
      <c r="AD690" s="26" t="n">
        <v>4</v>
      </c>
      <c r="AE690" s="26"/>
      <c r="AF690" s="26" t="n">
        <f aca="false">SUM(U690:AE690)</f>
        <v>13</v>
      </c>
      <c r="AG690" s="26" t="n">
        <f aca="false">T690-AF690</f>
        <v>644</v>
      </c>
      <c r="AH690" s="28" t="n">
        <f aca="false">IFERROR(AG690/T690,"")</f>
        <v>0.980213089802131</v>
      </c>
      <c r="AI690" s="29" t="n">
        <f aca="false">IFERROR(R690/AG690*60,"")</f>
        <v>108.726708074534</v>
      </c>
      <c r="AJ690" s="30" t="n">
        <f aca="false">IFERROR(AI690/Q690,"")</f>
        <v>0.99666149068323</v>
      </c>
      <c r="AK690" s="31" t="n">
        <f aca="false">IFERROR(R690/(T690/60*Q690),"")</f>
        <v>0.976940639269406</v>
      </c>
      <c r="AL690" s="26" t="n">
        <v>1</v>
      </c>
      <c r="AM690" s="26" t="n">
        <v>2</v>
      </c>
      <c r="AN690" s="26" t="n">
        <v>2</v>
      </c>
      <c r="AO690" s="26" t="n">
        <v>1</v>
      </c>
      <c r="AP690" s="26"/>
      <c r="AQ690" s="26" t="n">
        <v>2</v>
      </c>
      <c r="AR690" s="26" t="n">
        <v>3</v>
      </c>
      <c r="AS690" s="26" t="n">
        <v>1</v>
      </c>
      <c r="AT690" s="26" t="n">
        <v>1</v>
      </c>
      <c r="AU690" s="26"/>
      <c r="AV690" s="26" t="n">
        <f aca="false">SUM(AL690:AU690)</f>
        <v>13</v>
      </c>
      <c r="AW690" s="32" t="n">
        <f aca="false">IFERROR(AV690/R690*1000000,"")</f>
        <v>11139.6743787489</v>
      </c>
      <c r="AX690" s="33" t="n">
        <f aca="false">IFERROR((R690-AV690)/R690,"")</f>
        <v>0.988860325621251</v>
      </c>
      <c r="AY690" s="34" t="n">
        <f aca="false">IFERROR(AH690*AJ690*AX690,"")</f>
        <v>0.966057838660578</v>
      </c>
      <c r="AZ690" s="35" t="s">
        <v>93</v>
      </c>
    </row>
    <row r="691" customFormat="false" ht="12.75" hidden="false" customHeight="true" outlineLevel="0" collapsed="false">
      <c r="A691" s="24" t="n">
        <v>687</v>
      </c>
      <c r="B691" s="25" t="n">
        <v>46251</v>
      </c>
      <c r="C691" s="25" t="n">
        <v>12</v>
      </c>
      <c r="D691" s="26" t="s">
        <v>87</v>
      </c>
      <c r="E691" s="26" t="s">
        <v>88</v>
      </c>
      <c r="F691" s="26" t="s">
        <v>73</v>
      </c>
      <c r="G691" s="26" t="s">
        <v>10</v>
      </c>
      <c r="H691" s="27" t="n">
        <v>0.354166666666667</v>
      </c>
      <c r="I691" s="27" t="n">
        <v>0.854166666666667</v>
      </c>
      <c r="J691" s="26" t="n">
        <f aca="false">IFERROR((I691-H691)*24*60,"")</f>
        <v>720</v>
      </c>
      <c r="K691" s="26" t="s">
        <v>74</v>
      </c>
      <c r="L691" s="26" t="s">
        <v>90</v>
      </c>
      <c r="M691" s="26" t="s">
        <v>91</v>
      </c>
      <c r="N691" s="26" t="s">
        <v>92</v>
      </c>
      <c r="O691" s="26" t="n">
        <v>1</v>
      </c>
      <c r="P691" s="26" t="n">
        <v>44</v>
      </c>
      <c r="Q691" s="26" t="n">
        <f aca="false">IFERROR(3600/(P691/O691),"")</f>
        <v>81.8181818181818</v>
      </c>
      <c r="R691" s="26" t="n">
        <v>863</v>
      </c>
      <c r="S691" s="26" t="n">
        <v>69</v>
      </c>
      <c r="T691" s="26" t="n">
        <f aca="false">IFERROR(J691-S691,"")</f>
        <v>651</v>
      </c>
      <c r="U691" s="26" t="n">
        <v>15</v>
      </c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 t="n">
        <f aca="false">SUM(U691:AE691)</f>
        <v>15</v>
      </c>
      <c r="AG691" s="26" t="n">
        <f aca="false">T691-AF691</f>
        <v>636</v>
      </c>
      <c r="AH691" s="28" t="n">
        <f aca="false">IFERROR(AG691/T691,"")</f>
        <v>0.976958525345622</v>
      </c>
      <c r="AI691" s="29" t="n">
        <f aca="false">IFERROR(R691/AG691*60,"")</f>
        <v>81.4150943396226</v>
      </c>
      <c r="AJ691" s="30" t="n">
        <f aca="false">IFERROR(AI691/Q691,"")</f>
        <v>0.995073375262055</v>
      </c>
      <c r="AK691" s="31" t="n">
        <f aca="false">IFERROR(R691/(T691/60*Q691),"")</f>
        <v>0.972145417306708</v>
      </c>
      <c r="AL691" s="26"/>
      <c r="AM691" s="26"/>
      <c r="AN691" s="26" t="n">
        <v>1</v>
      </c>
      <c r="AO691" s="26" t="n">
        <v>1</v>
      </c>
      <c r="AP691" s="26" t="n">
        <v>1</v>
      </c>
      <c r="AQ691" s="26"/>
      <c r="AR691" s="26"/>
      <c r="AS691" s="26" t="n">
        <v>1</v>
      </c>
      <c r="AT691" s="26"/>
      <c r="AU691" s="26"/>
      <c r="AV691" s="26" t="n">
        <f aca="false">SUM(AL691:AU691)</f>
        <v>4</v>
      </c>
      <c r="AW691" s="32" t="n">
        <f aca="false">IFERROR(AV691/R691*1000000,"")</f>
        <v>4634.99420625724</v>
      </c>
      <c r="AX691" s="33" t="n">
        <f aca="false">IFERROR((R691-AV691)/R691,"")</f>
        <v>0.995365005793743</v>
      </c>
      <c r="AY691" s="34" t="n">
        <f aca="false">IFERROR(AH691*AJ691*AX691,"")</f>
        <v>0.967639528929852</v>
      </c>
      <c r="AZ691" s="35" t="s">
        <v>86</v>
      </c>
    </row>
    <row r="692" customFormat="false" ht="12.75" hidden="false" customHeight="true" outlineLevel="0" collapsed="false">
      <c r="A692" s="24" t="n">
        <v>688</v>
      </c>
      <c r="B692" s="25" t="n">
        <v>46252</v>
      </c>
      <c r="C692" s="25" t="n">
        <v>12</v>
      </c>
      <c r="D692" s="26" t="s">
        <v>71</v>
      </c>
      <c r="E692" s="26" t="s">
        <v>94</v>
      </c>
      <c r="F692" s="26" t="s">
        <v>81</v>
      </c>
      <c r="G692" s="26" t="s">
        <v>11</v>
      </c>
      <c r="H692" s="27" t="n">
        <v>0.354166666666667</v>
      </c>
      <c r="I692" s="27" t="n">
        <v>0.854166666666667</v>
      </c>
      <c r="J692" s="26" t="n">
        <f aca="false">IFERROR((I692-H692)*24*60,"")</f>
        <v>720</v>
      </c>
      <c r="K692" s="26" t="s">
        <v>89</v>
      </c>
      <c r="L692" s="26" t="s">
        <v>90</v>
      </c>
      <c r="M692" s="26" t="s">
        <v>95</v>
      </c>
      <c r="N692" s="26" t="s">
        <v>96</v>
      </c>
      <c r="O692" s="26" t="n">
        <v>8</v>
      </c>
      <c r="P692" s="26" t="n">
        <v>28</v>
      </c>
      <c r="Q692" s="26" t="n">
        <f aca="false">IFERROR(3600/(P692/O692),"")</f>
        <v>1028.57142857143</v>
      </c>
      <c r="R692" s="26" t="n">
        <v>9689</v>
      </c>
      <c r="S692" s="26" t="n">
        <v>58</v>
      </c>
      <c r="T692" s="26" t="n">
        <f aca="false">IFERROR(J692-S692,"")</f>
        <v>662</v>
      </c>
      <c r="U692" s="26"/>
      <c r="V692" s="26"/>
      <c r="W692" s="26" t="n">
        <v>13</v>
      </c>
      <c r="X692" s="26"/>
      <c r="Y692" s="26" t="n">
        <v>5</v>
      </c>
      <c r="Z692" s="26"/>
      <c r="AA692" s="26"/>
      <c r="AB692" s="26" t="n">
        <v>14</v>
      </c>
      <c r="AC692" s="26"/>
      <c r="AD692" s="26"/>
      <c r="AE692" s="26"/>
      <c r="AF692" s="26" t="n">
        <f aca="false">SUM(U692:AE692)</f>
        <v>32</v>
      </c>
      <c r="AG692" s="26" t="n">
        <f aca="false">T692-AF692</f>
        <v>630</v>
      </c>
      <c r="AH692" s="28" t="n">
        <f aca="false">IFERROR(AG692/T692,"")</f>
        <v>0.95166163141994</v>
      </c>
      <c r="AI692" s="29" t="n">
        <f aca="false">IFERROR(R692/AG692*60,"")</f>
        <v>922.761904761905</v>
      </c>
      <c r="AJ692" s="30" t="n">
        <f aca="false">IFERROR(AI692/Q692,"")</f>
        <v>0.89712962962963</v>
      </c>
      <c r="AK692" s="31" t="n">
        <f aca="false">IFERROR(R692/(T692/60*Q692),"")</f>
        <v>0.8537638469285</v>
      </c>
      <c r="AL692" s="26" t="n">
        <v>17</v>
      </c>
      <c r="AM692" s="26" t="n">
        <v>13</v>
      </c>
      <c r="AN692" s="26" t="n">
        <v>28</v>
      </c>
      <c r="AO692" s="26" t="n">
        <v>20</v>
      </c>
      <c r="AP692" s="26" t="n">
        <v>18</v>
      </c>
      <c r="AQ692" s="26" t="n">
        <v>24</v>
      </c>
      <c r="AR692" s="26" t="n">
        <v>24</v>
      </c>
      <c r="AS692" s="26" t="n">
        <v>23</v>
      </c>
      <c r="AT692" s="26" t="n">
        <v>33</v>
      </c>
      <c r="AU692" s="26" t="n">
        <v>13</v>
      </c>
      <c r="AV692" s="26" t="n">
        <f aca="false">SUM(AL692:AU692)</f>
        <v>213</v>
      </c>
      <c r="AW692" s="32" t="n">
        <f aca="false">IFERROR(AV692/R692*1000000,"")</f>
        <v>21983.6928475591</v>
      </c>
      <c r="AX692" s="33" t="n">
        <f aca="false">IFERROR((R692-AV692)/R692,"")</f>
        <v>0.978016307152441</v>
      </c>
      <c r="AY692" s="34" t="n">
        <f aca="false">IFERROR(AH692*AJ692*AX692,"")</f>
        <v>0.834994964753273</v>
      </c>
      <c r="AZ692" s="35" t="s">
        <v>78</v>
      </c>
    </row>
    <row r="693" customFormat="false" ht="12.75" hidden="false" customHeight="true" outlineLevel="0" collapsed="false">
      <c r="A693" s="24" t="n">
        <v>689</v>
      </c>
      <c r="B693" s="25" t="n">
        <v>46252</v>
      </c>
      <c r="C693" s="25" t="n">
        <v>12</v>
      </c>
      <c r="D693" s="26" t="s">
        <v>79</v>
      </c>
      <c r="E693" s="26" t="s">
        <v>97</v>
      </c>
      <c r="F693" s="26" t="s">
        <v>73</v>
      </c>
      <c r="G693" s="26" t="s">
        <v>12</v>
      </c>
      <c r="H693" s="27" t="n">
        <v>0.354166666666667</v>
      </c>
      <c r="I693" s="27" t="n">
        <v>0.854166666666667</v>
      </c>
      <c r="J693" s="26" t="n">
        <f aca="false">IFERROR((I693-H693)*24*60,"")</f>
        <v>720</v>
      </c>
      <c r="K693" s="26" t="s">
        <v>105</v>
      </c>
      <c r="L693" s="26" t="s">
        <v>90</v>
      </c>
      <c r="M693" s="26" t="s">
        <v>99</v>
      </c>
      <c r="N693" s="26" t="s">
        <v>100</v>
      </c>
      <c r="O693" s="26" t="n">
        <v>2</v>
      </c>
      <c r="P693" s="26" t="n">
        <v>39</v>
      </c>
      <c r="Q693" s="26" t="n">
        <f aca="false">IFERROR(3600/(P693/O693),"")</f>
        <v>184.615384615385</v>
      </c>
      <c r="R693" s="26" t="n">
        <v>1695</v>
      </c>
      <c r="S693" s="26" t="n">
        <v>72</v>
      </c>
      <c r="T693" s="26" t="n">
        <f aca="false">IFERROR(J693-S693,"")</f>
        <v>648</v>
      </c>
      <c r="U693" s="26"/>
      <c r="V693" s="26"/>
      <c r="W693" s="26"/>
      <c r="X693" s="26"/>
      <c r="Y693" s="26"/>
      <c r="Z693" s="26"/>
      <c r="AA693" s="26"/>
      <c r="AB693" s="26"/>
      <c r="AC693" s="26"/>
      <c r="AD693" s="26" t="n">
        <v>13</v>
      </c>
      <c r="AE693" s="26" t="n">
        <v>21</v>
      </c>
      <c r="AF693" s="26" t="n">
        <f aca="false">SUM(U693:AE693)</f>
        <v>34</v>
      </c>
      <c r="AG693" s="26" t="n">
        <f aca="false">T693-AF693</f>
        <v>614</v>
      </c>
      <c r="AH693" s="28" t="n">
        <f aca="false">IFERROR(AG693/T693,"")</f>
        <v>0.947530864197531</v>
      </c>
      <c r="AI693" s="29" t="n">
        <f aca="false">IFERROR(R693/AG693*60,"")</f>
        <v>165.635179153094</v>
      </c>
      <c r="AJ693" s="30" t="n">
        <f aca="false">IFERROR(AI693/Q693,"")</f>
        <v>0.897190553745928</v>
      </c>
      <c r="AK693" s="31" t="n">
        <f aca="false">IFERROR(R693/(T693/60*Q693),"")</f>
        <v>0.850115740740741</v>
      </c>
      <c r="AL693" s="26" t="n">
        <v>6</v>
      </c>
      <c r="AM693" s="26" t="n">
        <v>3</v>
      </c>
      <c r="AN693" s="26" t="n">
        <v>3</v>
      </c>
      <c r="AO693" s="26" t="n">
        <v>6</v>
      </c>
      <c r="AP693" s="26" t="n">
        <v>1</v>
      </c>
      <c r="AQ693" s="26" t="n">
        <v>3</v>
      </c>
      <c r="AR693" s="26" t="n">
        <v>4</v>
      </c>
      <c r="AS693" s="26" t="n">
        <v>2</v>
      </c>
      <c r="AT693" s="26" t="n">
        <v>5</v>
      </c>
      <c r="AU693" s="26" t="n">
        <v>3</v>
      </c>
      <c r="AV693" s="26" t="n">
        <f aca="false">SUM(AL693:AU693)</f>
        <v>36</v>
      </c>
      <c r="AW693" s="32" t="n">
        <f aca="false">IFERROR(AV693/R693*1000000,"")</f>
        <v>21238.9380530973</v>
      </c>
      <c r="AX693" s="33" t="n">
        <f aca="false">IFERROR((R693-AV693)/R693,"")</f>
        <v>0.978761061946903</v>
      </c>
      <c r="AY693" s="34" t="n">
        <f aca="false">IFERROR(AH693*AJ693*AX693,"")</f>
        <v>0.832060185185185</v>
      </c>
      <c r="AZ693" s="35" t="s">
        <v>78</v>
      </c>
    </row>
    <row r="694" customFormat="false" ht="12.75" hidden="false" customHeight="true" outlineLevel="0" collapsed="false">
      <c r="A694" s="24" t="n">
        <v>690</v>
      </c>
      <c r="B694" s="25" t="n">
        <v>46252</v>
      </c>
      <c r="C694" s="25" t="n">
        <v>12</v>
      </c>
      <c r="D694" s="26" t="s">
        <v>87</v>
      </c>
      <c r="E694" s="26" t="s">
        <v>101</v>
      </c>
      <c r="F694" s="26" t="s">
        <v>81</v>
      </c>
      <c r="G694" s="26" t="s">
        <v>13</v>
      </c>
      <c r="H694" s="27" t="n">
        <v>0.354166666666667</v>
      </c>
      <c r="I694" s="27" t="n">
        <v>0.854166666666667</v>
      </c>
      <c r="J694" s="26" t="n">
        <f aca="false">IFERROR((I694-H694)*24*60,"")</f>
        <v>720</v>
      </c>
      <c r="K694" s="26" t="s">
        <v>82</v>
      </c>
      <c r="L694" s="26" t="s">
        <v>106</v>
      </c>
      <c r="M694" s="26" t="s">
        <v>103</v>
      </c>
      <c r="N694" s="26" t="s">
        <v>104</v>
      </c>
      <c r="O694" s="26" t="n">
        <v>2</v>
      </c>
      <c r="P694" s="26" t="n">
        <v>37</v>
      </c>
      <c r="Q694" s="26" t="n">
        <f aca="false">IFERROR(3600/(P694/O694),"")</f>
        <v>194.594594594595</v>
      </c>
      <c r="R694" s="26" t="n">
        <v>1770</v>
      </c>
      <c r="S694" s="26" t="n">
        <v>37</v>
      </c>
      <c r="T694" s="26" t="n">
        <f aca="false">IFERROR(J694-S694,"")</f>
        <v>683</v>
      </c>
      <c r="U694" s="26"/>
      <c r="V694" s="26"/>
      <c r="W694" s="26"/>
      <c r="X694" s="26"/>
      <c r="Y694" s="26"/>
      <c r="Z694" s="26"/>
      <c r="AA694" s="26" t="n">
        <v>13</v>
      </c>
      <c r="AB694" s="26"/>
      <c r="AC694" s="26"/>
      <c r="AD694" s="26"/>
      <c r="AE694" s="26"/>
      <c r="AF694" s="26" t="n">
        <f aca="false">SUM(U694:AE694)</f>
        <v>13</v>
      </c>
      <c r="AG694" s="26" t="n">
        <f aca="false">T694-AF694</f>
        <v>670</v>
      </c>
      <c r="AH694" s="28" t="n">
        <f aca="false">IFERROR(AG694/T694,"")</f>
        <v>0.980966325036603</v>
      </c>
      <c r="AI694" s="29" t="n">
        <f aca="false">IFERROR(R694/AG694*60,"")</f>
        <v>158.507462686567</v>
      </c>
      <c r="AJ694" s="30" t="n">
        <f aca="false">IFERROR(AI694/Q694,"")</f>
        <v>0.81455223880597</v>
      </c>
      <c r="AK694" s="31" t="n">
        <f aca="false">IFERROR(R694/(T694/60*Q694),"")</f>
        <v>0.79904831625183</v>
      </c>
      <c r="AL694" s="26"/>
      <c r="AM694" s="26" t="n">
        <v>1</v>
      </c>
      <c r="AN694" s="26" t="n">
        <v>2</v>
      </c>
      <c r="AO694" s="26"/>
      <c r="AP694" s="26" t="n">
        <v>1</v>
      </c>
      <c r="AQ694" s="26" t="n">
        <v>6</v>
      </c>
      <c r="AR694" s="26" t="n">
        <v>2</v>
      </c>
      <c r="AS694" s="26" t="n">
        <v>5</v>
      </c>
      <c r="AT694" s="26" t="n">
        <v>1</v>
      </c>
      <c r="AU694" s="26" t="n">
        <v>4</v>
      </c>
      <c r="AV694" s="26" t="n">
        <f aca="false">SUM(AL694:AU694)</f>
        <v>22</v>
      </c>
      <c r="AW694" s="32" t="n">
        <f aca="false">IFERROR(AV694/R694*1000000,"")</f>
        <v>12429.3785310734</v>
      </c>
      <c r="AX694" s="33" t="n">
        <f aca="false">IFERROR((R694-AV694)/R694,"")</f>
        <v>0.987570621468927</v>
      </c>
      <c r="AY694" s="34" t="n">
        <f aca="false">IFERROR(AH694*AJ694*AX694,"")</f>
        <v>0.789116642264519</v>
      </c>
      <c r="AZ694" s="35" t="s">
        <v>78</v>
      </c>
    </row>
    <row r="695" customFormat="false" ht="12.75" hidden="false" customHeight="true" outlineLevel="0" collapsed="false">
      <c r="A695" s="24" t="n">
        <v>691</v>
      </c>
      <c r="B695" s="25" t="n">
        <v>46253</v>
      </c>
      <c r="C695" s="25" t="n">
        <v>12</v>
      </c>
      <c r="D695" s="26" t="s">
        <v>71</v>
      </c>
      <c r="E695" s="26" t="s">
        <v>72</v>
      </c>
      <c r="F695" s="26" t="s">
        <v>73</v>
      </c>
      <c r="G695" s="26" t="s">
        <v>8</v>
      </c>
      <c r="H695" s="27" t="n">
        <v>0.354166666666667</v>
      </c>
      <c r="I695" s="27" t="n">
        <v>0.854166666666667</v>
      </c>
      <c r="J695" s="26" t="n">
        <f aca="false">IFERROR((I695-H695)*24*60,"")</f>
        <v>720</v>
      </c>
      <c r="K695" s="26" t="s">
        <v>82</v>
      </c>
      <c r="L695" s="26" t="s">
        <v>98</v>
      </c>
      <c r="M695" s="26" t="s">
        <v>76</v>
      </c>
      <c r="N695" s="26" t="s">
        <v>77</v>
      </c>
      <c r="O695" s="26" t="n">
        <v>2</v>
      </c>
      <c r="P695" s="26" t="n">
        <v>68</v>
      </c>
      <c r="Q695" s="26" t="n">
        <f aca="false">IFERROR(3600/(P695/O695),"")</f>
        <v>105.882352941176</v>
      </c>
      <c r="R695" s="26" t="n">
        <v>1011</v>
      </c>
      <c r="S695" s="26" t="n">
        <v>51</v>
      </c>
      <c r="T695" s="26" t="n">
        <f aca="false">IFERROR(J695-S695,"")</f>
        <v>669</v>
      </c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 t="n">
        <v>21</v>
      </c>
      <c r="AF695" s="26" t="n">
        <f aca="false">SUM(U695:AE695)</f>
        <v>21</v>
      </c>
      <c r="AG695" s="26" t="n">
        <f aca="false">T695-AF695</f>
        <v>648</v>
      </c>
      <c r="AH695" s="28" t="n">
        <f aca="false">IFERROR(AG695/T695,"")</f>
        <v>0.968609865470852</v>
      </c>
      <c r="AI695" s="29" t="n">
        <f aca="false">IFERROR(R695/AG695*60,"")</f>
        <v>93.6111111111111</v>
      </c>
      <c r="AJ695" s="30" t="n">
        <f aca="false">IFERROR(AI695/Q695,"")</f>
        <v>0.884104938271605</v>
      </c>
      <c r="AK695" s="31" t="n">
        <f aca="false">IFERROR(R695/(T695/60*Q695),"")</f>
        <v>0.856352765321375</v>
      </c>
      <c r="AL695" s="26"/>
      <c r="AM695" s="26" t="n">
        <v>1</v>
      </c>
      <c r="AN695" s="26"/>
      <c r="AO695" s="26"/>
      <c r="AP695" s="26" t="n">
        <v>1</v>
      </c>
      <c r="AQ695" s="26"/>
      <c r="AR695" s="26"/>
      <c r="AS695" s="26"/>
      <c r="AT695" s="26" t="n">
        <v>1</v>
      </c>
      <c r="AU695" s="26"/>
      <c r="AV695" s="26" t="n">
        <f aca="false">SUM(AL695:AU695)</f>
        <v>3</v>
      </c>
      <c r="AW695" s="32" t="n">
        <f aca="false">IFERROR(AV695/R695*1000000,"")</f>
        <v>2967.3590504451</v>
      </c>
      <c r="AX695" s="33" t="n">
        <f aca="false">IFERROR((R695-AV695)/R695,"")</f>
        <v>0.997032640949555</v>
      </c>
      <c r="AY695" s="34" t="n">
        <f aca="false">IFERROR(AH695*AJ695*AX695,"")</f>
        <v>0.853811659192825</v>
      </c>
      <c r="AZ695" s="35" t="s">
        <v>78</v>
      </c>
    </row>
    <row r="696" customFormat="false" ht="12.75" hidden="false" customHeight="true" outlineLevel="0" collapsed="false">
      <c r="A696" s="24" t="n">
        <v>692</v>
      </c>
      <c r="B696" s="25" t="n">
        <v>46253</v>
      </c>
      <c r="C696" s="25" t="n">
        <v>12</v>
      </c>
      <c r="D696" s="26" t="s">
        <v>79</v>
      </c>
      <c r="E696" s="26" t="s">
        <v>80</v>
      </c>
      <c r="F696" s="26" t="s">
        <v>81</v>
      </c>
      <c r="G696" s="26" t="s">
        <v>9</v>
      </c>
      <c r="H696" s="27" t="n">
        <v>0.354166666666667</v>
      </c>
      <c r="I696" s="27" t="n">
        <v>0.854166666666667</v>
      </c>
      <c r="J696" s="26" t="n">
        <f aca="false">IFERROR((I696-H696)*24*60,"")</f>
        <v>720</v>
      </c>
      <c r="K696" s="26" t="s">
        <v>105</v>
      </c>
      <c r="L696" s="26" t="s">
        <v>75</v>
      </c>
      <c r="M696" s="26" t="s">
        <v>84</v>
      </c>
      <c r="N696" s="26" t="s">
        <v>85</v>
      </c>
      <c r="O696" s="26" t="n">
        <v>4</v>
      </c>
      <c r="P696" s="26" t="n">
        <v>34</v>
      </c>
      <c r="Q696" s="26" t="n">
        <f aca="false">IFERROR(3600/(P696/O696),"")</f>
        <v>423.529411764706</v>
      </c>
      <c r="R696" s="26" t="n">
        <v>4127</v>
      </c>
      <c r="S696" s="26" t="n">
        <v>65</v>
      </c>
      <c r="T696" s="26" t="n">
        <f aca="false">IFERROR(J696-S696,"")</f>
        <v>655</v>
      </c>
      <c r="U696" s="26"/>
      <c r="V696" s="26"/>
      <c r="W696" s="26" t="n">
        <v>14</v>
      </c>
      <c r="X696" s="26"/>
      <c r="Y696" s="26"/>
      <c r="Z696" s="26"/>
      <c r="AA696" s="26"/>
      <c r="AB696" s="26"/>
      <c r="AC696" s="26"/>
      <c r="AD696" s="26"/>
      <c r="AE696" s="26"/>
      <c r="AF696" s="26" t="n">
        <f aca="false">SUM(U696:AE696)</f>
        <v>14</v>
      </c>
      <c r="AG696" s="26" t="n">
        <f aca="false">T696-AF696</f>
        <v>641</v>
      </c>
      <c r="AH696" s="28" t="n">
        <f aca="false">IFERROR(AG696/T696,"")</f>
        <v>0.978625954198473</v>
      </c>
      <c r="AI696" s="29" t="n">
        <f aca="false">IFERROR(R696/AG696*60,"")</f>
        <v>386.302652106084</v>
      </c>
      <c r="AJ696" s="30" t="n">
        <f aca="false">IFERROR(AI696/Q696,"")</f>
        <v>0.912103484139366</v>
      </c>
      <c r="AK696" s="31" t="n">
        <f aca="false">IFERROR(R696/(T696/60*Q696),"")</f>
        <v>0.892608142493639</v>
      </c>
      <c r="AL696" s="26" t="n">
        <v>11</v>
      </c>
      <c r="AM696" s="26" t="n">
        <v>10</v>
      </c>
      <c r="AN696" s="26" t="n">
        <v>12</v>
      </c>
      <c r="AO696" s="26" t="n">
        <v>7</v>
      </c>
      <c r="AP696" s="26" t="n">
        <v>12</v>
      </c>
      <c r="AQ696" s="26" t="n">
        <v>8</v>
      </c>
      <c r="AR696" s="26" t="n">
        <v>4</v>
      </c>
      <c r="AS696" s="26" t="n">
        <v>6</v>
      </c>
      <c r="AT696" s="26" t="n">
        <v>6</v>
      </c>
      <c r="AU696" s="26" t="n">
        <v>9</v>
      </c>
      <c r="AV696" s="26" t="n">
        <f aca="false">SUM(AL696:AU696)</f>
        <v>85</v>
      </c>
      <c r="AW696" s="32" t="n">
        <f aca="false">IFERROR(AV696/R696*1000000,"")</f>
        <v>20596.0746304822</v>
      </c>
      <c r="AX696" s="33" t="n">
        <f aca="false">IFERROR((R696-AV696)/R696,"")</f>
        <v>0.979403925369518</v>
      </c>
      <c r="AY696" s="34" t="n">
        <f aca="false">IFERROR(AH696*AJ696*AX696,"")</f>
        <v>0.874223918575064</v>
      </c>
      <c r="AZ696" s="35" t="s">
        <v>93</v>
      </c>
    </row>
    <row r="697" customFormat="false" ht="12.75" hidden="false" customHeight="true" outlineLevel="0" collapsed="false">
      <c r="A697" s="24" t="n">
        <v>693</v>
      </c>
      <c r="B697" s="25" t="n">
        <v>46253</v>
      </c>
      <c r="C697" s="25" t="n">
        <v>12</v>
      </c>
      <c r="D697" s="26" t="s">
        <v>87</v>
      </c>
      <c r="E697" s="26" t="s">
        <v>88</v>
      </c>
      <c r="F697" s="26" t="s">
        <v>73</v>
      </c>
      <c r="G697" s="26" t="s">
        <v>10</v>
      </c>
      <c r="H697" s="27" t="n">
        <v>0.354166666666667</v>
      </c>
      <c r="I697" s="27" t="n">
        <v>0.854166666666667</v>
      </c>
      <c r="J697" s="26" t="n">
        <f aca="false">IFERROR((I697-H697)*24*60,"")</f>
        <v>720</v>
      </c>
      <c r="K697" s="26" t="s">
        <v>105</v>
      </c>
      <c r="L697" s="26" t="s">
        <v>83</v>
      </c>
      <c r="M697" s="26" t="s">
        <v>91</v>
      </c>
      <c r="N697" s="26" t="s">
        <v>92</v>
      </c>
      <c r="O697" s="26" t="n">
        <v>4</v>
      </c>
      <c r="P697" s="26" t="n">
        <v>54</v>
      </c>
      <c r="Q697" s="26" t="n">
        <f aca="false">IFERROR(3600/(P697/O697),"")</f>
        <v>266.666666666667</v>
      </c>
      <c r="R697" s="26" t="n">
        <v>2089</v>
      </c>
      <c r="S697" s="26" t="n">
        <v>44</v>
      </c>
      <c r="T697" s="26" t="n">
        <f aca="false">IFERROR(J697-S697,"")</f>
        <v>676</v>
      </c>
      <c r="U697" s="26"/>
      <c r="V697" s="26"/>
      <c r="W697" s="26" t="n">
        <v>16</v>
      </c>
      <c r="X697" s="26"/>
      <c r="Y697" s="26"/>
      <c r="Z697" s="26"/>
      <c r="AA697" s="26"/>
      <c r="AB697" s="26"/>
      <c r="AC697" s="26"/>
      <c r="AD697" s="26"/>
      <c r="AE697" s="26"/>
      <c r="AF697" s="26" t="n">
        <f aca="false">SUM(U697:AE697)</f>
        <v>16</v>
      </c>
      <c r="AG697" s="26" t="n">
        <f aca="false">T697-AF697</f>
        <v>660</v>
      </c>
      <c r="AH697" s="28" t="n">
        <f aca="false">IFERROR(AG697/T697,"")</f>
        <v>0.976331360946746</v>
      </c>
      <c r="AI697" s="29" t="n">
        <f aca="false">IFERROR(R697/AG697*60,"")</f>
        <v>189.909090909091</v>
      </c>
      <c r="AJ697" s="30" t="n">
        <f aca="false">IFERROR(AI697/Q697,"")</f>
        <v>0.712159090909091</v>
      </c>
      <c r="AK697" s="31" t="n">
        <f aca="false">IFERROR(R697/(T697/60*Q697),"")</f>
        <v>0.69530325443787</v>
      </c>
      <c r="AL697" s="26" t="n">
        <v>4</v>
      </c>
      <c r="AM697" s="26" t="n">
        <v>9</v>
      </c>
      <c r="AN697" s="26" t="n">
        <v>6</v>
      </c>
      <c r="AO697" s="26" t="n">
        <v>4</v>
      </c>
      <c r="AP697" s="26" t="n">
        <v>4</v>
      </c>
      <c r="AQ697" s="26" t="n">
        <v>1</v>
      </c>
      <c r="AR697" s="26" t="n">
        <v>4</v>
      </c>
      <c r="AS697" s="26" t="n">
        <v>1</v>
      </c>
      <c r="AT697" s="26" t="n">
        <v>7</v>
      </c>
      <c r="AU697" s="26" t="n">
        <v>7</v>
      </c>
      <c r="AV697" s="26" t="n">
        <f aca="false">SUM(AL697:AU697)</f>
        <v>47</v>
      </c>
      <c r="AW697" s="32" t="n">
        <f aca="false">IFERROR(AV697/R697*1000000,"")</f>
        <v>22498.803255146</v>
      </c>
      <c r="AX697" s="33" t="n">
        <f aca="false">IFERROR((R697-AV697)/R697,"")</f>
        <v>0.977501196744854</v>
      </c>
      <c r="AY697" s="34" t="n">
        <f aca="false">IFERROR(AH697*AJ697*AX697,"")</f>
        <v>0.679659763313609</v>
      </c>
      <c r="AZ697" s="35" t="s">
        <v>78</v>
      </c>
    </row>
    <row r="698" customFormat="false" ht="12.75" hidden="false" customHeight="true" outlineLevel="0" collapsed="false">
      <c r="A698" s="24" t="n">
        <v>694</v>
      </c>
      <c r="B698" s="25" t="n">
        <v>46254</v>
      </c>
      <c r="C698" s="25" t="n">
        <v>12</v>
      </c>
      <c r="D698" s="26" t="s">
        <v>71</v>
      </c>
      <c r="E698" s="26" t="s">
        <v>94</v>
      </c>
      <c r="F698" s="26" t="s">
        <v>81</v>
      </c>
      <c r="G698" s="26" t="s">
        <v>11</v>
      </c>
      <c r="H698" s="27" t="n">
        <v>0.354166666666667</v>
      </c>
      <c r="I698" s="27" t="n">
        <v>0.854166666666667</v>
      </c>
      <c r="J698" s="26" t="n">
        <f aca="false">IFERROR((I698-H698)*24*60,"")</f>
        <v>720</v>
      </c>
      <c r="K698" s="26" t="s">
        <v>82</v>
      </c>
      <c r="L698" s="26" t="s">
        <v>106</v>
      </c>
      <c r="M698" s="26" t="s">
        <v>95</v>
      </c>
      <c r="N698" s="26" t="s">
        <v>96</v>
      </c>
      <c r="O698" s="26" t="n">
        <v>2</v>
      </c>
      <c r="P698" s="26" t="n">
        <v>44</v>
      </c>
      <c r="Q698" s="26" t="n">
        <f aca="false">IFERROR(3600/(P698/O698),"")</f>
        <v>163.636363636364</v>
      </c>
      <c r="R698" s="26" t="n">
        <v>1415</v>
      </c>
      <c r="S698" s="26" t="n">
        <v>72</v>
      </c>
      <c r="T698" s="26" t="n">
        <f aca="false">IFERROR(J698-S698,"")</f>
        <v>648</v>
      </c>
      <c r="U698" s="26"/>
      <c r="V698" s="26" t="n">
        <v>9</v>
      </c>
      <c r="W698" s="26" t="n">
        <v>10</v>
      </c>
      <c r="X698" s="26" t="n">
        <v>18</v>
      </c>
      <c r="Y698" s="26"/>
      <c r="Z698" s="26"/>
      <c r="AA698" s="26"/>
      <c r="AB698" s="26"/>
      <c r="AC698" s="26"/>
      <c r="AD698" s="26"/>
      <c r="AE698" s="26"/>
      <c r="AF698" s="26" t="n">
        <f aca="false">SUM(U698:AE698)</f>
        <v>37</v>
      </c>
      <c r="AG698" s="26" t="n">
        <f aca="false">T698-AF698</f>
        <v>611</v>
      </c>
      <c r="AH698" s="28" t="n">
        <f aca="false">IFERROR(AG698/T698,"")</f>
        <v>0.942901234567901</v>
      </c>
      <c r="AI698" s="29" t="n">
        <f aca="false">IFERROR(R698/AG698*60,"")</f>
        <v>138.952536824877</v>
      </c>
      <c r="AJ698" s="30" t="n">
        <f aca="false">IFERROR(AI698/Q698,"")</f>
        <v>0.849154391707583</v>
      </c>
      <c r="AK698" s="31" t="n">
        <f aca="false">IFERROR(R698/(T698/60*Q698),"")</f>
        <v>0.800668724279835</v>
      </c>
      <c r="AL698" s="26" t="n">
        <v>5</v>
      </c>
      <c r="AM698" s="26" t="n">
        <v>5</v>
      </c>
      <c r="AN698" s="26" t="n">
        <v>1</v>
      </c>
      <c r="AO698" s="26" t="n">
        <v>4</v>
      </c>
      <c r="AP698" s="26" t="n">
        <v>3</v>
      </c>
      <c r="AQ698" s="26" t="n">
        <v>1</v>
      </c>
      <c r="AR698" s="26" t="n">
        <v>1</v>
      </c>
      <c r="AS698" s="26" t="n">
        <v>3</v>
      </c>
      <c r="AT698" s="26" t="n">
        <v>2</v>
      </c>
      <c r="AU698" s="26" t="n">
        <v>2</v>
      </c>
      <c r="AV698" s="26" t="n">
        <f aca="false">SUM(AL698:AU698)</f>
        <v>27</v>
      </c>
      <c r="AW698" s="32" t="n">
        <f aca="false">IFERROR(AV698/R698*1000000,"")</f>
        <v>19081.2720848057</v>
      </c>
      <c r="AX698" s="33" t="n">
        <f aca="false">IFERROR((R698-AV698)/R698,"")</f>
        <v>0.980918727915194</v>
      </c>
      <c r="AY698" s="34" t="n">
        <f aca="false">IFERROR(AH698*AJ698*AX698,"")</f>
        <v>0.785390946502058</v>
      </c>
      <c r="AZ698" s="35"/>
    </row>
    <row r="699" customFormat="false" ht="12.75" hidden="false" customHeight="true" outlineLevel="0" collapsed="false">
      <c r="A699" s="24" t="n">
        <v>695</v>
      </c>
      <c r="B699" s="25" t="n">
        <v>46254</v>
      </c>
      <c r="C699" s="25" t="n">
        <v>12</v>
      </c>
      <c r="D699" s="26" t="s">
        <v>79</v>
      </c>
      <c r="E699" s="26" t="s">
        <v>97</v>
      </c>
      <c r="F699" s="26" t="s">
        <v>73</v>
      </c>
      <c r="G699" s="26" t="s">
        <v>12</v>
      </c>
      <c r="H699" s="27" t="n">
        <v>0.354166666666667</v>
      </c>
      <c r="I699" s="27" t="n">
        <v>0.854166666666667</v>
      </c>
      <c r="J699" s="26" t="n">
        <f aca="false">IFERROR((I699-H699)*24*60,"")</f>
        <v>720</v>
      </c>
      <c r="K699" s="26" t="s">
        <v>74</v>
      </c>
      <c r="L699" s="26" t="s">
        <v>102</v>
      </c>
      <c r="M699" s="26" t="s">
        <v>99</v>
      </c>
      <c r="N699" s="26" t="s">
        <v>100</v>
      </c>
      <c r="O699" s="26" t="n">
        <v>1</v>
      </c>
      <c r="P699" s="26" t="n">
        <v>40</v>
      </c>
      <c r="Q699" s="26" t="n">
        <f aca="false">IFERROR(3600/(P699/O699),"")</f>
        <v>90</v>
      </c>
      <c r="R699" s="26" t="n">
        <v>937</v>
      </c>
      <c r="S699" s="26" t="n">
        <v>31</v>
      </c>
      <c r="T699" s="26" t="n">
        <f aca="false">IFERROR(J699-S699,"")</f>
        <v>689</v>
      </c>
      <c r="U699" s="26"/>
      <c r="V699" s="26"/>
      <c r="W699" s="26"/>
      <c r="X699" s="26"/>
      <c r="Y699" s="26"/>
      <c r="Z699" s="26" t="n">
        <v>28</v>
      </c>
      <c r="AA699" s="26"/>
      <c r="AB699" s="26" t="n">
        <v>4</v>
      </c>
      <c r="AC699" s="26"/>
      <c r="AD699" s="26"/>
      <c r="AE699" s="26"/>
      <c r="AF699" s="26" t="n">
        <f aca="false">SUM(U699:AE699)</f>
        <v>32</v>
      </c>
      <c r="AG699" s="26" t="n">
        <f aca="false">T699-AF699</f>
        <v>657</v>
      </c>
      <c r="AH699" s="28" t="n">
        <f aca="false">IFERROR(AG699/T699,"")</f>
        <v>0.95355587808418</v>
      </c>
      <c r="AI699" s="29" t="n">
        <f aca="false">IFERROR(R699/AG699*60,"")</f>
        <v>85.5707762557078</v>
      </c>
      <c r="AJ699" s="30" t="n">
        <f aca="false">IFERROR(AI699/Q699,"")</f>
        <v>0.950786402841197</v>
      </c>
      <c r="AK699" s="31" t="n">
        <f aca="false">IFERROR(R699/(T699/60*Q699),"")</f>
        <v>0.906627963231737</v>
      </c>
      <c r="AL699" s="26" t="n">
        <v>1</v>
      </c>
      <c r="AM699" s="26" t="n">
        <v>2</v>
      </c>
      <c r="AN699" s="26" t="n">
        <v>2</v>
      </c>
      <c r="AO699" s="26" t="n">
        <v>2</v>
      </c>
      <c r="AP699" s="26"/>
      <c r="AQ699" s="26" t="n">
        <v>1</v>
      </c>
      <c r="AR699" s="26" t="n">
        <v>2</v>
      </c>
      <c r="AS699" s="26" t="n">
        <v>1</v>
      </c>
      <c r="AT699" s="26"/>
      <c r="AU699" s="26"/>
      <c r="AV699" s="26" t="n">
        <f aca="false">SUM(AL699:AU699)</f>
        <v>11</v>
      </c>
      <c r="AW699" s="32" t="n">
        <f aca="false">IFERROR(AV699/R699*1000000,"")</f>
        <v>11739.5944503735</v>
      </c>
      <c r="AX699" s="33" t="n">
        <f aca="false">IFERROR((R699-AV699)/R699,"")</f>
        <v>0.988260405549627</v>
      </c>
      <c r="AY699" s="34" t="n">
        <f aca="false">IFERROR(AH699*AJ699*AX699,"")</f>
        <v>0.895984518626028</v>
      </c>
      <c r="AZ699" s="35" t="s">
        <v>78</v>
      </c>
    </row>
    <row r="700" customFormat="false" ht="12.75" hidden="false" customHeight="true" outlineLevel="0" collapsed="false">
      <c r="A700" s="24" t="n">
        <v>696</v>
      </c>
      <c r="B700" s="25" t="n">
        <v>46254</v>
      </c>
      <c r="C700" s="25" t="n">
        <v>12</v>
      </c>
      <c r="D700" s="26" t="s">
        <v>87</v>
      </c>
      <c r="E700" s="26" t="s">
        <v>101</v>
      </c>
      <c r="F700" s="26" t="s">
        <v>81</v>
      </c>
      <c r="G700" s="26" t="s">
        <v>13</v>
      </c>
      <c r="H700" s="27" t="n">
        <v>0.354166666666667</v>
      </c>
      <c r="I700" s="27" t="n">
        <v>0.854166666666667</v>
      </c>
      <c r="J700" s="26" t="n">
        <f aca="false">IFERROR((I700-H700)*24*60,"")</f>
        <v>720</v>
      </c>
      <c r="K700" s="26" t="s">
        <v>89</v>
      </c>
      <c r="L700" s="26" t="s">
        <v>107</v>
      </c>
      <c r="M700" s="26" t="s">
        <v>103</v>
      </c>
      <c r="N700" s="26" t="s">
        <v>104</v>
      </c>
      <c r="O700" s="26" t="n">
        <v>4</v>
      </c>
      <c r="P700" s="26" t="n">
        <v>73</v>
      </c>
      <c r="Q700" s="26" t="n">
        <f aca="false">IFERROR(3600/(P700/O700),"")</f>
        <v>197.260273972603</v>
      </c>
      <c r="R700" s="26" t="n">
        <v>2225</v>
      </c>
      <c r="S700" s="26" t="n">
        <v>35</v>
      </c>
      <c r="T700" s="26" t="n">
        <f aca="false">IFERROR(J700-S700,"")</f>
        <v>685</v>
      </c>
      <c r="U700" s="26"/>
      <c r="V700" s="26"/>
      <c r="W700" s="26"/>
      <c r="X700" s="26" t="n">
        <v>3</v>
      </c>
      <c r="Y700" s="26"/>
      <c r="Z700" s="26"/>
      <c r="AA700" s="26"/>
      <c r="AB700" s="26"/>
      <c r="AC700" s="26"/>
      <c r="AD700" s="26" t="n">
        <v>7</v>
      </c>
      <c r="AE700" s="26"/>
      <c r="AF700" s="26" t="n">
        <f aca="false">SUM(U700:AE700)</f>
        <v>10</v>
      </c>
      <c r="AG700" s="26" t="n">
        <f aca="false">T700-AF700</f>
        <v>675</v>
      </c>
      <c r="AH700" s="28" t="n">
        <f aca="false">IFERROR(AG700/T700,"")</f>
        <v>0.985401459854015</v>
      </c>
      <c r="AI700" s="29" t="n">
        <f aca="false">IFERROR(R700/AG700*60,"")</f>
        <v>197.777777777778</v>
      </c>
      <c r="AJ700" s="30" t="n">
        <f aca="false">IFERROR(AI700/Q700,"")</f>
        <v>1.00262345679012</v>
      </c>
      <c r="AK700" s="31" t="n">
        <f aca="false">IFERROR(R700/(T700/60*Q700),"")</f>
        <v>0.987986618004866</v>
      </c>
      <c r="AL700" s="26" t="n">
        <v>5</v>
      </c>
      <c r="AM700" s="26"/>
      <c r="AN700" s="26" t="n">
        <v>1</v>
      </c>
      <c r="AO700" s="26" t="n">
        <v>4</v>
      </c>
      <c r="AP700" s="26" t="n">
        <v>1</v>
      </c>
      <c r="AQ700" s="26" t="n">
        <v>1</v>
      </c>
      <c r="AR700" s="26" t="n">
        <v>5</v>
      </c>
      <c r="AS700" s="26" t="n">
        <v>2</v>
      </c>
      <c r="AT700" s="26"/>
      <c r="AU700" s="26" t="n">
        <v>4</v>
      </c>
      <c r="AV700" s="26" t="n">
        <f aca="false">SUM(AL700:AU700)</f>
        <v>23</v>
      </c>
      <c r="AW700" s="32" t="n">
        <f aca="false">IFERROR(AV700/R700*1000000,"")</f>
        <v>10337.0786516854</v>
      </c>
      <c r="AX700" s="33" t="n">
        <f aca="false">IFERROR((R700-AV700)/R700,"")</f>
        <v>0.989662921348315</v>
      </c>
      <c r="AY700" s="34" t="n">
        <f aca="false">IFERROR(AH700*AJ700*AX700,"")</f>
        <v>0.977773722627737</v>
      </c>
      <c r="AZ700" s="35" t="s">
        <v>93</v>
      </c>
    </row>
    <row r="701" customFormat="false" ht="12.75" hidden="false" customHeight="true" outlineLevel="0" collapsed="false">
      <c r="A701" s="24" t="n">
        <v>697</v>
      </c>
      <c r="B701" s="25" t="n">
        <v>46255</v>
      </c>
      <c r="C701" s="25" t="n">
        <v>12</v>
      </c>
      <c r="D701" s="26" t="s">
        <v>71</v>
      </c>
      <c r="E701" s="26" t="s">
        <v>72</v>
      </c>
      <c r="F701" s="26" t="s">
        <v>73</v>
      </c>
      <c r="G701" s="26" t="s">
        <v>8</v>
      </c>
      <c r="H701" s="27" t="n">
        <v>0.354166666666667</v>
      </c>
      <c r="I701" s="27" t="n">
        <v>0.854166666666667</v>
      </c>
      <c r="J701" s="26" t="n">
        <f aca="false">IFERROR((I701-H701)*24*60,"")</f>
        <v>720</v>
      </c>
      <c r="K701" s="26" t="s">
        <v>74</v>
      </c>
      <c r="L701" s="26" t="s">
        <v>75</v>
      </c>
      <c r="M701" s="26" t="s">
        <v>76</v>
      </c>
      <c r="N701" s="26" t="s">
        <v>77</v>
      </c>
      <c r="O701" s="26" t="n">
        <v>1</v>
      </c>
      <c r="P701" s="26" t="n">
        <v>61</v>
      </c>
      <c r="Q701" s="26" t="n">
        <f aca="false">IFERROR(3600/(P701/O701),"")</f>
        <v>59.016393442623</v>
      </c>
      <c r="R701" s="26" t="n">
        <v>561</v>
      </c>
      <c r="S701" s="26" t="n">
        <v>63</v>
      </c>
      <c r="T701" s="26" t="n">
        <f aca="false">IFERROR(J701-S701,"")</f>
        <v>657</v>
      </c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 t="n">
        <v>4</v>
      </c>
      <c r="AF701" s="26" t="n">
        <f aca="false">SUM(U701:AE701)</f>
        <v>4</v>
      </c>
      <c r="AG701" s="26" t="n">
        <f aca="false">T701-AF701</f>
        <v>653</v>
      </c>
      <c r="AH701" s="28" t="n">
        <f aca="false">IFERROR(AG701/T701,"")</f>
        <v>0.993911719939117</v>
      </c>
      <c r="AI701" s="29" t="n">
        <f aca="false">IFERROR(R701/AG701*60,"")</f>
        <v>51.5467075038285</v>
      </c>
      <c r="AJ701" s="30" t="n">
        <f aca="false">IFERROR(AI701/Q701,"")</f>
        <v>0.873430321592649</v>
      </c>
      <c r="AK701" s="31" t="n">
        <f aca="false">IFERROR(R701/(T701/60*Q701),"")</f>
        <v>0.868112633181126</v>
      </c>
      <c r="AL701" s="26"/>
      <c r="AM701" s="26"/>
      <c r="AN701" s="26"/>
      <c r="AO701" s="26"/>
      <c r="AP701" s="26"/>
      <c r="AQ701" s="26"/>
      <c r="AR701" s="26" t="n">
        <v>1</v>
      </c>
      <c r="AS701" s="26"/>
      <c r="AT701" s="26"/>
      <c r="AU701" s="26"/>
      <c r="AV701" s="26" t="n">
        <f aca="false">SUM(AL701:AU701)</f>
        <v>1</v>
      </c>
      <c r="AW701" s="32" t="n">
        <f aca="false">IFERROR(AV701/R701*1000000,"")</f>
        <v>1782.5311942959</v>
      </c>
      <c r="AX701" s="33" t="n">
        <f aca="false">IFERROR((R701-AV701)/R701,"")</f>
        <v>0.998217468805704</v>
      </c>
      <c r="AY701" s="34" t="n">
        <f aca="false">IFERROR(AH701*AJ701*AX701,"")</f>
        <v>0.866565195332319</v>
      </c>
      <c r="AZ701" s="35" t="s">
        <v>86</v>
      </c>
    </row>
    <row r="702" customFormat="false" ht="12.75" hidden="false" customHeight="true" outlineLevel="0" collapsed="false">
      <c r="A702" s="24" t="n">
        <v>698</v>
      </c>
      <c r="B702" s="25" t="n">
        <v>46255</v>
      </c>
      <c r="C702" s="25" t="n">
        <v>12</v>
      </c>
      <c r="D702" s="26" t="s">
        <v>79</v>
      </c>
      <c r="E702" s="26" t="s">
        <v>80</v>
      </c>
      <c r="F702" s="26" t="s">
        <v>81</v>
      </c>
      <c r="G702" s="26" t="s">
        <v>9</v>
      </c>
      <c r="H702" s="27" t="n">
        <v>0.354166666666667</v>
      </c>
      <c r="I702" s="27" t="n">
        <v>0.854166666666667</v>
      </c>
      <c r="J702" s="26" t="n">
        <f aca="false">IFERROR((I702-H702)*24*60,"")</f>
        <v>720</v>
      </c>
      <c r="K702" s="26" t="s">
        <v>105</v>
      </c>
      <c r="L702" s="26" t="s">
        <v>75</v>
      </c>
      <c r="M702" s="26" t="s">
        <v>84</v>
      </c>
      <c r="N702" s="26" t="s">
        <v>85</v>
      </c>
      <c r="O702" s="26" t="n">
        <v>2</v>
      </c>
      <c r="P702" s="26" t="n">
        <v>25</v>
      </c>
      <c r="Q702" s="26" t="n">
        <f aca="false">IFERROR(3600/(P702/O702),"")</f>
        <v>288</v>
      </c>
      <c r="R702" s="26" t="n">
        <v>2969</v>
      </c>
      <c r="S702" s="26" t="n">
        <v>43</v>
      </c>
      <c r="T702" s="26" t="n">
        <f aca="false">IFERROR(J702-S702,"")</f>
        <v>677</v>
      </c>
      <c r="U702" s="26"/>
      <c r="V702" s="26"/>
      <c r="W702" s="26"/>
      <c r="X702" s="26"/>
      <c r="Y702" s="26"/>
      <c r="Z702" s="26"/>
      <c r="AA702" s="26"/>
      <c r="AB702" s="26" t="n">
        <v>15</v>
      </c>
      <c r="AC702" s="26" t="n">
        <v>13</v>
      </c>
      <c r="AD702" s="26"/>
      <c r="AE702" s="26"/>
      <c r="AF702" s="26" t="n">
        <f aca="false">SUM(U702:AE702)</f>
        <v>28</v>
      </c>
      <c r="AG702" s="26" t="n">
        <f aca="false">T702-AF702</f>
        <v>649</v>
      </c>
      <c r="AH702" s="28" t="n">
        <f aca="false">IFERROR(AG702/T702,"")</f>
        <v>0.95864106351551</v>
      </c>
      <c r="AI702" s="29" t="n">
        <f aca="false">IFERROR(R702/AG702*60,"")</f>
        <v>274.483821263482</v>
      </c>
      <c r="AJ702" s="30" t="n">
        <f aca="false">IFERROR(AI702/Q702,"")</f>
        <v>0.953068823831536</v>
      </c>
      <c r="AK702" s="31" t="n">
        <f aca="false">IFERROR(R702/(T702/60*Q702),"")</f>
        <v>0.913650910881339</v>
      </c>
      <c r="AL702" s="26" t="n">
        <v>1</v>
      </c>
      <c r="AM702" s="26"/>
      <c r="AN702" s="26" t="n">
        <v>4</v>
      </c>
      <c r="AO702" s="26" t="n">
        <v>2</v>
      </c>
      <c r="AP702" s="26" t="n">
        <v>1</v>
      </c>
      <c r="AQ702" s="26" t="n">
        <v>6</v>
      </c>
      <c r="AR702" s="26"/>
      <c r="AS702" s="26" t="n">
        <v>2</v>
      </c>
      <c r="AT702" s="26" t="n">
        <v>6</v>
      </c>
      <c r="AU702" s="26" t="n">
        <v>3</v>
      </c>
      <c r="AV702" s="26" t="n">
        <f aca="false">SUM(AL702:AU702)</f>
        <v>25</v>
      </c>
      <c r="AW702" s="32" t="n">
        <f aca="false">IFERROR(AV702/R702*1000000,"")</f>
        <v>8420.34355001684</v>
      </c>
      <c r="AX702" s="33" t="n">
        <f aca="false">IFERROR((R702-AV702)/R702,"")</f>
        <v>0.991579656449983</v>
      </c>
      <c r="AY702" s="34" t="n">
        <f aca="false">IFERROR(AH702*AJ702*AX702,"")</f>
        <v>0.905957656326932</v>
      </c>
      <c r="AZ702" s="35" t="s">
        <v>78</v>
      </c>
    </row>
    <row r="703" customFormat="false" ht="12.75" hidden="false" customHeight="true" outlineLevel="0" collapsed="false">
      <c r="A703" s="24" t="n">
        <v>699</v>
      </c>
      <c r="B703" s="25" t="n">
        <v>46255</v>
      </c>
      <c r="C703" s="25" t="n">
        <v>12</v>
      </c>
      <c r="D703" s="26" t="s">
        <v>87</v>
      </c>
      <c r="E703" s="26" t="s">
        <v>88</v>
      </c>
      <c r="F703" s="26" t="s">
        <v>73</v>
      </c>
      <c r="G703" s="26" t="s">
        <v>10</v>
      </c>
      <c r="H703" s="27" t="n">
        <v>0.354166666666667</v>
      </c>
      <c r="I703" s="27" t="n">
        <v>0.854166666666667</v>
      </c>
      <c r="J703" s="26" t="n">
        <f aca="false">IFERROR((I703-H703)*24*60,"")</f>
        <v>720</v>
      </c>
      <c r="K703" s="26" t="s">
        <v>82</v>
      </c>
      <c r="L703" s="26" t="s">
        <v>75</v>
      </c>
      <c r="M703" s="26" t="s">
        <v>91</v>
      </c>
      <c r="N703" s="26" t="s">
        <v>92</v>
      </c>
      <c r="O703" s="26" t="n">
        <v>1</v>
      </c>
      <c r="P703" s="26" t="n">
        <v>37</v>
      </c>
      <c r="Q703" s="26" t="n">
        <f aca="false">IFERROR(3600/(P703/O703),"")</f>
        <v>97.2972972972973</v>
      </c>
      <c r="R703" s="26" t="n">
        <v>980</v>
      </c>
      <c r="S703" s="26" t="n">
        <v>66</v>
      </c>
      <c r="T703" s="26" t="n">
        <f aca="false">IFERROR(J703-S703,"")</f>
        <v>654</v>
      </c>
      <c r="U703" s="26"/>
      <c r="V703" s="26"/>
      <c r="W703" s="26" t="n">
        <v>30</v>
      </c>
      <c r="X703" s="26" t="n">
        <v>15</v>
      </c>
      <c r="Y703" s="26"/>
      <c r="Z703" s="26"/>
      <c r="AA703" s="26" t="n">
        <v>18</v>
      </c>
      <c r="AB703" s="26"/>
      <c r="AC703" s="26"/>
      <c r="AD703" s="26"/>
      <c r="AE703" s="26"/>
      <c r="AF703" s="26" t="n">
        <f aca="false">SUM(U703:AE703)</f>
        <v>63</v>
      </c>
      <c r="AG703" s="26" t="n">
        <f aca="false">T703-AF703</f>
        <v>591</v>
      </c>
      <c r="AH703" s="28" t="n">
        <f aca="false">IFERROR(AG703/T703,"")</f>
        <v>0.903669724770642</v>
      </c>
      <c r="AI703" s="29" t="n">
        <f aca="false">IFERROR(R703/AG703*60,"")</f>
        <v>99.492385786802</v>
      </c>
      <c r="AJ703" s="30" t="n">
        <f aca="false">IFERROR(AI703/Q703,"")</f>
        <v>1.02256063169769</v>
      </c>
      <c r="AK703" s="31" t="n">
        <f aca="false">IFERROR(R703/(T703/60*Q703),"")</f>
        <v>0.924057084607543</v>
      </c>
      <c r="AL703" s="26" t="n">
        <v>2</v>
      </c>
      <c r="AM703" s="26"/>
      <c r="AN703" s="26" t="n">
        <v>1</v>
      </c>
      <c r="AO703" s="26" t="n">
        <v>4</v>
      </c>
      <c r="AP703" s="26"/>
      <c r="AQ703" s="26"/>
      <c r="AR703" s="26" t="n">
        <v>1</v>
      </c>
      <c r="AS703" s="26" t="n">
        <v>1</v>
      </c>
      <c r="AT703" s="26" t="n">
        <v>3</v>
      </c>
      <c r="AU703" s="26" t="n">
        <v>1</v>
      </c>
      <c r="AV703" s="26" t="n">
        <f aca="false">SUM(AL703:AU703)</f>
        <v>13</v>
      </c>
      <c r="AW703" s="32" t="n">
        <f aca="false">IFERROR(AV703/R703*1000000,"")</f>
        <v>13265.306122449</v>
      </c>
      <c r="AX703" s="33" t="n">
        <f aca="false">IFERROR((R703-AV703)/R703,"")</f>
        <v>0.986734693877551</v>
      </c>
      <c r="AY703" s="34" t="n">
        <f aca="false">IFERROR(AH703*AJ703*AX703,"")</f>
        <v>0.911799184505607</v>
      </c>
      <c r="AZ703" s="35"/>
    </row>
    <row r="704" customFormat="false" ht="12.75" hidden="false" customHeight="true" outlineLevel="0" collapsed="false">
      <c r="A704" s="24" t="n">
        <v>700</v>
      </c>
      <c r="B704" s="25" t="n">
        <v>46256</v>
      </c>
      <c r="C704" s="25" t="n">
        <v>12</v>
      </c>
      <c r="D704" s="26" t="s">
        <v>71</v>
      </c>
      <c r="E704" s="26" t="s">
        <v>94</v>
      </c>
      <c r="F704" s="26" t="s">
        <v>81</v>
      </c>
      <c r="G704" s="26" t="s">
        <v>11</v>
      </c>
      <c r="H704" s="27" t="n">
        <v>0.354166666666667</v>
      </c>
      <c r="I704" s="27" t="n">
        <v>0.854166666666667</v>
      </c>
      <c r="J704" s="26" t="n">
        <f aca="false">IFERROR((I704-H704)*24*60,"")</f>
        <v>720</v>
      </c>
      <c r="K704" s="26" t="s">
        <v>89</v>
      </c>
      <c r="L704" s="26" t="s">
        <v>107</v>
      </c>
      <c r="M704" s="26" t="s">
        <v>95</v>
      </c>
      <c r="N704" s="26" t="s">
        <v>96</v>
      </c>
      <c r="O704" s="26" t="n">
        <v>4</v>
      </c>
      <c r="P704" s="26" t="n">
        <v>57</v>
      </c>
      <c r="Q704" s="26" t="n">
        <f aca="false">IFERROR(3600/(P704/O704),"")</f>
        <v>252.631578947368</v>
      </c>
      <c r="R704" s="26" t="n">
        <v>2106</v>
      </c>
      <c r="S704" s="26" t="n">
        <v>46</v>
      </c>
      <c r="T704" s="26" t="n">
        <f aca="false">IFERROR(J704-S704,"")</f>
        <v>674</v>
      </c>
      <c r="U704" s="26"/>
      <c r="V704" s="26"/>
      <c r="W704" s="26"/>
      <c r="X704" s="26"/>
      <c r="Y704" s="26" t="n">
        <v>31</v>
      </c>
      <c r="Z704" s="26"/>
      <c r="AA704" s="26" t="n">
        <v>11</v>
      </c>
      <c r="AB704" s="26"/>
      <c r="AC704" s="26"/>
      <c r="AD704" s="26"/>
      <c r="AE704" s="26"/>
      <c r="AF704" s="26" t="n">
        <f aca="false">SUM(U704:AE704)</f>
        <v>42</v>
      </c>
      <c r="AG704" s="26" t="n">
        <f aca="false">T704-AF704</f>
        <v>632</v>
      </c>
      <c r="AH704" s="28" t="n">
        <f aca="false">IFERROR(AG704/T704,"")</f>
        <v>0.937685459940653</v>
      </c>
      <c r="AI704" s="29" t="n">
        <f aca="false">IFERROR(R704/AG704*60,"")</f>
        <v>199.93670886076</v>
      </c>
      <c r="AJ704" s="30" t="n">
        <f aca="false">IFERROR(AI704/Q704,"")</f>
        <v>0.791416139240506</v>
      </c>
      <c r="AK704" s="31" t="n">
        <f aca="false">IFERROR(R704/(T704/60*Q704),"")</f>
        <v>0.74209940652819</v>
      </c>
      <c r="AL704" s="26" t="n">
        <v>3</v>
      </c>
      <c r="AM704" s="26" t="n">
        <v>8</v>
      </c>
      <c r="AN704" s="26" t="n">
        <v>3</v>
      </c>
      <c r="AO704" s="26" t="n">
        <v>3</v>
      </c>
      <c r="AP704" s="26" t="n">
        <v>6</v>
      </c>
      <c r="AQ704" s="26" t="n">
        <v>4</v>
      </c>
      <c r="AR704" s="26" t="n">
        <v>3</v>
      </c>
      <c r="AS704" s="26" t="n">
        <v>5</v>
      </c>
      <c r="AT704" s="26" t="n">
        <v>3</v>
      </c>
      <c r="AU704" s="26" t="n">
        <v>1</v>
      </c>
      <c r="AV704" s="26" t="n">
        <f aca="false">SUM(AL704:AU704)</f>
        <v>39</v>
      </c>
      <c r="AW704" s="32" t="n">
        <f aca="false">IFERROR(AV704/R704*1000000,"")</f>
        <v>18518.5185185185</v>
      </c>
      <c r="AX704" s="33" t="n">
        <f aca="false">IFERROR((R704-AV704)/R704,"")</f>
        <v>0.981481481481482</v>
      </c>
      <c r="AY704" s="34" t="n">
        <f aca="false">IFERROR(AH704*AJ704*AX704,"")</f>
        <v>0.728356824925816</v>
      </c>
      <c r="AZ704" s="35" t="s">
        <v>78</v>
      </c>
    </row>
    <row r="705" customFormat="false" ht="12.75" hidden="false" customHeight="true" outlineLevel="0" collapsed="false">
      <c r="A705" s="24" t="n">
        <v>701</v>
      </c>
      <c r="B705" s="25" t="n">
        <v>46256</v>
      </c>
      <c r="C705" s="25" t="n">
        <v>12</v>
      </c>
      <c r="D705" s="26" t="s">
        <v>79</v>
      </c>
      <c r="E705" s="26" t="s">
        <v>97</v>
      </c>
      <c r="F705" s="26" t="s">
        <v>73</v>
      </c>
      <c r="G705" s="26" t="s">
        <v>12</v>
      </c>
      <c r="H705" s="27" t="n">
        <v>0.354166666666667</v>
      </c>
      <c r="I705" s="27" t="n">
        <v>0.854166666666667</v>
      </c>
      <c r="J705" s="26" t="n">
        <f aca="false">IFERROR((I705-H705)*24*60,"")</f>
        <v>720</v>
      </c>
      <c r="K705" s="26" t="s">
        <v>82</v>
      </c>
      <c r="L705" s="26" t="s">
        <v>98</v>
      </c>
      <c r="M705" s="26" t="s">
        <v>99</v>
      </c>
      <c r="N705" s="26" t="s">
        <v>100</v>
      </c>
      <c r="O705" s="26" t="n">
        <v>8</v>
      </c>
      <c r="P705" s="26" t="n">
        <v>31</v>
      </c>
      <c r="Q705" s="26" t="n">
        <f aca="false">IFERROR(3600/(P705/O705),"")</f>
        <v>929.032258064516</v>
      </c>
      <c r="R705" s="26" t="n">
        <v>6838</v>
      </c>
      <c r="S705" s="26" t="n">
        <v>56</v>
      </c>
      <c r="T705" s="26" t="n">
        <f aca="false">IFERROR(J705-S705,"")</f>
        <v>664</v>
      </c>
      <c r="U705" s="26"/>
      <c r="V705" s="26" t="n">
        <v>27</v>
      </c>
      <c r="W705" s="26"/>
      <c r="X705" s="26" t="n">
        <v>4</v>
      </c>
      <c r="Y705" s="26"/>
      <c r="Z705" s="26"/>
      <c r="AA705" s="26"/>
      <c r="AB705" s="26"/>
      <c r="AC705" s="26"/>
      <c r="AD705" s="26"/>
      <c r="AE705" s="26"/>
      <c r="AF705" s="26" t="n">
        <f aca="false">SUM(U705:AE705)</f>
        <v>31</v>
      </c>
      <c r="AG705" s="26" t="n">
        <f aca="false">T705-AF705</f>
        <v>633</v>
      </c>
      <c r="AH705" s="28" t="n">
        <f aca="false">IFERROR(AG705/T705,"")</f>
        <v>0.953313253012048</v>
      </c>
      <c r="AI705" s="29" t="n">
        <f aca="false">IFERROR(R705/AG705*60,"")</f>
        <v>648.151658767773</v>
      </c>
      <c r="AJ705" s="30" t="n">
        <f aca="false">IFERROR(AI705/Q705,"")</f>
        <v>0.697663243812533</v>
      </c>
      <c r="AK705" s="31" t="n">
        <f aca="false">IFERROR(R705/(T705/60*Q705),"")</f>
        <v>0.665091616465864</v>
      </c>
      <c r="AL705" s="26" t="n">
        <v>2</v>
      </c>
      <c r="AM705" s="26" t="n">
        <v>1</v>
      </c>
      <c r="AN705" s="26" t="n">
        <v>2</v>
      </c>
      <c r="AO705" s="26" t="n">
        <v>3</v>
      </c>
      <c r="AP705" s="26" t="n">
        <v>6</v>
      </c>
      <c r="AQ705" s="26" t="n">
        <v>4</v>
      </c>
      <c r="AR705" s="26" t="n">
        <v>4</v>
      </c>
      <c r="AS705" s="26" t="n">
        <v>2</v>
      </c>
      <c r="AT705" s="26" t="n">
        <v>2</v>
      </c>
      <c r="AU705" s="26" t="n">
        <v>1</v>
      </c>
      <c r="AV705" s="26" t="n">
        <f aca="false">SUM(AL705:AU705)</f>
        <v>27</v>
      </c>
      <c r="AW705" s="32" t="n">
        <f aca="false">IFERROR(AV705/R705*1000000,"")</f>
        <v>3948.5229599298</v>
      </c>
      <c r="AX705" s="33" t="n">
        <f aca="false">IFERROR((R705-AV705)/R705,"")</f>
        <v>0.99605147704007</v>
      </c>
      <c r="AY705" s="34" t="n">
        <f aca="false">IFERROR(AH705*AJ705*AX705,"")</f>
        <v>0.662465486947791</v>
      </c>
      <c r="AZ705" s="35" t="s">
        <v>93</v>
      </c>
    </row>
    <row r="706" customFormat="false" ht="12.75" hidden="false" customHeight="true" outlineLevel="0" collapsed="false">
      <c r="A706" s="24" t="n">
        <v>702</v>
      </c>
      <c r="B706" s="25" t="n">
        <v>46256</v>
      </c>
      <c r="C706" s="25" t="n">
        <v>12</v>
      </c>
      <c r="D706" s="26" t="s">
        <v>87</v>
      </c>
      <c r="E706" s="26" t="s">
        <v>101</v>
      </c>
      <c r="F706" s="26" t="s">
        <v>81</v>
      </c>
      <c r="G706" s="26" t="s">
        <v>13</v>
      </c>
      <c r="H706" s="27" t="n">
        <v>0.354166666666667</v>
      </c>
      <c r="I706" s="27" t="n">
        <v>0.854166666666667</v>
      </c>
      <c r="J706" s="26" t="n">
        <f aca="false">IFERROR((I706-H706)*24*60,"")</f>
        <v>720</v>
      </c>
      <c r="K706" s="26" t="s">
        <v>82</v>
      </c>
      <c r="L706" s="26" t="s">
        <v>98</v>
      </c>
      <c r="M706" s="26" t="s">
        <v>103</v>
      </c>
      <c r="N706" s="26" t="s">
        <v>104</v>
      </c>
      <c r="O706" s="26" t="n">
        <v>8</v>
      </c>
      <c r="P706" s="26" t="n">
        <v>74</v>
      </c>
      <c r="Q706" s="26" t="n">
        <f aca="false">IFERROR(3600/(P706/O706),"")</f>
        <v>389.189189189189</v>
      </c>
      <c r="R706" s="26" t="n">
        <v>3341</v>
      </c>
      <c r="S706" s="26" t="n">
        <v>66</v>
      </c>
      <c r="T706" s="26" t="n">
        <f aca="false">IFERROR(J706-S706,"")</f>
        <v>654</v>
      </c>
      <c r="U706" s="26" t="n">
        <v>10</v>
      </c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 t="n">
        <f aca="false">SUM(U706:AE706)</f>
        <v>10</v>
      </c>
      <c r="AG706" s="26" t="n">
        <f aca="false">T706-AF706</f>
        <v>644</v>
      </c>
      <c r="AH706" s="28" t="n">
        <f aca="false">IFERROR(AG706/T706,"")</f>
        <v>0.984709480122324</v>
      </c>
      <c r="AI706" s="29" t="n">
        <f aca="false">IFERROR(R706/AG706*60,"")</f>
        <v>311.273291925466</v>
      </c>
      <c r="AJ706" s="30" t="n">
        <f aca="false">IFERROR(AI706/Q706,"")</f>
        <v>0.799799430641822</v>
      </c>
      <c r="AK706" s="31" t="n">
        <f aca="false">IFERROR(R706/(T706/60*Q706),"")</f>
        <v>0.787570081549439</v>
      </c>
      <c r="AL706" s="26" t="n">
        <v>7</v>
      </c>
      <c r="AM706" s="26" t="n">
        <v>6</v>
      </c>
      <c r="AN706" s="26" t="n">
        <v>6</v>
      </c>
      <c r="AO706" s="26" t="n">
        <v>7</v>
      </c>
      <c r="AP706" s="26" t="n">
        <v>9</v>
      </c>
      <c r="AQ706" s="26" t="n">
        <v>6</v>
      </c>
      <c r="AR706" s="26" t="n">
        <v>8</v>
      </c>
      <c r="AS706" s="26" t="n">
        <v>7</v>
      </c>
      <c r="AT706" s="26" t="n">
        <v>6</v>
      </c>
      <c r="AU706" s="26" t="n">
        <v>10</v>
      </c>
      <c r="AV706" s="26" t="n">
        <f aca="false">SUM(AL706:AU706)</f>
        <v>72</v>
      </c>
      <c r="AW706" s="32" t="n">
        <f aca="false">IFERROR(AV706/R706*1000000,"")</f>
        <v>21550.4340017959</v>
      </c>
      <c r="AX706" s="33" t="n">
        <f aca="false">IFERROR((R706-AV706)/R706,"")</f>
        <v>0.978449565998204</v>
      </c>
      <c r="AY706" s="34" t="n">
        <f aca="false">IFERROR(AH706*AJ706*AX706,"")</f>
        <v>0.770597604485219</v>
      </c>
      <c r="AZ706" s="35" t="s">
        <v>86</v>
      </c>
    </row>
    <row r="707" customFormat="false" ht="12.75" hidden="false" customHeight="true" outlineLevel="0" collapsed="false">
      <c r="A707" s="24" t="n">
        <v>703</v>
      </c>
      <c r="B707" s="25" t="n">
        <v>46257</v>
      </c>
      <c r="C707" s="25" t="n">
        <v>12</v>
      </c>
      <c r="D707" s="26" t="s">
        <v>71</v>
      </c>
      <c r="E707" s="26" t="s">
        <v>72</v>
      </c>
      <c r="F707" s="26" t="s">
        <v>73</v>
      </c>
      <c r="G707" s="26" t="s">
        <v>8</v>
      </c>
      <c r="H707" s="27" t="n">
        <v>0.354166666666667</v>
      </c>
      <c r="I707" s="27" t="n">
        <v>0.854166666666667</v>
      </c>
      <c r="J707" s="26" t="n">
        <f aca="false">IFERROR((I707-H707)*24*60,"")</f>
        <v>720</v>
      </c>
      <c r="K707" s="26" t="s">
        <v>74</v>
      </c>
      <c r="L707" s="26" t="s">
        <v>75</v>
      </c>
      <c r="M707" s="26" t="s">
        <v>76</v>
      </c>
      <c r="N707" s="26" t="s">
        <v>77</v>
      </c>
      <c r="O707" s="26" t="n">
        <v>4</v>
      </c>
      <c r="P707" s="26" t="n">
        <v>51</v>
      </c>
      <c r="Q707" s="26" t="n">
        <f aca="false">IFERROR(3600/(P707/O707),"")</f>
        <v>282.352941176471</v>
      </c>
      <c r="R707" s="26" t="n">
        <v>2208</v>
      </c>
      <c r="S707" s="26" t="n">
        <v>35</v>
      </c>
      <c r="T707" s="26" t="n">
        <f aca="false">IFERROR(J707-S707,"")</f>
        <v>685</v>
      </c>
      <c r="U707" s="26" t="n">
        <v>3</v>
      </c>
      <c r="V707" s="26"/>
      <c r="W707" s="26"/>
      <c r="X707" s="26"/>
      <c r="Y707" s="26"/>
      <c r="Z707" s="26"/>
      <c r="AA707" s="26"/>
      <c r="AB707" s="26"/>
      <c r="AC707" s="26" t="n">
        <v>13</v>
      </c>
      <c r="AD707" s="26"/>
      <c r="AE707" s="26"/>
      <c r="AF707" s="26" t="n">
        <f aca="false">SUM(U707:AE707)</f>
        <v>16</v>
      </c>
      <c r="AG707" s="26" t="n">
        <f aca="false">T707-AF707</f>
        <v>669</v>
      </c>
      <c r="AH707" s="28" t="n">
        <f aca="false">IFERROR(AG707/T707,"")</f>
        <v>0.976642335766423</v>
      </c>
      <c r="AI707" s="29" t="n">
        <f aca="false">IFERROR(R707/AG707*60,"")</f>
        <v>198.026905829596</v>
      </c>
      <c r="AJ707" s="30" t="n">
        <f aca="false">IFERROR(AI707/Q707,"")</f>
        <v>0.701345291479821</v>
      </c>
      <c r="AK707" s="31" t="n">
        <f aca="false">IFERROR(R707/(T707/60*Q707),"")</f>
        <v>0.684963503649635</v>
      </c>
      <c r="AL707" s="26"/>
      <c r="AM707" s="26" t="n">
        <v>1</v>
      </c>
      <c r="AN707" s="26"/>
      <c r="AO707" s="26" t="n">
        <v>1</v>
      </c>
      <c r="AP707" s="26" t="n">
        <v>3</v>
      </c>
      <c r="AQ707" s="26" t="n">
        <v>1</v>
      </c>
      <c r="AR707" s="26"/>
      <c r="AS707" s="26" t="n">
        <v>2</v>
      </c>
      <c r="AT707" s="26"/>
      <c r="AU707" s="26" t="n">
        <v>2</v>
      </c>
      <c r="AV707" s="26" t="n">
        <f aca="false">SUM(AL707:AU707)</f>
        <v>10</v>
      </c>
      <c r="AW707" s="32" t="n">
        <f aca="false">IFERROR(AV707/R707*1000000,"")</f>
        <v>4528.98550724638</v>
      </c>
      <c r="AX707" s="33" t="n">
        <f aca="false">IFERROR((R707-AV707)/R707,"")</f>
        <v>0.995471014492754</v>
      </c>
      <c r="AY707" s="34" t="n">
        <f aca="false">IFERROR(AH707*AJ707*AX707,"")</f>
        <v>0.681861313868613</v>
      </c>
      <c r="AZ707" s="35" t="s">
        <v>93</v>
      </c>
    </row>
    <row r="708" customFormat="false" ht="12.75" hidden="false" customHeight="true" outlineLevel="0" collapsed="false">
      <c r="A708" s="24" t="n">
        <v>704</v>
      </c>
      <c r="B708" s="25" t="n">
        <v>46257</v>
      </c>
      <c r="C708" s="25" t="n">
        <v>12</v>
      </c>
      <c r="D708" s="26" t="s">
        <v>79</v>
      </c>
      <c r="E708" s="26" t="s">
        <v>80</v>
      </c>
      <c r="F708" s="26" t="s">
        <v>81</v>
      </c>
      <c r="G708" s="26" t="s">
        <v>9</v>
      </c>
      <c r="H708" s="27" t="n">
        <v>0.354166666666667</v>
      </c>
      <c r="I708" s="27" t="n">
        <v>0.854166666666667</v>
      </c>
      <c r="J708" s="26" t="n">
        <f aca="false">IFERROR((I708-H708)*24*60,"")</f>
        <v>720</v>
      </c>
      <c r="K708" s="26" t="s">
        <v>74</v>
      </c>
      <c r="L708" s="26" t="s">
        <v>75</v>
      </c>
      <c r="M708" s="26" t="s">
        <v>84</v>
      </c>
      <c r="N708" s="26" t="s">
        <v>85</v>
      </c>
      <c r="O708" s="26" t="n">
        <v>8</v>
      </c>
      <c r="P708" s="26" t="n">
        <v>69</v>
      </c>
      <c r="Q708" s="26" t="n">
        <f aca="false">IFERROR(3600/(P708/O708),"")</f>
        <v>417.391304347826</v>
      </c>
      <c r="R708" s="26" t="n">
        <v>3419</v>
      </c>
      <c r="S708" s="26" t="n">
        <v>73</v>
      </c>
      <c r="T708" s="26" t="n">
        <f aca="false">IFERROR(J708-S708,"")</f>
        <v>647</v>
      </c>
      <c r="U708" s="26"/>
      <c r="V708" s="26"/>
      <c r="W708" s="26"/>
      <c r="X708" s="26"/>
      <c r="Y708" s="26"/>
      <c r="Z708" s="26"/>
      <c r="AA708" s="26" t="n">
        <v>5</v>
      </c>
      <c r="AB708" s="26"/>
      <c r="AC708" s="26"/>
      <c r="AD708" s="26"/>
      <c r="AE708" s="26"/>
      <c r="AF708" s="26" t="n">
        <f aca="false">SUM(U708:AE708)</f>
        <v>5</v>
      </c>
      <c r="AG708" s="26" t="n">
        <f aca="false">T708-AF708</f>
        <v>642</v>
      </c>
      <c r="AH708" s="28" t="n">
        <f aca="false">IFERROR(AG708/T708,"")</f>
        <v>0.992272024729521</v>
      </c>
      <c r="AI708" s="29" t="n">
        <f aca="false">IFERROR(R708/AG708*60,"")</f>
        <v>319.532710280374</v>
      </c>
      <c r="AJ708" s="30" t="n">
        <f aca="false">IFERROR(AI708/Q708,"")</f>
        <v>0.765547118380062</v>
      </c>
      <c r="AK708" s="31" t="n">
        <f aca="false">IFERROR(R708/(T708/60*Q708),"")</f>
        <v>0.759630989180835</v>
      </c>
      <c r="AL708" s="26" t="n">
        <v>4</v>
      </c>
      <c r="AM708" s="26" t="n">
        <v>5</v>
      </c>
      <c r="AN708" s="26" t="n">
        <v>1</v>
      </c>
      <c r="AO708" s="26" t="n">
        <v>1</v>
      </c>
      <c r="AP708" s="26" t="n">
        <v>5</v>
      </c>
      <c r="AQ708" s="26" t="n">
        <v>1</v>
      </c>
      <c r="AR708" s="26" t="n">
        <v>1</v>
      </c>
      <c r="AS708" s="26" t="n">
        <v>4</v>
      </c>
      <c r="AT708" s="26" t="n">
        <v>3</v>
      </c>
      <c r="AU708" s="26" t="n">
        <v>3</v>
      </c>
      <c r="AV708" s="26" t="n">
        <f aca="false">SUM(AL708:AU708)</f>
        <v>28</v>
      </c>
      <c r="AW708" s="32" t="n">
        <f aca="false">IFERROR(AV708/R708*1000000,"")</f>
        <v>8189.52910207663</v>
      </c>
      <c r="AX708" s="33" t="n">
        <f aca="false">IFERROR((R708-AV708)/R708,"")</f>
        <v>0.991810470897923</v>
      </c>
      <c r="AY708" s="34" t="n">
        <f aca="false">IFERROR(AH708*AJ708*AX708,"")</f>
        <v>0.753409969088099</v>
      </c>
      <c r="AZ708" s="35" t="s">
        <v>93</v>
      </c>
    </row>
    <row r="709" customFormat="false" ht="12.75" hidden="false" customHeight="true" outlineLevel="0" collapsed="false">
      <c r="A709" s="24" t="n">
        <v>705</v>
      </c>
      <c r="B709" s="25" t="n">
        <v>46257</v>
      </c>
      <c r="C709" s="25" t="n">
        <v>12</v>
      </c>
      <c r="D709" s="26" t="s">
        <v>87</v>
      </c>
      <c r="E709" s="26" t="s">
        <v>88</v>
      </c>
      <c r="F709" s="26" t="s">
        <v>73</v>
      </c>
      <c r="G709" s="26" t="s">
        <v>10</v>
      </c>
      <c r="H709" s="27" t="n">
        <v>0.354166666666667</v>
      </c>
      <c r="I709" s="27" t="n">
        <v>0.854166666666667</v>
      </c>
      <c r="J709" s="26" t="n">
        <f aca="false">IFERROR((I709-H709)*24*60,"")</f>
        <v>720</v>
      </c>
      <c r="K709" s="26" t="s">
        <v>105</v>
      </c>
      <c r="L709" s="26" t="s">
        <v>106</v>
      </c>
      <c r="M709" s="26" t="s">
        <v>91</v>
      </c>
      <c r="N709" s="26" t="s">
        <v>92</v>
      </c>
      <c r="O709" s="26" t="n">
        <v>2</v>
      </c>
      <c r="P709" s="26" t="n">
        <v>74</v>
      </c>
      <c r="Q709" s="26" t="n">
        <f aca="false">IFERROR(3600/(P709/O709),"")</f>
        <v>97.2972972972973</v>
      </c>
      <c r="R709" s="26" t="n">
        <v>1005</v>
      </c>
      <c r="S709" s="26" t="n">
        <v>75</v>
      </c>
      <c r="T709" s="26" t="n">
        <f aca="false">IFERROR(J709-S709,"")</f>
        <v>645</v>
      </c>
      <c r="U709" s="26"/>
      <c r="V709" s="26"/>
      <c r="W709" s="26" t="n">
        <v>36</v>
      </c>
      <c r="X709" s="26"/>
      <c r="Y709" s="26"/>
      <c r="Z709" s="26"/>
      <c r="AA709" s="26"/>
      <c r="AB709" s="26" t="n">
        <v>9</v>
      </c>
      <c r="AC709" s="26"/>
      <c r="AD709" s="26"/>
      <c r="AE709" s="26" t="n">
        <v>9</v>
      </c>
      <c r="AF709" s="26" t="n">
        <f aca="false">SUM(U709:AE709)</f>
        <v>54</v>
      </c>
      <c r="AG709" s="26" t="n">
        <f aca="false">T709-AF709</f>
        <v>591</v>
      </c>
      <c r="AH709" s="28" t="n">
        <f aca="false">IFERROR(AG709/T709,"")</f>
        <v>0.916279069767442</v>
      </c>
      <c r="AI709" s="29" t="n">
        <f aca="false">IFERROR(R709/AG709*60,"")</f>
        <v>102.030456852792</v>
      </c>
      <c r="AJ709" s="30" t="n">
        <f aca="false">IFERROR(AI709/Q709,"")</f>
        <v>1.04864636209814</v>
      </c>
      <c r="AK709" s="31" t="n">
        <f aca="false">IFERROR(R709/(T709/60*Q709),"")</f>
        <v>0.960852713178295</v>
      </c>
      <c r="AL709" s="26" t="n">
        <v>1</v>
      </c>
      <c r="AM709" s="26" t="n">
        <v>2</v>
      </c>
      <c r="AN709" s="26" t="n">
        <v>1</v>
      </c>
      <c r="AO709" s="26" t="n">
        <v>1</v>
      </c>
      <c r="AP709" s="26" t="n">
        <v>1</v>
      </c>
      <c r="AQ709" s="26" t="n">
        <v>2</v>
      </c>
      <c r="AR709" s="26" t="n">
        <v>3</v>
      </c>
      <c r="AS709" s="26" t="n">
        <v>4</v>
      </c>
      <c r="AT709" s="26" t="n">
        <v>1</v>
      </c>
      <c r="AU709" s="26" t="n">
        <v>1</v>
      </c>
      <c r="AV709" s="26" t="n">
        <f aca="false">SUM(AL709:AU709)</f>
        <v>17</v>
      </c>
      <c r="AW709" s="32" t="n">
        <f aca="false">IFERROR(AV709/R709*1000000,"")</f>
        <v>16915.4228855721</v>
      </c>
      <c r="AX709" s="33" t="n">
        <f aca="false">IFERROR((R709-AV709)/R709,"")</f>
        <v>0.983084577114428</v>
      </c>
      <c r="AY709" s="34" t="n">
        <f aca="false">IFERROR(AH709*AJ709*AX709,"")</f>
        <v>0.944599483204135</v>
      </c>
      <c r="AZ709" s="35" t="s">
        <v>86</v>
      </c>
    </row>
    <row r="710" customFormat="false" ht="12.75" hidden="false" customHeight="true" outlineLevel="0" collapsed="false">
      <c r="A710" s="24" t="n">
        <v>706</v>
      </c>
      <c r="B710" s="25" t="n">
        <v>46258</v>
      </c>
      <c r="C710" s="25" t="n">
        <v>12</v>
      </c>
      <c r="D710" s="26" t="s">
        <v>71</v>
      </c>
      <c r="E710" s="26" t="s">
        <v>94</v>
      </c>
      <c r="F710" s="26" t="s">
        <v>81</v>
      </c>
      <c r="G710" s="26" t="s">
        <v>11</v>
      </c>
      <c r="H710" s="27" t="n">
        <v>0.354166666666667</v>
      </c>
      <c r="I710" s="27" t="n">
        <v>0.854166666666667</v>
      </c>
      <c r="J710" s="26" t="n">
        <f aca="false">IFERROR((I710-H710)*24*60,"")</f>
        <v>720</v>
      </c>
      <c r="K710" s="26" t="s">
        <v>74</v>
      </c>
      <c r="L710" s="26" t="s">
        <v>102</v>
      </c>
      <c r="M710" s="26" t="s">
        <v>95</v>
      </c>
      <c r="N710" s="26" t="s">
        <v>96</v>
      </c>
      <c r="O710" s="26" t="n">
        <v>8</v>
      </c>
      <c r="P710" s="26" t="n">
        <v>26</v>
      </c>
      <c r="Q710" s="26" t="n">
        <f aca="false">IFERROR(3600/(P710/O710),"")</f>
        <v>1107.69230769231</v>
      </c>
      <c r="R710" s="26" t="n">
        <v>10599</v>
      </c>
      <c r="S710" s="26" t="n">
        <v>34</v>
      </c>
      <c r="T710" s="26" t="n">
        <f aca="false">IFERROR(J710-S710,"")</f>
        <v>686</v>
      </c>
      <c r="U710" s="26" t="n">
        <v>26</v>
      </c>
      <c r="V710" s="26" t="n">
        <v>20</v>
      </c>
      <c r="W710" s="26"/>
      <c r="X710" s="26"/>
      <c r="Y710" s="26"/>
      <c r="Z710" s="26"/>
      <c r="AA710" s="26"/>
      <c r="AB710" s="26" t="n">
        <v>31</v>
      </c>
      <c r="AC710" s="26"/>
      <c r="AD710" s="26"/>
      <c r="AE710" s="26"/>
      <c r="AF710" s="26" t="n">
        <f aca="false">SUM(U710:AE710)</f>
        <v>77</v>
      </c>
      <c r="AG710" s="26" t="n">
        <f aca="false">T710-AF710</f>
        <v>609</v>
      </c>
      <c r="AH710" s="28" t="n">
        <f aca="false">IFERROR(AG710/T710,"")</f>
        <v>0.887755102040816</v>
      </c>
      <c r="AI710" s="29" t="n">
        <f aca="false">IFERROR(R710/AG710*60,"")</f>
        <v>1044.23645320197</v>
      </c>
      <c r="AJ710" s="30" t="n">
        <f aca="false">IFERROR(AI710/Q710,"")</f>
        <v>0.942713464696224</v>
      </c>
      <c r="AK710" s="31" t="n">
        <f aca="false">IFERROR(R710/(T710/60*Q710),"")</f>
        <v>0.836898688046647</v>
      </c>
      <c r="AL710" s="26" t="n">
        <v>22</v>
      </c>
      <c r="AM710" s="26" t="n">
        <v>15</v>
      </c>
      <c r="AN710" s="26" t="n">
        <v>23</v>
      </c>
      <c r="AO710" s="26" t="n">
        <v>16</v>
      </c>
      <c r="AP710" s="26" t="n">
        <v>18</v>
      </c>
      <c r="AQ710" s="26" t="n">
        <v>18</v>
      </c>
      <c r="AR710" s="26" t="n">
        <v>24</v>
      </c>
      <c r="AS710" s="26" t="n">
        <v>25</v>
      </c>
      <c r="AT710" s="26" t="n">
        <v>21</v>
      </c>
      <c r="AU710" s="26" t="n">
        <v>16</v>
      </c>
      <c r="AV710" s="26" t="n">
        <f aca="false">SUM(AL710:AU710)</f>
        <v>198</v>
      </c>
      <c r="AW710" s="32" t="n">
        <f aca="false">IFERROR(AV710/R710*1000000,"")</f>
        <v>18681.0076422304</v>
      </c>
      <c r="AX710" s="33" t="n">
        <f aca="false">IFERROR((R710-AV710)/R710,"")</f>
        <v>0.98131899235777</v>
      </c>
      <c r="AY710" s="34" t="n">
        <f aca="false">IFERROR(AH710*AJ710*AX710,"")</f>
        <v>0.821264577259475</v>
      </c>
      <c r="AZ710" s="35" t="s">
        <v>78</v>
      </c>
    </row>
    <row r="711" customFormat="false" ht="12.75" hidden="false" customHeight="true" outlineLevel="0" collapsed="false">
      <c r="A711" s="24" t="n">
        <v>707</v>
      </c>
      <c r="B711" s="25" t="n">
        <v>46258</v>
      </c>
      <c r="C711" s="25" t="n">
        <v>12</v>
      </c>
      <c r="D711" s="26" t="s">
        <v>79</v>
      </c>
      <c r="E711" s="26" t="s">
        <v>97</v>
      </c>
      <c r="F711" s="26" t="s">
        <v>73</v>
      </c>
      <c r="G711" s="26" t="s">
        <v>12</v>
      </c>
      <c r="H711" s="27" t="n">
        <v>0.354166666666667</v>
      </c>
      <c r="I711" s="27" t="n">
        <v>0.854166666666667</v>
      </c>
      <c r="J711" s="26" t="n">
        <f aca="false">IFERROR((I711-H711)*24*60,"")</f>
        <v>720</v>
      </c>
      <c r="K711" s="26" t="s">
        <v>74</v>
      </c>
      <c r="L711" s="26" t="s">
        <v>107</v>
      </c>
      <c r="M711" s="26" t="s">
        <v>99</v>
      </c>
      <c r="N711" s="26" t="s">
        <v>100</v>
      </c>
      <c r="O711" s="26" t="n">
        <v>2</v>
      </c>
      <c r="P711" s="26" t="n">
        <v>49</v>
      </c>
      <c r="Q711" s="26" t="n">
        <f aca="false">IFERROR(3600/(P711/O711),"")</f>
        <v>146.938775510204</v>
      </c>
      <c r="R711" s="26" t="n">
        <v>1483</v>
      </c>
      <c r="S711" s="26" t="n">
        <v>33</v>
      </c>
      <c r="T711" s="26" t="n">
        <f aca="false">IFERROR(J711-S711,"")</f>
        <v>687</v>
      </c>
      <c r="U711" s="26"/>
      <c r="V711" s="26"/>
      <c r="W711" s="26" t="n">
        <v>6</v>
      </c>
      <c r="X711" s="26" t="n">
        <v>22</v>
      </c>
      <c r="Y711" s="26"/>
      <c r="Z711" s="26"/>
      <c r="AA711" s="26"/>
      <c r="AB711" s="26"/>
      <c r="AC711" s="26"/>
      <c r="AD711" s="26"/>
      <c r="AE711" s="26"/>
      <c r="AF711" s="26" t="n">
        <f aca="false">SUM(U711:AE711)</f>
        <v>28</v>
      </c>
      <c r="AG711" s="26" t="n">
        <f aca="false">T711-AF711</f>
        <v>659</v>
      </c>
      <c r="AH711" s="28" t="n">
        <f aca="false">IFERROR(AG711/T711,"")</f>
        <v>0.95924308588064</v>
      </c>
      <c r="AI711" s="29" t="n">
        <f aca="false">IFERROR(R711/AG711*60,"")</f>
        <v>135.022761760243</v>
      </c>
      <c r="AJ711" s="30" t="n">
        <f aca="false">IFERROR(AI711/Q711,"")</f>
        <v>0.918904906423875</v>
      </c>
      <c r="AK711" s="31" t="n">
        <f aca="false">IFERROR(R711/(T711/60*Q711),"")</f>
        <v>0.881453178068899</v>
      </c>
      <c r="AL711" s="26"/>
      <c r="AM711" s="26"/>
      <c r="AN711" s="26" t="n">
        <v>6</v>
      </c>
      <c r="AO711" s="26" t="n">
        <v>4</v>
      </c>
      <c r="AP711" s="26" t="n">
        <v>1</v>
      </c>
      <c r="AQ711" s="26" t="n">
        <v>2</v>
      </c>
      <c r="AR711" s="26" t="n">
        <v>1</v>
      </c>
      <c r="AS711" s="26" t="n">
        <v>2</v>
      </c>
      <c r="AT711" s="26" t="n">
        <v>2</v>
      </c>
      <c r="AU711" s="26" t="n">
        <v>1</v>
      </c>
      <c r="AV711" s="26" t="n">
        <f aca="false">SUM(AL711:AU711)</f>
        <v>19</v>
      </c>
      <c r="AW711" s="32" t="n">
        <f aca="false">IFERROR(AV711/R711*1000000,"")</f>
        <v>12811.8678354686</v>
      </c>
      <c r="AX711" s="33" t="n">
        <f aca="false">IFERROR((R711-AV711)/R711,"")</f>
        <v>0.987188132164531</v>
      </c>
      <c r="AY711" s="34" t="n">
        <f aca="false">IFERROR(AH711*AJ711*AX711,"")</f>
        <v>0.870160116448326</v>
      </c>
      <c r="AZ711" s="35" t="s">
        <v>78</v>
      </c>
    </row>
    <row r="712" customFormat="false" ht="12.75" hidden="false" customHeight="true" outlineLevel="0" collapsed="false">
      <c r="A712" s="24" t="n">
        <v>708</v>
      </c>
      <c r="B712" s="25" t="n">
        <v>46258</v>
      </c>
      <c r="C712" s="25" t="n">
        <v>12</v>
      </c>
      <c r="D712" s="26" t="s">
        <v>87</v>
      </c>
      <c r="E712" s="26" t="s">
        <v>101</v>
      </c>
      <c r="F712" s="26" t="s">
        <v>81</v>
      </c>
      <c r="G712" s="26" t="s">
        <v>13</v>
      </c>
      <c r="H712" s="27" t="n">
        <v>0.354166666666667</v>
      </c>
      <c r="I712" s="27" t="n">
        <v>0.854166666666667</v>
      </c>
      <c r="J712" s="26" t="n">
        <f aca="false">IFERROR((I712-H712)*24*60,"")</f>
        <v>720</v>
      </c>
      <c r="K712" s="26" t="s">
        <v>82</v>
      </c>
      <c r="L712" s="26" t="s">
        <v>102</v>
      </c>
      <c r="M712" s="26" t="s">
        <v>103</v>
      </c>
      <c r="N712" s="26" t="s">
        <v>104</v>
      </c>
      <c r="O712" s="26" t="n">
        <v>8</v>
      </c>
      <c r="P712" s="26" t="n">
        <v>73</v>
      </c>
      <c r="Q712" s="26" t="n">
        <f aca="false">IFERROR(3600/(P712/O712),"")</f>
        <v>394.520547945205</v>
      </c>
      <c r="R712" s="26" t="n">
        <v>4029</v>
      </c>
      <c r="S712" s="26" t="n">
        <v>44</v>
      </c>
      <c r="T712" s="26" t="n">
        <f aca="false">IFERROR(J712-S712,"")</f>
        <v>676</v>
      </c>
      <c r="U712" s="26" t="n">
        <v>4</v>
      </c>
      <c r="V712" s="26"/>
      <c r="W712" s="26"/>
      <c r="X712" s="26"/>
      <c r="Y712" s="26" t="n">
        <v>24</v>
      </c>
      <c r="Z712" s="26"/>
      <c r="AA712" s="26"/>
      <c r="AB712" s="26"/>
      <c r="AC712" s="26"/>
      <c r="AD712" s="26" t="n">
        <v>11</v>
      </c>
      <c r="AE712" s="26"/>
      <c r="AF712" s="26" t="n">
        <f aca="false">SUM(U712:AE712)</f>
        <v>39</v>
      </c>
      <c r="AG712" s="26" t="n">
        <f aca="false">T712-AF712</f>
        <v>637</v>
      </c>
      <c r="AH712" s="28" t="n">
        <f aca="false">IFERROR(AG712/T712,"")</f>
        <v>0.942307692307692</v>
      </c>
      <c r="AI712" s="29" t="n">
        <f aca="false">IFERROR(R712/AG712*60,"")</f>
        <v>379.497645211931</v>
      </c>
      <c r="AJ712" s="30" t="n">
        <f aca="false">IFERROR(AI712/Q712,"")</f>
        <v>0.961921114599686</v>
      </c>
      <c r="AK712" s="31" t="n">
        <f aca="false">IFERROR(R712/(T712/60*Q712),"")</f>
        <v>0.906425665680473</v>
      </c>
      <c r="AL712" s="26" t="n">
        <v>2</v>
      </c>
      <c r="AM712" s="26" t="n">
        <v>2</v>
      </c>
      <c r="AN712" s="26" t="n">
        <v>1</v>
      </c>
      <c r="AO712" s="26" t="n">
        <v>7</v>
      </c>
      <c r="AP712" s="26" t="n">
        <v>3</v>
      </c>
      <c r="AQ712" s="26" t="n">
        <v>1</v>
      </c>
      <c r="AR712" s="26" t="n">
        <v>1</v>
      </c>
      <c r="AS712" s="26" t="n">
        <v>1</v>
      </c>
      <c r="AT712" s="26" t="n">
        <v>3</v>
      </c>
      <c r="AU712" s="26"/>
      <c r="AV712" s="26" t="n">
        <f aca="false">SUM(AL712:AU712)</f>
        <v>21</v>
      </c>
      <c r="AW712" s="32" t="n">
        <f aca="false">IFERROR(AV712/R712*1000000,"")</f>
        <v>5212.21146686523</v>
      </c>
      <c r="AX712" s="33" t="n">
        <f aca="false">IFERROR((R712-AV712)/R712,"")</f>
        <v>0.994787788533135</v>
      </c>
      <c r="AY712" s="34" t="n">
        <f aca="false">IFERROR(AH712*AJ712*AX712,"")</f>
        <v>0.901701183431953</v>
      </c>
      <c r="AZ712" s="35" t="s">
        <v>78</v>
      </c>
    </row>
    <row r="713" customFormat="false" ht="12.75" hidden="false" customHeight="true" outlineLevel="0" collapsed="false">
      <c r="A713" s="24" t="n">
        <v>709</v>
      </c>
      <c r="B713" s="25" t="n">
        <v>46259</v>
      </c>
      <c r="C713" s="25" t="n">
        <v>12</v>
      </c>
      <c r="D713" s="26" t="s">
        <v>71</v>
      </c>
      <c r="E713" s="26" t="s">
        <v>72</v>
      </c>
      <c r="F713" s="26" t="s">
        <v>73</v>
      </c>
      <c r="G713" s="26" t="s">
        <v>8</v>
      </c>
      <c r="H713" s="27" t="n">
        <v>0.354166666666667</v>
      </c>
      <c r="I713" s="27" t="n">
        <v>0.854166666666667</v>
      </c>
      <c r="J713" s="26" t="n">
        <f aca="false">IFERROR((I713-H713)*24*60,"")</f>
        <v>720</v>
      </c>
      <c r="K713" s="26" t="s">
        <v>89</v>
      </c>
      <c r="L713" s="26" t="s">
        <v>83</v>
      </c>
      <c r="M713" s="26" t="s">
        <v>76</v>
      </c>
      <c r="N713" s="26" t="s">
        <v>77</v>
      </c>
      <c r="O713" s="26" t="n">
        <v>2</v>
      </c>
      <c r="P713" s="26" t="n">
        <v>52</v>
      </c>
      <c r="Q713" s="26" t="n">
        <f aca="false">IFERROR(3600/(P713/O713),"")</f>
        <v>138.461538461538</v>
      </c>
      <c r="R713" s="26" t="n">
        <v>1050</v>
      </c>
      <c r="S713" s="26" t="n">
        <v>47</v>
      </c>
      <c r="T713" s="26" t="n">
        <f aca="false">IFERROR(J713-S713,"")</f>
        <v>673</v>
      </c>
      <c r="U713" s="26"/>
      <c r="V713" s="26"/>
      <c r="W713" s="26"/>
      <c r="X713" s="26"/>
      <c r="Y713" s="26"/>
      <c r="Z713" s="26"/>
      <c r="AA713" s="26" t="n">
        <v>37</v>
      </c>
      <c r="AB713" s="26" t="n">
        <v>6</v>
      </c>
      <c r="AC713" s="26"/>
      <c r="AD713" s="26"/>
      <c r="AE713" s="26" t="n">
        <v>26</v>
      </c>
      <c r="AF713" s="26" t="n">
        <f aca="false">SUM(U713:AE713)</f>
        <v>69</v>
      </c>
      <c r="AG713" s="26" t="n">
        <f aca="false">T713-AF713</f>
        <v>604</v>
      </c>
      <c r="AH713" s="28" t="n">
        <f aca="false">IFERROR(AG713/T713,"")</f>
        <v>0.897473997028232</v>
      </c>
      <c r="AI713" s="29" t="n">
        <f aca="false">IFERROR(R713/AG713*60,"")</f>
        <v>104.304635761589</v>
      </c>
      <c r="AJ713" s="30" t="n">
        <f aca="false">IFERROR(AI713/Q713,"")</f>
        <v>0.753311258278146</v>
      </c>
      <c r="AK713" s="31" t="n">
        <f aca="false">IFERROR(R713/(T713/60*Q713),"")</f>
        <v>0.676077265973254</v>
      </c>
      <c r="AL713" s="26" t="n">
        <v>1</v>
      </c>
      <c r="AM713" s="26" t="n">
        <v>1</v>
      </c>
      <c r="AN713" s="26" t="n">
        <v>1</v>
      </c>
      <c r="AO713" s="26" t="n">
        <v>1</v>
      </c>
      <c r="AP713" s="26" t="n">
        <v>3</v>
      </c>
      <c r="AQ713" s="26" t="n">
        <v>3</v>
      </c>
      <c r="AR713" s="26" t="n">
        <v>2</v>
      </c>
      <c r="AS713" s="26" t="n">
        <v>1</v>
      </c>
      <c r="AT713" s="26" t="n">
        <v>2</v>
      </c>
      <c r="AU713" s="26"/>
      <c r="AV713" s="26" t="n">
        <f aca="false">SUM(AL713:AU713)</f>
        <v>15</v>
      </c>
      <c r="AW713" s="32" t="n">
        <f aca="false">IFERROR(AV713/R713*1000000,"")</f>
        <v>14285.7142857143</v>
      </c>
      <c r="AX713" s="33" t="n">
        <f aca="false">IFERROR((R713-AV713)/R713,"")</f>
        <v>0.985714285714286</v>
      </c>
      <c r="AY713" s="34" t="n">
        <f aca="false">IFERROR(AH713*AJ713*AX713,"")</f>
        <v>0.666419019316494</v>
      </c>
      <c r="AZ713" s="35"/>
    </row>
    <row r="714" customFormat="false" ht="12.75" hidden="false" customHeight="true" outlineLevel="0" collapsed="false">
      <c r="A714" s="24" t="n">
        <v>710</v>
      </c>
      <c r="B714" s="25" t="n">
        <v>46259</v>
      </c>
      <c r="C714" s="25" t="n">
        <v>12</v>
      </c>
      <c r="D714" s="26" t="s">
        <v>79</v>
      </c>
      <c r="E714" s="26" t="s">
        <v>80</v>
      </c>
      <c r="F714" s="26" t="s">
        <v>81</v>
      </c>
      <c r="G714" s="26" t="s">
        <v>9</v>
      </c>
      <c r="H714" s="27" t="n">
        <v>0.354166666666667</v>
      </c>
      <c r="I714" s="27" t="n">
        <v>0.854166666666667</v>
      </c>
      <c r="J714" s="26" t="n">
        <f aca="false">IFERROR((I714-H714)*24*60,"")</f>
        <v>720</v>
      </c>
      <c r="K714" s="26" t="s">
        <v>89</v>
      </c>
      <c r="L714" s="26" t="s">
        <v>75</v>
      </c>
      <c r="M714" s="26" t="s">
        <v>84</v>
      </c>
      <c r="N714" s="26" t="s">
        <v>85</v>
      </c>
      <c r="O714" s="26" t="n">
        <v>4</v>
      </c>
      <c r="P714" s="26" t="n">
        <v>37</v>
      </c>
      <c r="Q714" s="26" t="n">
        <f aca="false">IFERROR(3600/(P714/O714),"")</f>
        <v>389.189189189189</v>
      </c>
      <c r="R714" s="26" t="n">
        <v>4083</v>
      </c>
      <c r="S714" s="26" t="n">
        <v>48</v>
      </c>
      <c r="T714" s="26" t="n">
        <f aca="false">IFERROR(J714-S714,"")</f>
        <v>672</v>
      </c>
      <c r="U714" s="26"/>
      <c r="V714" s="26"/>
      <c r="W714" s="26"/>
      <c r="X714" s="26" t="n">
        <v>6</v>
      </c>
      <c r="Y714" s="26"/>
      <c r="Z714" s="26"/>
      <c r="AA714" s="26"/>
      <c r="AB714" s="26"/>
      <c r="AC714" s="26" t="n">
        <v>7</v>
      </c>
      <c r="AD714" s="26"/>
      <c r="AE714" s="26"/>
      <c r="AF714" s="26" t="n">
        <f aca="false">SUM(U714:AE714)</f>
        <v>13</v>
      </c>
      <c r="AG714" s="26" t="n">
        <f aca="false">T714-AF714</f>
        <v>659</v>
      </c>
      <c r="AH714" s="28" t="n">
        <f aca="false">IFERROR(AG714/T714,"")</f>
        <v>0.980654761904762</v>
      </c>
      <c r="AI714" s="29" t="n">
        <f aca="false">IFERROR(R714/AG714*60,"")</f>
        <v>371.745068285281</v>
      </c>
      <c r="AJ714" s="30" t="n">
        <f aca="false">IFERROR(AI714/Q714,"")</f>
        <v>0.955178300455235</v>
      </c>
      <c r="AK714" s="31" t="n">
        <f aca="false">IFERROR(R714/(T714/60*Q714),"")</f>
        <v>0.936700148809524</v>
      </c>
      <c r="AL714" s="26" t="n">
        <v>5</v>
      </c>
      <c r="AM714" s="26" t="n">
        <v>3</v>
      </c>
      <c r="AN714" s="26" t="n">
        <v>3</v>
      </c>
      <c r="AO714" s="26" t="n">
        <v>6</v>
      </c>
      <c r="AP714" s="26" t="n">
        <v>1</v>
      </c>
      <c r="AQ714" s="26" t="n">
        <v>5</v>
      </c>
      <c r="AR714" s="26" t="n">
        <v>6</v>
      </c>
      <c r="AS714" s="26" t="n">
        <v>2</v>
      </c>
      <c r="AT714" s="26" t="n">
        <v>5</v>
      </c>
      <c r="AU714" s="26" t="n">
        <v>6</v>
      </c>
      <c r="AV714" s="26" t="n">
        <f aca="false">SUM(AL714:AU714)</f>
        <v>42</v>
      </c>
      <c r="AW714" s="32" t="n">
        <f aca="false">IFERROR(AV714/R714*1000000,"")</f>
        <v>10286.5540044085</v>
      </c>
      <c r="AX714" s="33" t="n">
        <f aca="false">IFERROR((R714-AV714)/R714,"")</f>
        <v>0.989713445995592</v>
      </c>
      <c r="AY714" s="34" t="n">
        <f aca="false">IFERROR(AH714*AJ714*AX714,"")</f>
        <v>0.927064732142857</v>
      </c>
      <c r="AZ714" s="35" t="s">
        <v>93</v>
      </c>
    </row>
    <row r="715" customFormat="false" ht="12.75" hidden="false" customHeight="true" outlineLevel="0" collapsed="false">
      <c r="A715" s="24" t="n">
        <v>711</v>
      </c>
      <c r="B715" s="25" t="n">
        <v>46259</v>
      </c>
      <c r="C715" s="25" t="n">
        <v>12</v>
      </c>
      <c r="D715" s="26" t="s">
        <v>87</v>
      </c>
      <c r="E715" s="26" t="s">
        <v>88</v>
      </c>
      <c r="F715" s="26" t="s">
        <v>73</v>
      </c>
      <c r="G715" s="26" t="s">
        <v>10</v>
      </c>
      <c r="H715" s="27" t="n">
        <v>0.354166666666667</v>
      </c>
      <c r="I715" s="27" t="n">
        <v>0.854166666666667</v>
      </c>
      <c r="J715" s="26" t="n">
        <f aca="false">IFERROR((I715-H715)*24*60,"")</f>
        <v>720</v>
      </c>
      <c r="K715" s="26" t="s">
        <v>105</v>
      </c>
      <c r="L715" s="26" t="s">
        <v>90</v>
      </c>
      <c r="M715" s="26" t="s">
        <v>91</v>
      </c>
      <c r="N715" s="26" t="s">
        <v>92</v>
      </c>
      <c r="O715" s="26" t="n">
        <v>8</v>
      </c>
      <c r="P715" s="26" t="n">
        <v>29</v>
      </c>
      <c r="Q715" s="26" t="n">
        <f aca="false">IFERROR(3600/(P715/O715),"")</f>
        <v>993.103448275862</v>
      </c>
      <c r="R715" s="26" t="n">
        <v>9937</v>
      </c>
      <c r="S715" s="26" t="n">
        <v>61</v>
      </c>
      <c r="T715" s="26" t="n">
        <f aca="false">IFERROR(J715-S715,"")</f>
        <v>659</v>
      </c>
      <c r="U715" s="26"/>
      <c r="V715" s="26"/>
      <c r="W715" s="26"/>
      <c r="X715" s="26" t="n">
        <v>22</v>
      </c>
      <c r="Y715" s="26"/>
      <c r="Z715" s="26"/>
      <c r="AA715" s="26" t="n">
        <v>20</v>
      </c>
      <c r="AB715" s="26"/>
      <c r="AC715" s="26"/>
      <c r="AD715" s="26"/>
      <c r="AE715" s="26" t="n">
        <v>21</v>
      </c>
      <c r="AF715" s="26" t="n">
        <f aca="false">SUM(U715:AE715)</f>
        <v>63</v>
      </c>
      <c r="AG715" s="26" t="n">
        <f aca="false">T715-AF715</f>
        <v>596</v>
      </c>
      <c r="AH715" s="28" t="n">
        <f aca="false">IFERROR(AG715/T715,"")</f>
        <v>0.904400606980273</v>
      </c>
      <c r="AI715" s="29" t="n">
        <f aca="false">IFERROR(R715/AG715*60,"")</f>
        <v>1000.36912751678</v>
      </c>
      <c r="AJ715" s="30" t="n">
        <f aca="false">IFERROR(AI715/Q715,"")</f>
        <v>1.00731613534676</v>
      </c>
      <c r="AK715" s="31" t="n">
        <f aca="false">IFERROR(R715/(T715/60*Q715),"")</f>
        <v>0.911017324228629</v>
      </c>
      <c r="AL715" s="26" t="n">
        <v>3</v>
      </c>
      <c r="AM715" s="26" t="n">
        <v>3</v>
      </c>
      <c r="AN715" s="26" t="n">
        <v>4</v>
      </c>
      <c r="AO715" s="26" t="n">
        <v>7</v>
      </c>
      <c r="AP715" s="26" t="n">
        <v>5</v>
      </c>
      <c r="AQ715" s="26" t="n">
        <v>9</v>
      </c>
      <c r="AR715" s="26" t="n">
        <v>5</v>
      </c>
      <c r="AS715" s="26" t="n">
        <v>4</v>
      </c>
      <c r="AT715" s="26" t="n">
        <v>3</v>
      </c>
      <c r="AU715" s="26" t="n">
        <v>9</v>
      </c>
      <c r="AV715" s="26" t="n">
        <f aca="false">SUM(AL715:AU715)</f>
        <v>52</v>
      </c>
      <c r="AW715" s="32" t="n">
        <f aca="false">IFERROR(AV715/R715*1000000,"")</f>
        <v>5232.96769648787</v>
      </c>
      <c r="AX715" s="33" t="n">
        <f aca="false">IFERROR((R715-AV715)/R715,"")</f>
        <v>0.994767032303512</v>
      </c>
      <c r="AY715" s="34" t="n">
        <f aca="false">IFERROR(AH715*AJ715*AX715,"")</f>
        <v>0.90625</v>
      </c>
      <c r="AZ715" s="35" t="s">
        <v>86</v>
      </c>
    </row>
    <row r="716" customFormat="false" ht="12.75" hidden="false" customHeight="true" outlineLevel="0" collapsed="false">
      <c r="A716" s="24" t="n">
        <v>712</v>
      </c>
      <c r="B716" s="25" t="n">
        <v>46260</v>
      </c>
      <c r="C716" s="25" t="n">
        <v>12</v>
      </c>
      <c r="D716" s="26" t="s">
        <v>71</v>
      </c>
      <c r="E716" s="26" t="s">
        <v>94</v>
      </c>
      <c r="F716" s="26" t="s">
        <v>81</v>
      </c>
      <c r="G716" s="26" t="s">
        <v>11</v>
      </c>
      <c r="H716" s="27" t="n">
        <v>0.354166666666667</v>
      </c>
      <c r="I716" s="27" t="n">
        <v>0.854166666666667</v>
      </c>
      <c r="J716" s="26" t="n">
        <f aca="false">IFERROR((I716-H716)*24*60,"")</f>
        <v>720</v>
      </c>
      <c r="K716" s="26" t="s">
        <v>105</v>
      </c>
      <c r="L716" s="26" t="s">
        <v>107</v>
      </c>
      <c r="M716" s="26" t="s">
        <v>95</v>
      </c>
      <c r="N716" s="26" t="s">
        <v>96</v>
      </c>
      <c r="O716" s="26" t="n">
        <v>2</v>
      </c>
      <c r="P716" s="26" t="n">
        <v>71</v>
      </c>
      <c r="Q716" s="26" t="n">
        <f aca="false">IFERROR(3600/(P716/O716),"")</f>
        <v>101.408450704225</v>
      </c>
      <c r="R716" s="26" t="n">
        <v>1121</v>
      </c>
      <c r="S716" s="26" t="n">
        <v>35</v>
      </c>
      <c r="T716" s="26" t="n">
        <f aca="false">IFERROR(J716-S716,"")</f>
        <v>685</v>
      </c>
      <c r="U716" s="26"/>
      <c r="V716" s="26"/>
      <c r="W716" s="26"/>
      <c r="X716" s="26" t="n">
        <v>4</v>
      </c>
      <c r="Y716" s="26"/>
      <c r="Z716" s="26"/>
      <c r="AA716" s="26" t="n">
        <v>4</v>
      </c>
      <c r="AB716" s="26"/>
      <c r="AC716" s="26"/>
      <c r="AD716" s="26"/>
      <c r="AE716" s="26"/>
      <c r="AF716" s="26" t="n">
        <f aca="false">SUM(U716:AE716)</f>
        <v>8</v>
      </c>
      <c r="AG716" s="26" t="n">
        <f aca="false">T716-AF716</f>
        <v>677</v>
      </c>
      <c r="AH716" s="28" t="n">
        <f aca="false">IFERROR(AG716/T716,"")</f>
        <v>0.988321167883212</v>
      </c>
      <c r="AI716" s="29" t="n">
        <f aca="false">IFERROR(R716/AG716*60,"")</f>
        <v>99.3500738552437</v>
      </c>
      <c r="AJ716" s="30" t="n">
        <f aca="false">IFERROR(AI716/Q716,"")</f>
        <v>0.979702117183653</v>
      </c>
      <c r="AK716" s="31" t="n">
        <f aca="false">IFERROR(R716/(T716/60*Q716),"")</f>
        <v>0.968260340632603</v>
      </c>
      <c r="AL716" s="26" t="n">
        <v>1</v>
      </c>
      <c r="AM716" s="26" t="n">
        <v>1</v>
      </c>
      <c r="AN716" s="26" t="n">
        <v>3</v>
      </c>
      <c r="AO716" s="26" t="n">
        <v>3</v>
      </c>
      <c r="AP716" s="26" t="n">
        <v>2</v>
      </c>
      <c r="AQ716" s="26" t="n">
        <v>1</v>
      </c>
      <c r="AR716" s="26" t="n">
        <v>3</v>
      </c>
      <c r="AS716" s="26" t="n">
        <v>2</v>
      </c>
      <c r="AT716" s="26" t="n">
        <v>1</v>
      </c>
      <c r="AU716" s="26" t="n">
        <v>2</v>
      </c>
      <c r="AV716" s="26" t="n">
        <f aca="false">SUM(AL716:AU716)</f>
        <v>19</v>
      </c>
      <c r="AW716" s="32" t="n">
        <f aca="false">IFERROR(AV716/R716*1000000,"")</f>
        <v>16949.1525423729</v>
      </c>
      <c r="AX716" s="33" t="n">
        <f aca="false">IFERROR((R716-AV716)/R716,"")</f>
        <v>0.983050847457627</v>
      </c>
      <c r="AY716" s="34" t="n">
        <f aca="false">IFERROR(AH716*AJ716*AX716,"")</f>
        <v>0.951849148418491</v>
      </c>
      <c r="AZ716" s="35" t="s">
        <v>78</v>
      </c>
    </row>
    <row r="717" customFormat="false" ht="12.75" hidden="false" customHeight="true" outlineLevel="0" collapsed="false">
      <c r="A717" s="24" t="n">
        <v>713</v>
      </c>
      <c r="B717" s="25" t="n">
        <v>46260</v>
      </c>
      <c r="C717" s="25" t="n">
        <v>12</v>
      </c>
      <c r="D717" s="26" t="s">
        <v>79</v>
      </c>
      <c r="E717" s="26" t="s">
        <v>97</v>
      </c>
      <c r="F717" s="26" t="s">
        <v>73</v>
      </c>
      <c r="G717" s="26" t="s">
        <v>12</v>
      </c>
      <c r="H717" s="27" t="n">
        <v>0.354166666666667</v>
      </c>
      <c r="I717" s="27" t="n">
        <v>0.854166666666667</v>
      </c>
      <c r="J717" s="26" t="n">
        <f aca="false">IFERROR((I717-H717)*24*60,"")</f>
        <v>720</v>
      </c>
      <c r="K717" s="26" t="s">
        <v>105</v>
      </c>
      <c r="L717" s="26" t="s">
        <v>75</v>
      </c>
      <c r="M717" s="26" t="s">
        <v>99</v>
      </c>
      <c r="N717" s="26" t="s">
        <v>100</v>
      </c>
      <c r="O717" s="26" t="n">
        <v>4</v>
      </c>
      <c r="P717" s="26" t="n">
        <v>59</v>
      </c>
      <c r="Q717" s="26" t="n">
        <f aca="false">IFERROR(3600/(P717/O717),"")</f>
        <v>244.06779661017</v>
      </c>
      <c r="R717" s="26" t="n">
        <v>2324</v>
      </c>
      <c r="S717" s="26" t="n">
        <v>68</v>
      </c>
      <c r="T717" s="26" t="n">
        <f aca="false">IFERROR(J717-S717,"")</f>
        <v>652</v>
      </c>
      <c r="U717" s="26" t="n">
        <v>5</v>
      </c>
      <c r="V717" s="26"/>
      <c r="W717" s="26"/>
      <c r="X717" s="26" t="n">
        <v>3</v>
      </c>
      <c r="Y717" s="26"/>
      <c r="Z717" s="26"/>
      <c r="AA717" s="26"/>
      <c r="AB717" s="26"/>
      <c r="AC717" s="26"/>
      <c r="AD717" s="26"/>
      <c r="AE717" s="26"/>
      <c r="AF717" s="26" t="n">
        <f aca="false">SUM(U717:AE717)</f>
        <v>8</v>
      </c>
      <c r="AG717" s="26" t="n">
        <f aca="false">T717-AF717</f>
        <v>644</v>
      </c>
      <c r="AH717" s="28" t="n">
        <f aca="false">IFERROR(AG717/T717,"")</f>
        <v>0.987730061349693</v>
      </c>
      <c r="AI717" s="29" t="n">
        <f aca="false">IFERROR(R717/AG717*60,"")</f>
        <v>216.521739130435</v>
      </c>
      <c r="AJ717" s="30" t="n">
        <f aca="false">IFERROR(AI717/Q717,"")</f>
        <v>0.88713768115942</v>
      </c>
      <c r="AK717" s="31" t="n">
        <f aca="false">IFERROR(R717/(T717/60*Q717),"")</f>
        <v>0.876252556237219</v>
      </c>
      <c r="AL717" s="26" t="n">
        <v>5</v>
      </c>
      <c r="AM717" s="26" t="n">
        <v>3</v>
      </c>
      <c r="AN717" s="26" t="n">
        <v>2</v>
      </c>
      <c r="AO717" s="26" t="n">
        <v>5</v>
      </c>
      <c r="AP717" s="26" t="n">
        <v>8</v>
      </c>
      <c r="AQ717" s="26" t="n">
        <v>7</v>
      </c>
      <c r="AR717" s="26" t="n">
        <v>7</v>
      </c>
      <c r="AS717" s="26" t="n">
        <v>7</v>
      </c>
      <c r="AT717" s="26" t="n">
        <v>6</v>
      </c>
      <c r="AU717" s="26" t="n">
        <v>6</v>
      </c>
      <c r="AV717" s="26" t="n">
        <f aca="false">SUM(AL717:AU717)</f>
        <v>56</v>
      </c>
      <c r="AW717" s="32" t="n">
        <f aca="false">IFERROR(AV717/R717*1000000,"")</f>
        <v>24096.3855421687</v>
      </c>
      <c r="AX717" s="33" t="n">
        <f aca="false">IFERROR((R717-AV717)/R717,"")</f>
        <v>0.975903614457831</v>
      </c>
      <c r="AY717" s="34" t="n">
        <f aca="false">IFERROR(AH717*AJ717*AX717,"")</f>
        <v>0.855138036809816</v>
      </c>
      <c r="AZ717" s="35"/>
    </row>
    <row r="718" customFormat="false" ht="12.75" hidden="false" customHeight="true" outlineLevel="0" collapsed="false">
      <c r="A718" s="24" t="n">
        <v>714</v>
      </c>
      <c r="B718" s="25" t="n">
        <v>46260</v>
      </c>
      <c r="C718" s="25" t="n">
        <v>12</v>
      </c>
      <c r="D718" s="26" t="s">
        <v>87</v>
      </c>
      <c r="E718" s="26" t="s">
        <v>101</v>
      </c>
      <c r="F718" s="26" t="s">
        <v>81</v>
      </c>
      <c r="G718" s="26" t="s">
        <v>13</v>
      </c>
      <c r="H718" s="27" t="n">
        <v>0.354166666666667</v>
      </c>
      <c r="I718" s="27" t="n">
        <v>0.854166666666667</v>
      </c>
      <c r="J718" s="26" t="n">
        <f aca="false">IFERROR((I718-H718)*24*60,"")</f>
        <v>720</v>
      </c>
      <c r="K718" s="26" t="s">
        <v>89</v>
      </c>
      <c r="L718" s="26" t="s">
        <v>106</v>
      </c>
      <c r="M718" s="26" t="s">
        <v>103</v>
      </c>
      <c r="N718" s="26" t="s">
        <v>104</v>
      </c>
      <c r="O718" s="26" t="n">
        <v>8</v>
      </c>
      <c r="P718" s="26" t="n">
        <v>52</v>
      </c>
      <c r="Q718" s="26" t="n">
        <f aca="false">IFERROR(3600/(P718/O718),"")</f>
        <v>553.846153846154</v>
      </c>
      <c r="R718" s="26" t="n">
        <v>4208</v>
      </c>
      <c r="S718" s="26" t="n">
        <v>64</v>
      </c>
      <c r="T718" s="26" t="n">
        <f aca="false">IFERROR(J718-S718,"")</f>
        <v>656</v>
      </c>
      <c r="U718" s="26"/>
      <c r="V718" s="26"/>
      <c r="W718" s="26"/>
      <c r="X718" s="26"/>
      <c r="Y718" s="26" t="n">
        <v>22</v>
      </c>
      <c r="Z718" s="26"/>
      <c r="AA718" s="26"/>
      <c r="AB718" s="26" t="n">
        <v>6</v>
      </c>
      <c r="AC718" s="26" t="n">
        <v>20</v>
      </c>
      <c r="AD718" s="26"/>
      <c r="AE718" s="26"/>
      <c r="AF718" s="26" t="n">
        <f aca="false">SUM(U718:AE718)</f>
        <v>48</v>
      </c>
      <c r="AG718" s="26" t="n">
        <f aca="false">T718-AF718</f>
        <v>608</v>
      </c>
      <c r="AH718" s="28" t="n">
        <f aca="false">IFERROR(AG718/T718,"")</f>
        <v>0.926829268292683</v>
      </c>
      <c r="AI718" s="29" t="n">
        <f aca="false">IFERROR(R718/AG718*60,"")</f>
        <v>415.263157894737</v>
      </c>
      <c r="AJ718" s="30" t="n">
        <f aca="false">IFERROR(AI718/Q718,"")</f>
        <v>0.749780701754386</v>
      </c>
      <c r="AK718" s="31" t="n">
        <f aca="false">IFERROR(R718/(T718/60*Q718),"")</f>
        <v>0.694918699186992</v>
      </c>
      <c r="AL718" s="26" t="n">
        <v>4</v>
      </c>
      <c r="AM718" s="26"/>
      <c r="AN718" s="26" t="n">
        <v>3</v>
      </c>
      <c r="AO718" s="26" t="n">
        <v>4</v>
      </c>
      <c r="AP718" s="26" t="n">
        <v>5</v>
      </c>
      <c r="AQ718" s="26" t="n">
        <v>4</v>
      </c>
      <c r="AR718" s="26" t="n">
        <v>4</v>
      </c>
      <c r="AS718" s="26"/>
      <c r="AT718" s="26" t="n">
        <v>3</v>
      </c>
      <c r="AU718" s="26" t="n">
        <v>5</v>
      </c>
      <c r="AV718" s="26" t="n">
        <f aca="false">SUM(AL718:AU718)</f>
        <v>32</v>
      </c>
      <c r="AW718" s="32" t="n">
        <f aca="false">IFERROR(AV718/R718*1000000,"")</f>
        <v>7604.56273764259</v>
      </c>
      <c r="AX718" s="33" t="n">
        <f aca="false">IFERROR((R718-AV718)/R718,"")</f>
        <v>0.992395437262358</v>
      </c>
      <c r="AY718" s="34" t="n">
        <f aca="false">IFERROR(AH718*AJ718*AX718,"")</f>
        <v>0.689634146341464</v>
      </c>
      <c r="AZ718" s="35" t="s">
        <v>86</v>
      </c>
    </row>
    <row r="719" customFormat="false" ht="12.75" hidden="false" customHeight="true" outlineLevel="0" collapsed="false">
      <c r="A719" s="24" t="n">
        <v>715</v>
      </c>
      <c r="B719" s="25" t="n">
        <v>46261</v>
      </c>
      <c r="C719" s="25" t="n">
        <v>12</v>
      </c>
      <c r="D719" s="26" t="s">
        <v>71</v>
      </c>
      <c r="E719" s="26" t="s">
        <v>72</v>
      </c>
      <c r="F719" s="26" t="s">
        <v>73</v>
      </c>
      <c r="G719" s="26" t="s">
        <v>8</v>
      </c>
      <c r="H719" s="27" t="n">
        <v>0.354166666666667</v>
      </c>
      <c r="I719" s="27" t="n">
        <v>0.854166666666667</v>
      </c>
      <c r="J719" s="26" t="n">
        <f aca="false">IFERROR((I719-H719)*24*60,"")</f>
        <v>720</v>
      </c>
      <c r="K719" s="26" t="s">
        <v>82</v>
      </c>
      <c r="L719" s="26" t="s">
        <v>98</v>
      </c>
      <c r="M719" s="26" t="s">
        <v>76</v>
      </c>
      <c r="N719" s="26" t="s">
        <v>77</v>
      </c>
      <c r="O719" s="26" t="n">
        <v>1</v>
      </c>
      <c r="P719" s="26" t="n">
        <v>67</v>
      </c>
      <c r="Q719" s="26" t="n">
        <f aca="false">IFERROR(3600/(P719/O719),"")</f>
        <v>53.7313432835821</v>
      </c>
      <c r="R719" s="26" t="n">
        <v>487</v>
      </c>
      <c r="S719" s="26" t="n">
        <v>37</v>
      </c>
      <c r="T719" s="26" t="n">
        <f aca="false">IFERROR(J719-S719,"")</f>
        <v>683</v>
      </c>
      <c r="U719" s="26"/>
      <c r="V719" s="26"/>
      <c r="W719" s="26"/>
      <c r="X719" s="26" t="n">
        <v>16</v>
      </c>
      <c r="Y719" s="26"/>
      <c r="Z719" s="26"/>
      <c r="AA719" s="26"/>
      <c r="AB719" s="26"/>
      <c r="AC719" s="26"/>
      <c r="AD719" s="26"/>
      <c r="AE719" s="26"/>
      <c r="AF719" s="26" t="n">
        <f aca="false">SUM(U719:AE719)</f>
        <v>16</v>
      </c>
      <c r="AG719" s="26" t="n">
        <f aca="false">T719-AF719</f>
        <v>667</v>
      </c>
      <c r="AH719" s="28" t="n">
        <f aca="false">IFERROR(AG719/T719,"")</f>
        <v>0.976573938506589</v>
      </c>
      <c r="AI719" s="29" t="n">
        <f aca="false">IFERROR(R719/AG719*60,"")</f>
        <v>43.808095952024</v>
      </c>
      <c r="AJ719" s="30" t="n">
        <f aca="false">IFERROR(AI719/Q719,"")</f>
        <v>0.815317341329335</v>
      </c>
      <c r="AK719" s="31" t="n">
        <f aca="false">IFERROR(R719/(T719/60*Q719),"")</f>
        <v>0.79621766715471</v>
      </c>
      <c r="AL719" s="26" t="n">
        <v>2</v>
      </c>
      <c r="AM719" s="26" t="n">
        <v>1</v>
      </c>
      <c r="AN719" s="26"/>
      <c r="AO719" s="26" t="n">
        <v>1</v>
      </c>
      <c r="AP719" s="26"/>
      <c r="AQ719" s="26"/>
      <c r="AR719" s="26"/>
      <c r="AS719" s="26"/>
      <c r="AT719" s="26" t="n">
        <v>2</v>
      </c>
      <c r="AU719" s="26"/>
      <c r="AV719" s="26" t="n">
        <f aca="false">SUM(AL719:AU719)</f>
        <v>6</v>
      </c>
      <c r="AW719" s="32" t="n">
        <f aca="false">IFERROR(AV719/R719*1000000,"")</f>
        <v>12320.3285420945</v>
      </c>
      <c r="AX719" s="33" t="n">
        <f aca="false">IFERROR((R719-AV719)/R719,"")</f>
        <v>0.987679671457906</v>
      </c>
      <c r="AY719" s="34" t="n">
        <f aca="false">IFERROR(AH719*AJ719*AX719,"")</f>
        <v>0.786408003904344</v>
      </c>
      <c r="AZ719" s="35"/>
    </row>
    <row r="720" customFormat="false" ht="12.75" hidden="false" customHeight="true" outlineLevel="0" collapsed="false">
      <c r="A720" s="24" t="n">
        <v>716</v>
      </c>
      <c r="B720" s="25" t="n">
        <v>46261</v>
      </c>
      <c r="C720" s="25" t="n">
        <v>12</v>
      </c>
      <c r="D720" s="26" t="s">
        <v>79</v>
      </c>
      <c r="E720" s="26" t="s">
        <v>80</v>
      </c>
      <c r="F720" s="26" t="s">
        <v>81</v>
      </c>
      <c r="G720" s="26" t="s">
        <v>9</v>
      </c>
      <c r="H720" s="27" t="n">
        <v>0.354166666666667</v>
      </c>
      <c r="I720" s="27" t="n">
        <v>0.854166666666667</v>
      </c>
      <c r="J720" s="26" t="n">
        <f aca="false">IFERROR((I720-H720)*24*60,"")</f>
        <v>720</v>
      </c>
      <c r="K720" s="26" t="s">
        <v>105</v>
      </c>
      <c r="L720" s="26" t="s">
        <v>83</v>
      </c>
      <c r="M720" s="26" t="s">
        <v>84</v>
      </c>
      <c r="N720" s="26" t="s">
        <v>85</v>
      </c>
      <c r="O720" s="26" t="n">
        <v>8</v>
      </c>
      <c r="P720" s="26" t="n">
        <v>51</v>
      </c>
      <c r="Q720" s="26" t="n">
        <f aca="false">IFERROR(3600/(P720/O720),"")</f>
        <v>564.705882352941</v>
      </c>
      <c r="R720" s="26" t="n">
        <v>4094</v>
      </c>
      <c r="S720" s="26" t="n">
        <v>69</v>
      </c>
      <c r="T720" s="26" t="n">
        <f aca="false">IFERROR(J720-S720,"")</f>
        <v>651</v>
      </c>
      <c r="U720" s="26" t="n">
        <v>21</v>
      </c>
      <c r="V720" s="26"/>
      <c r="W720" s="26"/>
      <c r="X720" s="26"/>
      <c r="Y720" s="26"/>
      <c r="Z720" s="26"/>
      <c r="AA720" s="26"/>
      <c r="AB720" s="26" t="n">
        <v>6</v>
      </c>
      <c r="AC720" s="26"/>
      <c r="AD720" s="26"/>
      <c r="AE720" s="26"/>
      <c r="AF720" s="26" t="n">
        <f aca="false">SUM(U720:AE720)</f>
        <v>27</v>
      </c>
      <c r="AG720" s="26" t="n">
        <f aca="false">T720-AF720</f>
        <v>624</v>
      </c>
      <c r="AH720" s="28" t="n">
        <f aca="false">IFERROR(AG720/T720,"")</f>
        <v>0.95852534562212</v>
      </c>
      <c r="AI720" s="29" t="n">
        <f aca="false">IFERROR(R720/AG720*60,"")</f>
        <v>393.653846153846</v>
      </c>
      <c r="AJ720" s="30" t="n">
        <f aca="false">IFERROR(AI720/Q720,"")</f>
        <v>0.697095352564103</v>
      </c>
      <c r="AK720" s="31" t="n">
        <f aca="false">IFERROR(R720/(T720/60*Q720),"")</f>
        <v>0.66818356374808</v>
      </c>
      <c r="AL720" s="26" t="n">
        <v>5</v>
      </c>
      <c r="AM720" s="26" t="n">
        <v>7</v>
      </c>
      <c r="AN720" s="26" t="n">
        <v>3</v>
      </c>
      <c r="AO720" s="26" t="n">
        <v>5</v>
      </c>
      <c r="AP720" s="26" t="n">
        <v>2</v>
      </c>
      <c r="AQ720" s="26" t="n">
        <v>7</v>
      </c>
      <c r="AR720" s="26" t="n">
        <v>6</v>
      </c>
      <c r="AS720" s="26" t="n">
        <v>2</v>
      </c>
      <c r="AT720" s="26" t="n">
        <v>5</v>
      </c>
      <c r="AU720" s="26" t="n">
        <v>4</v>
      </c>
      <c r="AV720" s="26" t="n">
        <f aca="false">SUM(AL720:AU720)</f>
        <v>46</v>
      </c>
      <c r="AW720" s="32" t="n">
        <f aca="false">IFERROR(AV720/R720*1000000,"")</f>
        <v>11235.9550561798</v>
      </c>
      <c r="AX720" s="33" t="n">
        <f aca="false">IFERROR((R720-AV720)/R720,"")</f>
        <v>0.98876404494382</v>
      </c>
      <c r="AY720" s="34" t="n">
        <f aca="false">IFERROR(AH720*AJ720*AX720,"")</f>
        <v>0.660675883256528</v>
      </c>
      <c r="AZ720" s="35" t="s">
        <v>93</v>
      </c>
    </row>
    <row r="721" customFormat="false" ht="12.75" hidden="false" customHeight="true" outlineLevel="0" collapsed="false">
      <c r="A721" s="24" t="n">
        <v>717</v>
      </c>
      <c r="B721" s="25" t="n">
        <v>46261</v>
      </c>
      <c r="C721" s="25" t="n">
        <v>12</v>
      </c>
      <c r="D721" s="26" t="s">
        <v>87</v>
      </c>
      <c r="E721" s="26" t="s">
        <v>88</v>
      </c>
      <c r="F721" s="26" t="s">
        <v>73</v>
      </c>
      <c r="G721" s="26" t="s">
        <v>10</v>
      </c>
      <c r="H721" s="27" t="n">
        <v>0.354166666666667</v>
      </c>
      <c r="I721" s="27" t="n">
        <v>0.854166666666667</v>
      </c>
      <c r="J721" s="26" t="n">
        <f aca="false">IFERROR((I721-H721)*24*60,"")</f>
        <v>720</v>
      </c>
      <c r="K721" s="26" t="s">
        <v>89</v>
      </c>
      <c r="L721" s="26" t="s">
        <v>102</v>
      </c>
      <c r="M721" s="26" t="s">
        <v>91</v>
      </c>
      <c r="N721" s="26" t="s">
        <v>92</v>
      </c>
      <c r="O721" s="26" t="n">
        <v>1</v>
      </c>
      <c r="P721" s="26" t="n">
        <v>30</v>
      </c>
      <c r="Q721" s="26" t="n">
        <f aca="false">IFERROR(3600/(P721/O721),"")</f>
        <v>120</v>
      </c>
      <c r="R721" s="26" t="n">
        <v>1311</v>
      </c>
      <c r="S721" s="26" t="n">
        <v>60</v>
      </c>
      <c r="T721" s="26" t="n">
        <f aca="false">IFERROR(J721-S721,"")</f>
        <v>660</v>
      </c>
      <c r="U721" s="26"/>
      <c r="V721" s="26"/>
      <c r="W721" s="26" t="n">
        <v>4</v>
      </c>
      <c r="X721" s="26"/>
      <c r="Y721" s="26"/>
      <c r="Z721" s="26"/>
      <c r="AA721" s="26"/>
      <c r="AB721" s="26"/>
      <c r="AC721" s="26"/>
      <c r="AD721" s="26"/>
      <c r="AE721" s="26"/>
      <c r="AF721" s="26" t="n">
        <f aca="false">SUM(U721:AE721)</f>
        <v>4</v>
      </c>
      <c r="AG721" s="26" t="n">
        <f aca="false">T721-AF721</f>
        <v>656</v>
      </c>
      <c r="AH721" s="28" t="n">
        <f aca="false">IFERROR(AG721/T721,"")</f>
        <v>0.993939393939394</v>
      </c>
      <c r="AI721" s="29" t="n">
        <f aca="false">IFERROR(R721/AG721*60,"")</f>
        <v>119.908536585366</v>
      </c>
      <c r="AJ721" s="30" t="n">
        <f aca="false">IFERROR(AI721/Q721,"")</f>
        <v>0.999237804878049</v>
      </c>
      <c r="AK721" s="31" t="n">
        <f aca="false">IFERROR(R721/(T721/60*Q721),"")</f>
        <v>0.993181818181818</v>
      </c>
      <c r="AL721" s="26" t="n">
        <v>2</v>
      </c>
      <c r="AM721" s="26" t="n">
        <v>6</v>
      </c>
      <c r="AN721" s="26"/>
      <c r="AO721" s="26" t="n">
        <v>2</v>
      </c>
      <c r="AP721" s="26" t="n">
        <v>1</v>
      </c>
      <c r="AQ721" s="26" t="n">
        <v>5</v>
      </c>
      <c r="AR721" s="26" t="n">
        <v>2</v>
      </c>
      <c r="AS721" s="26" t="n">
        <v>1</v>
      </c>
      <c r="AT721" s="26" t="n">
        <v>2</v>
      </c>
      <c r="AU721" s="26" t="n">
        <v>7</v>
      </c>
      <c r="AV721" s="26" t="n">
        <f aca="false">SUM(AL721:AU721)</f>
        <v>28</v>
      </c>
      <c r="AW721" s="32" t="n">
        <f aca="false">IFERROR(AV721/R721*1000000,"")</f>
        <v>21357.7421815408</v>
      </c>
      <c r="AX721" s="33" t="n">
        <f aca="false">IFERROR((R721-AV721)/R721,"")</f>
        <v>0.978642257818459</v>
      </c>
      <c r="AY721" s="34" t="n">
        <f aca="false">IFERROR(AH721*AJ721*AX721,"")</f>
        <v>0.971969696969697</v>
      </c>
      <c r="AZ721" s="35" t="s">
        <v>78</v>
      </c>
    </row>
    <row r="722" customFormat="false" ht="12.75" hidden="false" customHeight="true" outlineLevel="0" collapsed="false">
      <c r="A722" s="24" t="n">
        <v>718</v>
      </c>
      <c r="B722" s="25" t="n">
        <v>46262</v>
      </c>
      <c r="C722" s="25" t="n">
        <v>12</v>
      </c>
      <c r="D722" s="26" t="s">
        <v>71</v>
      </c>
      <c r="E722" s="26" t="s">
        <v>94</v>
      </c>
      <c r="F722" s="26" t="s">
        <v>81</v>
      </c>
      <c r="G722" s="26" t="s">
        <v>11</v>
      </c>
      <c r="H722" s="27" t="n">
        <v>0.354166666666667</v>
      </c>
      <c r="I722" s="27" t="n">
        <v>0.854166666666667</v>
      </c>
      <c r="J722" s="26" t="n">
        <f aca="false">IFERROR((I722-H722)*24*60,"")</f>
        <v>720</v>
      </c>
      <c r="K722" s="26" t="s">
        <v>82</v>
      </c>
      <c r="L722" s="26" t="s">
        <v>98</v>
      </c>
      <c r="M722" s="26" t="s">
        <v>95</v>
      </c>
      <c r="N722" s="26" t="s">
        <v>96</v>
      </c>
      <c r="O722" s="26" t="n">
        <v>8</v>
      </c>
      <c r="P722" s="26" t="n">
        <v>28</v>
      </c>
      <c r="Q722" s="26" t="n">
        <f aca="false">IFERROR(3600/(P722/O722),"")</f>
        <v>1028.57142857143</v>
      </c>
      <c r="R722" s="26" t="n">
        <v>8939</v>
      </c>
      <c r="S722" s="26" t="n">
        <v>62</v>
      </c>
      <c r="T722" s="26" t="n">
        <f aca="false">IFERROR(J722-S722,"")</f>
        <v>658</v>
      </c>
      <c r="U722" s="26"/>
      <c r="V722" s="26"/>
      <c r="W722" s="26" t="n">
        <v>50</v>
      </c>
      <c r="X722" s="26"/>
      <c r="Y722" s="26"/>
      <c r="Z722" s="26"/>
      <c r="AA722" s="26"/>
      <c r="AB722" s="26"/>
      <c r="AC722" s="26"/>
      <c r="AD722" s="26" t="n">
        <v>12</v>
      </c>
      <c r="AE722" s="26" t="n">
        <v>3</v>
      </c>
      <c r="AF722" s="26" t="n">
        <f aca="false">SUM(U722:AE722)</f>
        <v>65</v>
      </c>
      <c r="AG722" s="26" t="n">
        <f aca="false">T722-AF722</f>
        <v>593</v>
      </c>
      <c r="AH722" s="28" t="n">
        <f aca="false">IFERROR(AG722/T722,"")</f>
        <v>0.901215805471125</v>
      </c>
      <c r="AI722" s="29" t="n">
        <f aca="false">IFERROR(R722/AG722*60,"")</f>
        <v>904.451939291737</v>
      </c>
      <c r="AJ722" s="30" t="n">
        <f aca="false">IFERROR(AI722/Q722,"")</f>
        <v>0.879328274311411</v>
      </c>
      <c r="AK722" s="31" t="n">
        <f aca="false">IFERROR(R722/(T722/60*Q722),"")</f>
        <v>0.792464539007092</v>
      </c>
      <c r="AL722" s="26" t="n">
        <v>18</v>
      </c>
      <c r="AM722" s="26" t="n">
        <v>22</v>
      </c>
      <c r="AN722" s="26" t="n">
        <v>15</v>
      </c>
      <c r="AO722" s="26" t="n">
        <v>12</v>
      </c>
      <c r="AP722" s="26" t="n">
        <v>10</v>
      </c>
      <c r="AQ722" s="26" t="n">
        <v>11</v>
      </c>
      <c r="AR722" s="26" t="n">
        <v>16</v>
      </c>
      <c r="AS722" s="26" t="n">
        <v>8</v>
      </c>
      <c r="AT722" s="26" t="n">
        <v>14</v>
      </c>
      <c r="AU722" s="26" t="n">
        <v>14</v>
      </c>
      <c r="AV722" s="26" t="n">
        <f aca="false">SUM(AL722:AU722)</f>
        <v>140</v>
      </c>
      <c r="AW722" s="32" t="n">
        <f aca="false">IFERROR(AV722/R722*1000000,"")</f>
        <v>15661.7071260767</v>
      </c>
      <c r="AX722" s="33" t="n">
        <f aca="false">IFERROR((R722-AV722)/R722,"")</f>
        <v>0.984338292873923</v>
      </c>
      <c r="AY722" s="34" t="n">
        <f aca="false">IFERROR(AH722*AJ722*AX722,"")</f>
        <v>0.780053191489362</v>
      </c>
      <c r="AZ722" s="35" t="s">
        <v>93</v>
      </c>
    </row>
    <row r="723" customFormat="false" ht="12.75" hidden="false" customHeight="true" outlineLevel="0" collapsed="false">
      <c r="A723" s="24" t="n">
        <v>719</v>
      </c>
      <c r="B723" s="25" t="n">
        <v>46262</v>
      </c>
      <c r="C723" s="25" t="n">
        <v>12</v>
      </c>
      <c r="D723" s="26" t="s">
        <v>79</v>
      </c>
      <c r="E723" s="26" t="s">
        <v>97</v>
      </c>
      <c r="F723" s="26" t="s">
        <v>73</v>
      </c>
      <c r="G723" s="26" t="s">
        <v>12</v>
      </c>
      <c r="H723" s="27" t="n">
        <v>0.354166666666667</v>
      </c>
      <c r="I723" s="27" t="n">
        <v>0.854166666666667</v>
      </c>
      <c r="J723" s="26" t="n">
        <f aca="false">IFERROR((I723-H723)*24*60,"")</f>
        <v>720</v>
      </c>
      <c r="K723" s="26" t="s">
        <v>105</v>
      </c>
      <c r="L723" s="26" t="s">
        <v>102</v>
      </c>
      <c r="M723" s="26" t="s">
        <v>99</v>
      </c>
      <c r="N723" s="26" t="s">
        <v>100</v>
      </c>
      <c r="O723" s="26" t="n">
        <v>1</v>
      </c>
      <c r="P723" s="26" t="n">
        <v>49</v>
      </c>
      <c r="Q723" s="26" t="n">
        <f aca="false">IFERROR(3600/(P723/O723),"")</f>
        <v>73.4693877551021</v>
      </c>
      <c r="R723" s="26" t="n">
        <v>530</v>
      </c>
      <c r="S723" s="26" t="n">
        <v>66</v>
      </c>
      <c r="T723" s="26" t="n">
        <f aca="false">IFERROR(J723-S723,"")</f>
        <v>654</v>
      </c>
      <c r="U723" s="26" t="n">
        <v>11</v>
      </c>
      <c r="V723" s="26"/>
      <c r="W723" s="26"/>
      <c r="X723" s="26"/>
      <c r="Y723" s="26"/>
      <c r="Z723" s="26" t="n">
        <v>26</v>
      </c>
      <c r="AA723" s="26" t="n">
        <v>18</v>
      </c>
      <c r="AB723" s="26"/>
      <c r="AC723" s="26"/>
      <c r="AD723" s="26"/>
      <c r="AE723" s="26"/>
      <c r="AF723" s="26" t="n">
        <f aca="false">SUM(U723:AE723)</f>
        <v>55</v>
      </c>
      <c r="AG723" s="26" t="n">
        <f aca="false">T723-AF723</f>
        <v>599</v>
      </c>
      <c r="AH723" s="28" t="n">
        <f aca="false">IFERROR(AG723/T723,"")</f>
        <v>0.915902140672783</v>
      </c>
      <c r="AI723" s="29" t="n">
        <f aca="false">IFERROR(R723/AG723*60,"")</f>
        <v>53.0884808013356</v>
      </c>
      <c r="AJ723" s="30" t="n">
        <f aca="false">IFERROR(AI723/Q723,"")</f>
        <v>0.722593210907067</v>
      </c>
      <c r="AK723" s="31" t="n">
        <f aca="false">IFERROR(R723/(T723/60*Q723),"")</f>
        <v>0.661824668705403</v>
      </c>
      <c r="AL723" s="26"/>
      <c r="AM723" s="26"/>
      <c r="AN723" s="26"/>
      <c r="AO723" s="26" t="n">
        <v>1</v>
      </c>
      <c r="AP723" s="26" t="n">
        <v>1</v>
      </c>
      <c r="AQ723" s="26" t="n">
        <v>2</v>
      </c>
      <c r="AR723" s="26" t="n">
        <v>2</v>
      </c>
      <c r="AS723" s="26" t="n">
        <v>1</v>
      </c>
      <c r="AT723" s="26" t="n">
        <v>2</v>
      </c>
      <c r="AU723" s="26" t="n">
        <v>2</v>
      </c>
      <c r="AV723" s="26" t="n">
        <f aca="false">SUM(AL723:AU723)</f>
        <v>11</v>
      </c>
      <c r="AW723" s="32" t="n">
        <f aca="false">IFERROR(AV723/R723*1000000,"")</f>
        <v>20754.7169811321</v>
      </c>
      <c r="AX723" s="33" t="n">
        <f aca="false">IFERROR((R723-AV723)/R723,"")</f>
        <v>0.979245283018868</v>
      </c>
      <c r="AY723" s="34" t="n">
        <f aca="false">IFERROR(AH723*AJ723*AX723,"")</f>
        <v>0.648088685015291</v>
      </c>
      <c r="AZ723" s="35" t="s">
        <v>93</v>
      </c>
    </row>
    <row r="724" customFormat="false" ht="12.75" hidden="false" customHeight="true" outlineLevel="0" collapsed="false">
      <c r="A724" s="24" t="n">
        <v>720</v>
      </c>
      <c r="B724" s="25" t="n">
        <v>46262</v>
      </c>
      <c r="C724" s="25" t="n">
        <v>12</v>
      </c>
      <c r="D724" s="26" t="s">
        <v>87</v>
      </c>
      <c r="E724" s="26" t="s">
        <v>101</v>
      </c>
      <c r="F724" s="26" t="s">
        <v>81</v>
      </c>
      <c r="G724" s="26" t="s">
        <v>13</v>
      </c>
      <c r="H724" s="27" t="n">
        <v>0.354166666666667</v>
      </c>
      <c r="I724" s="27" t="n">
        <v>0.854166666666667</v>
      </c>
      <c r="J724" s="26" t="n">
        <f aca="false">IFERROR((I724-H724)*24*60,"")</f>
        <v>720</v>
      </c>
      <c r="K724" s="26" t="s">
        <v>89</v>
      </c>
      <c r="L724" s="26" t="s">
        <v>107</v>
      </c>
      <c r="M724" s="26" t="s">
        <v>103</v>
      </c>
      <c r="N724" s="26" t="s">
        <v>104</v>
      </c>
      <c r="O724" s="26" t="n">
        <v>1</v>
      </c>
      <c r="P724" s="26" t="n">
        <v>43</v>
      </c>
      <c r="Q724" s="26" t="n">
        <f aca="false">IFERROR(3600/(P724/O724),"")</f>
        <v>83.7209302325582</v>
      </c>
      <c r="R724" s="26" t="n">
        <v>680</v>
      </c>
      <c r="S724" s="26" t="n">
        <v>39</v>
      </c>
      <c r="T724" s="26" t="n">
        <f aca="false">IFERROR(J724-S724,"")</f>
        <v>681</v>
      </c>
      <c r="U724" s="26"/>
      <c r="V724" s="26"/>
      <c r="W724" s="26"/>
      <c r="X724" s="26"/>
      <c r="Y724" s="26" t="n">
        <v>3</v>
      </c>
      <c r="Z724" s="26"/>
      <c r="AA724" s="26"/>
      <c r="AB724" s="26" t="n">
        <v>14</v>
      </c>
      <c r="AC724" s="26"/>
      <c r="AD724" s="26"/>
      <c r="AE724" s="26" t="n">
        <v>28</v>
      </c>
      <c r="AF724" s="26" t="n">
        <f aca="false">SUM(U724:AE724)</f>
        <v>45</v>
      </c>
      <c r="AG724" s="26" t="n">
        <f aca="false">T724-AF724</f>
        <v>636</v>
      </c>
      <c r="AH724" s="28" t="n">
        <f aca="false">IFERROR(AG724/T724,"")</f>
        <v>0.933920704845815</v>
      </c>
      <c r="AI724" s="29" t="n">
        <f aca="false">IFERROR(R724/AG724*60,"")</f>
        <v>64.1509433962264</v>
      </c>
      <c r="AJ724" s="30" t="n">
        <f aca="false">IFERROR(AI724/Q724,"")</f>
        <v>0.766247379454927</v>
      </c>
      <c r="AK724" s="31" t="n">
        <f aca="false">IFERROR(R724/(T724/60*Q724),"")</f>
        <v>0.715614292706804</v>
      </c>
      <c r="AL724" s="26"/>
      <c r="AM724" s="26"/>
      <c r="AN724" s="26" t="n">
        <v>1</v>
      </c>
      <c r="AO724" s="26" t="n">
        <v>1</v>
      </c>
      <c r="AP724" s="26" t="n">
        <v>1</v>
      </c>
      <c r="AQ724" s="26" t="n">
        <v>1</v>
      </c>
      <c r="AR724" s="26" t="n">
        <v>2</v>
      </c>
      <c r="AS724" s="26" t="n">
        <v>1</v>
      </c>
      <c r="AT724" s="26" t="n">
        <v>1</v>
      </c>
      <c r="AU724" s="26"/>
      <c r="AV724" s="26" t="n">
        <f aca="false">SUM(AL724:AU724)</f>
        <v>8</v>
      </c>
      <c r="AW724" s="32" t="n">
        <f aca="false">IFERROR(AV724/R724*1000000,"")</f>
        <v>11764.7058823529</v>
      </c>
      <c r="AX724" s="33" t="n">
        <f aca="false">IFERROR((R724-AV724)/R724,"")</f>
        <v>0.988235294117647</v>
      </c>
      <c r="AY724" s="34" t="n">
        <f aca="false">IFERROR(AH724*AJ724*AX724,"")</f>
        <v>0.7071953010279</v>
      </c>
      <c r="AZ724" s="35" t="s">
        <v>93</v>
      </c>
    </row>
    <row r="725" customFormat="false" ht="12.75" hidden="false" customHeight="true" outlineLevel="0" collapsed="false">
      <c r="A725" s="24" t="n">
        <v>721</v>
      </c>
      <c r="B725" s="25" t="n">
        <v>46263</v>
      </c>
      <c r="C725" s="25" t="n">
        <v>12</v>
      </c>
      <c r="D725" s="26" t="s">
        <v>71</v>
      </c>
      <c r="E725" s="26" t="s">
        <v>72</v>
      </c>
      <c r="F725" s="26" t="s">
        <v>73</v>
      </c>
      <c r="G725" s="26" t="s">
        <v>8</v>
      </c>
      <c r="H725" s="27" t="n">
        <v>0.354166666666667</v>
      </c>
      <c r="I725" s="27" t="n">
        <v>0.854166666666667</v>
      </c>
      <c r="J725" s="26" t="n">
        <f aca="false">IFERROR((I725-H725)*24*60,"")</f>
        <v>720</v>
      </c>
      <c r="K725" s="26" t="s">
        <v>89</v>
      </c>
      <c r="L725" s="26" t="s">
        <v>108</v>
      </c>
      <c r="M725" s="26" t="s">
        <v>76</v>
      </c>
      <c r="N725" s="26" t="s">
        <v>77</v>
      </c>
      <c r="O725" s="26" t="n">
        <v>1</v>
      </c>
      <c r="P725" s="26" t="n">
        <v>49</v>
      </c>
      <c r="Q725" s="26" t="n">
        <f aca="false">IFERROR(3600/(P725/O725),"")</f>
        <v>73.4693877551021</v>
      </c>
      <c r="R725" s="26" t="n">
        <v>835</v>
      </c>
      <c r="S725" s="26" t="n">
        <v>42</v>
      </c>
      <c r="T725" s="26" t="n">
        <f aca="false">IFERROR(J725-S725,"")</f>
        <v>678</v>
      </c>
      <c r="U725" s="26"/>
      <c r="V725" s="26" t="n">
        <v>4</v>
      </c>
      <c r="W725" s="26" t="n">
        <v>6</v>
      </c>
      <c r="X725" s="26"/>
      <c r="Y725" s="26"/>
      <c r="Z725" s="26"/>
      <c r="AA725" s="26"/>
      <c r="AB725" s="26"/>
      <c r="AC725" s="26"/>
      <c r="AD725" s="26"/>
      <c r="AE725" s="26"/>
      <c r="AF725" s="26" t="n">
        <f aca="false">SUM(U725:AE725)</f>
        <v>10</v>
      </c>
      <c r="AG725" s="26" t="n">
        <f aca="false">T725-AF725</f>
        <v>668</v>
      </c>
      <c r="AH725" s="28" t="n">
        <f aca="false">IFERROR(AG725/T725,"")</f>
        <v>0.985250737463127</v>
      </c>
      <c r="AI725" s="29" t="n">
        <f aca="false">IFERROR(R725/AG725*60,"")</f>
        <v>75</v>
      </c>
      <c r="AJ725" s="30" t="n">
        <f aca="false">IFERROR(AI725/Q725,"")</f>
        <v>1.02083333333333</v>
      </c>
      <c r="AK725" s="31" t="n">
        <f aca="false">IFERROR(R725/(T725/60*Q725),"")</f>
        <v>1.00577679449361</v>
      </c>
      <c r="AL725" s="26" t="n">
        <v>1</v>
      </c>
      <c r="AM725" s="26"/>
      <c r="AN725" s="26" t="n">
        <v>2</v>
      </c>
      <c r="AO725" s="26"/>
      <c r="AP725" s="26" t="n">
        <v>1</v>
      </c>
      <c r="AQ725" s="26" t="n">
        <v>1</v>
      </c>
      <c r="AR725" s="26" t="n">
        <v>2</v>
      </c>
      <c r="AS725" s="26"/>
      <c r="AT725" s="26" t="n">
        <v>1</v>
      </c>
      <c r="AU725" s="26" t="n">
        <v>2</v>
      </c>
      <c r="AV725" s="26" t="n">
        <f aca="false">SUM(AL725:AU725)</f>
        <v>10</v>
      </c>
      <c r="AW725" s="32" t="n">
        <f aca="false">IFERROR(AV725/R725*1000000,"")</f>
        <v>11976.0479041916</v>
      </c>
      <c r="AX725" s="33" t="n">
        <f aca="false">IFERROR((R725-AV725)/R725,"")</f>
        <v>0.988023952095808</v>
      </c>
      <c r="AY725" s="34" t="n">
        <f aca="false">IFERROR(AH725*AJ725*AX725,"")</f>
        <v>0.993731563421829</v>
      </c>
      <c r="AZ725" s="35" t="s">
        <v>78</v>
      </c>
    </row>
    <row r="726" customFormat="false" ht="12.75" hidden="false" customHeight="true" outlineLevel="0" collapsed="false">
      <c r="A726" s="24" t="n">
        <v>722</v>
      </c>
      <c r="B726" s="25" t="n">
        <v>46263</v>
      </c>
      <c r="C726" s="25" t="n">
        <v>12</v>
      </c>
      <c r="D726" s="26" t="s">
        <v>79</v>
      </c>
      <c r="E726" s="26" t="s">
        <v>80</v>
      </c>
      <c r="F726" s="26" t="s">
        <v>81</v>
      </c>
      <c r="G726" s="26" t="s">
        <v>9</v>
      </c>
      <c r="H726" s="27" t="n">
        <v>0.354166666666667</v>
      </c>
      <c r="I726" s="27" t="n">
        <v>0.854166666666667</v>
      </c>
      <c r="J726" s="26" t="n">
        <f aca="false">IFERROR((I726-H726)*24*60,"")</f>
        <v>720</v>
      </c>
      <c r="K726" s="26" t="s">
        <v>74</v>
      </c>
      <c r="L726" s="26" t="s">
        <v>75</v>
      </c>
      <c r="M726" s="26" t="s">
        <v>84</v>
      </c>
      <c r="N726" s="26" t="s">
        <v>85</v>
      </c>
      <c r="O726" s="26" t="n">
        <v>8</v>
      </c>
      <c r="P726" s="26" t="n">
        <v>32</v>
      </c>
      <c r="Q726" s="26" t="n">
        <f aca="false">IFERROR(3600/(P726/O726),"")</f>
        <v>900</v>
      </c>
      <c r="R726" s="26" t="n">
        <v>9113</v>
      </c>
      <c r="S726" s="26" t="n">
        <v>37</v>
      </c>
      <c r="T726" s="26" t="n">
        <f aca="false">IFERROR(J726-S726,"")</f>
        <v>683</v>
      </c>
      <c r="U726" s="26"/>
      <c r="V726" s="26"/>
      <c r="W726" s="26"/>
      <c r="X726" s="26" t="n">
        <v>3</v>
      </c>
      <c r="Y726" s="26" t="n">
        <v>41</v>
      </c>
      <c r="Z726" s="26"/>
      <c r="AA726" s="26" t="n">
        <v>15</v>
      </c>
      <c r="AB726" s="26"/>
      <c r="AC726" s="26"/>
      <c r="AD726" s="26"/>
      <c r="AE726" s="26"/>
      <c r="AF726" s="26" t="n">
        <f aca="false">SUM(U726:AE726)</f>
        <v>59</v>
      </c>
      <c r="AG726" s="26" t="n">
        <f aca="false">T726-AF726</f>
        <v>624</v>
      </c>
      <c r="AH726" s="28" t="n">
        <f aca="false">IFERROR(AG726/T726,"")</f>
        <v>0.913616398243045</v>
      </c>
      <c r="AI726" s="29" t="n">
        <f aca="false">IFERROR(R726/AG726*60,"")</f>
        <v>876.25</v>
      </c>
      <c r="AJ726" s="30" t="n">
        <f aca="false">IFERROR(AI726/Q726,"")</f>
        <v>0.973611111111111</v>
      </c>
      <c r="AK726" s="31" t="n">
        <f aca="false">IFERROR(R726/(T726/60*Q726),"")</f>
        <v>0.889507076622743</v>
      </c>
      <c r="AL726" s="26" t="n">
        <v>12</v>
      </c>
      <c r="AM726" s="26" t="n">
        <v>16</v>
      </c>
      <c r="AN726" s="26" t="n">
        <v>20</v>
      </c>
      <c r="AO726" s="26" t="n">
        <v>14</v>
      </c>
      <c r="AP726" s="26" t="n">
        <v>15</v>
      </c>
      <c r="AQ726" s="26" t="n">
        <v>16</v>
      </c>
      <c r="AR726" s="26" t="n">
        <v>12</v>
      </c>
      <c r="AS726" s="26" t="n">
        <v>12</v>
      </c>
      <c r="AT726" s="26" t="n">
        <v>14</v>
      </c>
      <c r="AU726" s="26" t="n">
        <v>12</v>
      </c>
      <c r="AV726" s="26" t="n">
        <f aca="false">SUM(AL726:AU726)</f>
        <v>143</v>
      </c>
      <c r="AW726" s="32" t="n">
        <f aca="false">IFERROR(AV726/R726*1000000,"")</f>
        <v>15691.8687589158</v>
      </c>
      <c r="AX726" s="33" t="n">
        <f aca="false">IFERROR((R726-AV726)/R726,"")</f>
        <v>0.984308131241084</v>
      </c>
      <c r="AY726" s="34" t="n">
        <f aca="false">IFERROR(AH726*AJ726*AX726,"")</f>
        <v>0.875549048316252</v>
      </c>
      <c r="AZ726" s="35"/>
    </row>
    <row r="727" customFormat="false" ht="12.75" hidden="false" customHeight="true" outlineLevel="0" collapsed="false">
      <c r="A727" s="24" t="n">
        <v>723</v>
      </c>
      <c r="B727" s="25" t="n">
        <v>46263</v>
      </c>
      <c r="C727" s="25" t="n">
        <v>12</v>
      </c>
      <c r="D727" s="26" t="s">
        <v>87</v>
      </c>
      <c r="E727" s="26" t="s">
        <v>88</v>
      </c>
      <c r="F727" s="26" t="s">
        <v>73</v>
      </c>
      <c r="G727" s="26" t="s">
        <v>10</v>
      </c>
      <c r="H727" s="27" t="n">
        <v>0.354166666666667</v>
      </c>
      <c r="I727" s="27" t="n">
        <v>0.854166666666667</v>
      </c>
      <c r="J727" s="26" t="n">
        <f aca="false">IFERROR((I727-H727)*24*60,"")</f>
        <v>720</v>
      </c>
      <c r="K727" s="26" t="s">
        <v>89</v>
      </c>
      <c r="L727" s="26" t="s">
        <v>108</v>
      </c>
      <c r="M727" s="26" t="s">
        <v>91</v>
      </c>
      <c r="N727" s="26" t="s">
        <v>92</v>
      </c>
      <c r="O727" s="26" t="n">
        <v>4</v>
      </c>
      <c r="P727" s="26" t="n">
        <v>43</v>
      </c>
      <c r="Q727" s="26" t="n">
        <f aca="false">IFERROR(3600/(P727/O727),"")</f>
        <v>334.883720930233</v>
      </c>
      <c r="R727" s="26" t="n">
        <v>2833</v>
      </c>
      <c r="S727" s="26" t="n">
        <v>70</v>
      </c>
      <c r="T727" s="26" t="n">
        <f aca="false">IFERROR(J727-S727,"")</f>
        <v>650</v>
      </c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 t="n">
        <v>5</v>
      </c>
      <c r="AF727" s="26" t="n">
        <f aca="false">SUM(U727:AE727)</f>
        <v>5</v>
      </c>
      <c r="AG727" s="26" t="n">
        <f aca="false">T727-AF727</f>
        <v>645</v>
      </c>
      <c r="AH727" s="28" t="n">
        <f aca="false">IFERROR(AG727/T727,"")</f>
        <v>0.992307692307692</v>
      </c>
      <c r="AI727" s="29" t="n">
        <f aca="false">IFERROR(R727/AG727*60,"")</f>
        <v>263.53488372093</v>
      </c>
      <c r="AJ727" s="30" t="n">
        <f aca="false">IFERROR(AI727/Q727,"")</f>
        <v>0.786944444444444</v>
      </c>
      <c r="AK727" s="31" t="n">
        <f aca="false">IFERROR(R727/(T727/60*Q727),"")</f>
        <v>0.780891025641026</v>
      </c>
      <c r="AL727" s="26" t="n">
        <v>3</v>
      </c>
      <c r="AM727" s="26" t="n">
        <v>2</v>
      </c>
      <c r="AN727" s="26" t="n">
        <v>3</v>
      </c>
      <c r="AO727" s="26" t="n">
        <v>2</v>
      </c>
      <c r="AP727" s="26" t="n">
        <v>2</v>
      </c>
      <c r="AQ727" s="26" t="n">
        <v>4</v>
      </c>
      <c r="AR727" s="26" t="n">
        <v>1</v>
      </c>
      <c r="AS727" s="26" t="n">
        <v>3</v>
      </c>
      <c r="AT727" s="26" t="n">
        <v>6</v>
      </c>
      <c r="AU727" s="26"/>
      <c r="AV727" s="26" t="n">
        <f aca="false">SUM(AL727:AU727)</f>
        <v>26</v>
      </c>
      <c r="AW727" s="32" t="n">
        <f aca="false">IFERROR(AV727/R727*1000000,"")</f>
        <v>9177.5503000353</v>
      </c>
      <c r="AX727" s="33" t="n">
        <f aca="false">IFERROR((R727-AV727)/R727,"")</f>
        <v>0.990822449699965</v>
      </c>
      <c r="AY727" s="34" t="n">
        <f aca="false">IFERROR(AH727*AJ727*AX727,"")</f>
        <v>0.773724358974359</v>
      </c>
      <c r="AZ727" s="35"/>
    </row>
    <row r="728" customFormat="false" ht="12.75" hidden="false" customHeight="true" outlineLevel="0" collapsed="false">
      <c r="A728" s="24" t="n">
        <v>724</v>
      </c>
      <c r="B728" s="25" t="n">
        <v>46264</v>
      </c>
      <c r="C728" s="25" t="n">
        <v>12</v>
      </c>
      <c r="D728" s="26" t="s">
        <v>71</v>
      </c>
      <c r="E728" s="26" t="s">
        <v>94</v>
      </c>
      <c r="F728" s="26" t="s">
        <v>81</v>
      </c>
      <c r="G728" s="26" t="s">
        <v>11</v>
      </c>
      <c r="H728" s="27" t="n">
        <v>0.354166666666667</v>
      </c>
      <c r="I728" s="27" t="n">
        <v>0.854166666666667</v>
      </c>
      <c r="J728" s="26" t="n">
        <f aca="false">IFERROR((I728-H728)*24*60,"")</f>
        <v>720</v>
      </c>
      <c r="K728" s="26" t="s">
        <v>74</v>
      </c>
      <c r="L728" s="26" t="s">
        <v>108</v>
      </c>
      <c r="M728" s="26" t="s">
        <v>95</v>
      </c>
      <c r="N728" s="26" t="s">
        <v>96</v>
      </c>
      <c r="O728" s="26" t="n">
        <v>2</v>
      </c>
      <c r="P728" s="26" t="n">
        <v>58</v>
      </c>
      <c r="Q728" s="26" t="n">
        <f aca="false">IFERROR(3600/(P728/O728),"")</f>
        <v>124.137931034483</v>
      </c>
      <c r="R728" s="26" t="n">
        <v>1212</v>
      </c>
      <c r="S728" s="26" t="n">
        <v>54</v>
      </c>
      <c r="T728" s="26" t="n">
        <f aca="false">IFERROR(J728-S728,"")</f>
        <v>666</v>
      </c>
      <c r="U728" s="26"/>
      <c r="V728" s="26"/>
      <c r="W728" s="26"/>
      <c r="X728" s="26"/>
      <c r="Y728" s="26"/>
      <c r="Z728" s="26" t="n">
        <v>5</v>
      </c>
      <c r="AA728" s="26"/>
      <c r="AB728" s="26"/>
      <c r="AC728" s="26" t="n">
        <v>5</v>
      </c>
      <c r="AD728" s="26"/>
      <c r="AE728" s="26"/>
      <c r="AF728" s="26" t="n">
        <f aca="false">SUM(U728:AE728)</f>
        <v>10</v>
      </c>
      <c r="AG728" s="26" t="n">
        <f aca="false">T728-AF728</f>
        <v>656</v>
      </c>
      <c r="AH728" s="28" t="n">
        <f aca="false">IFERROR(AG728/T728,"")</f>
        <v>0.984984984984985</v>
      </c>
      <c r="AI728" s="29" t="n">
        <f aca="false">IFERROR(R728/AG728*60,"")</f>
        <v>110.853658536585</v>
      </c>
      <c r="AJ728" s="30" t="n">
        <f aca="false">IFERROR(AI728/Q728,"")</f>
        <v>0.892987804878049</v>
      </c>
      <c r="AK728" s="31" t="n">
        <f aca="false">IFERROR(R728/(T728/60*Q728),"")</f>
        <v>0.87957957957958</v>
      </c>
      <c r="AL728" s="26" t="n">
        <v>1</v>
      </c>
      <c r="AM728" s="26" t="n">
        <v>2</v>
      </c>
      <c r="AN728" s="26" t="n">
        <v>1</v>
      </c>
      <c r="AO728" s="26" t="n">
        <v>3</v>
      </c>
      <c r="AP728" s="26"/>
      <c r="AQ728" s="26" t="n">
        <v>3</v>
      </c>
      <c r="AR728" s="26" t="n">
        <v>1</v>
      </c>
      <c r="AS728" s="26" t="n">
        <v>1</v>
      </c>
      <c r="AT728" s="26" t="n">
        <v>1</v>
      </c>
      <c r="AU728" s="26" t="n">
        <v>1</v>
      </c>
      <c r="AV728" s="26" t="n">
        <f aca="false">SUM(AL728:AU728)</f>
        <v>14</v>
      </c>
      <c r="AW728" s="32" t="n">
        <f aca="false">IFERROR(AV728/R728*1000000,"")</f>
        <v>11551.1551155116</v>
      </c>
      <c r="AX728" s="33" t="n">
        <f aca="false">IFERROR((R728-AV728)/R728,"")</f>
        <v>0.988448844884489</v>
      </c>
      <c r="AY728" s="34" t="n">
        <f aca="false">IFERROR(AH728*AJ728*AX728,"")</f>
        <v>0.86941941941942</v>
      </c>
      <c r="AZ728" s="35" t="s">
        <v>86</v>
      </c>
    </row>
    <row r="729" customFormat="false" ht="12.75" hidden="false" customHeight="true" outlineLevel="0" collapsed="false">
      <c r="A729" s="24" t="n">
        <v>725</v>
      </c>
      <c r="B729" s="25" t="n">
        <v>46264</v>
      </c>
      <c r="C729" s="25" t="n">
        <v>12</v>
      </c>
      <c r="D729" s="26" t="s">
        <v>79</v>
      </c>
      <c r="E729" s="26" t="s">
        <v>97</v>
      </c>
      <c r="F729" s="26" t="s">
        <v>73</v>
      </c>
      <c r="G729" s="26" t="s">
        <v>12</v>
      </c>
      <c r="H729" s="27" t="n">
        <v>0.354166666666667</v>
      </c>
      <c r="I729" s="27" t="n">
        <v>0.854166666666667</v>
      </c>
      <c r="J729" s="26" t="n">
        <f aca="false">IFERROR((I729-H729)*24*60,"")</f>
        <v>720</v>
      </c>
      <c r="K729" s="26" t="s">
        <v>89</v>
      </c>
      <c r="L729" s="26" t="s">
        <v>107</v>
      </c>
      <c r="M729" s="26" t="s">
        <v>99</v>
      </c>
      <c r="N729" s="26" t="s">
        <v>100</v>
      </c>
      <c r="O729" s="26" t="n">
        <v>8</v>
      </c>
      <c r="P729" s="26" t="n">
        <v>42</v>
      </c>
      <c r="Q729" s="26" t="n">
        <f aca="false">IFERROR(3600/(P729/O729),"")</f>
        <v>685.714285714286</v>
      </c>
      <c r="R729" s="26" t="n">
        <v>7311</v>
      </c>
      <c r="S729" s="26" t="n">
        <v>36</v>
      </c>
      <c r="T729" s="26" t="n">
        <f aca="false">IFERROR(J729-S729,"")</f>
        <v>684</v>
      </c>
      <c r="U729" s="26"/>
      <c r="V729" s="26"/>
      <c r="W729" s="26"/>
      <c r="X729" s="26"/>
      <c r="Y729" s="26" t="n">
        <v>5</v>
      </c>
      <c r="Z729" s="26"/>
      <c r="AA729" s="26"/>
      <c r="AB729" s="26"/>
      <c r="AC729" s="26"/>
      <c r="AD729" s="26"/>
      <c r="AE729" s="26"/>
      <c r="AF729" s="26" t="n">
        <f aca="false">SUM(U729:AE729)</f>
        <v>5</v>
      </c>
      <c r="AG729" s="26" t="n">
        <f aca="false">T729-AF729</f>
        <v>679</v>
      </c>
      <c r="AH729" s="28" t="n">
        <f aca="false">IFERROR(AG729/T729,"")</f>
        <v>0.992690058479532</v>
      </c>
      <c r="AI729" s="29" t="n">
        <f aca="false">IFERROR(R729/AG729*60,"")</f>
        <v>646.038291605302</v>
      </c>
      <c r="AJ729" s="30" t="n">
        <f aca="false">IFERROR(AI729/Q729,"")</f>
        <v>0.942139175257732</v>
      </c>
      <c r="AK729" s="31" t="n">
        <f aca="false">IFERROR(R729/(T729/60*Q729),"")</f>
        <v>0.935252192982456</v>
      </c>
      <c r="AL729" s="26" t="n">
        <v>4</v>
      </c>
      <c r="AM729" s="26" t="n">
        <v>6</v>
      </c>
      <c r="AN729" s="26" t="n">
        <v>2</v>
      </c>
      <c r="AO729" s="26" t="n">
        <v>7</v>
      </c>
      <c r="AP729" s="26" t="n">
        <v>9</v>
      </c>
      <c r="AQ729" s="26" t="n">
        <v>5</v>
      </c>
      <c r="AR729" s="26" t="n">
        <v>3</v>
      </c>
      <c r="AS729" s="26" t="n">
        <v>5</v>
      </c>
      <c r="AT729" s="26" t="n">
        <v>1</v>
      </c>
      <c r="AU729" s="26" t="n">
        <v>9</v>
      </c>
      <c r="AV729" s="26" t="n">
        <f aca="false">SUM(AL729:AU729)</f>
        <v>51</v>
      </c>
      <c r="AW729" s="32" t="n">
        <f aca="false">IFERROR(AV729/R729*1000000,"")</f>
        <v>6975.78990562167</v>
      </c>
      <c r="AX729" s="33" t="n">
        <f aca="false">IFERROR((R729-AV729)/R729,"")</f>
        <v>0.993024210094378</v>
      </c>
      <c r="AY729" s="34" t="n">
        <f aca="false">IFERROR(AH729*AJ729*AX729,"")</f>
        <v>0.928728070175439</v>
      </c>
      <c r="AZ729" s="35" t="s">
        <v>78</v>
      </c>
    </row>
    <row r="730" customFormat="false" ht="12.75" hidden="false" customHeight="true" outlineLevel="0" collapsed="false">
      <c r="A730" s="24" t="n">
        <v>726</v>
      </c>
      <c r="B730" s="25" t="n">
        <v>46264</v>
      </c>
      <c r="C730" s="25" t="n">
        <v>12</v>
      </c>
      <c r="D730" s="26" t="s">
        <v>87</v>
      </c>
      <c r="E730" s="26" t="s">
        <v>101</v>
      </c>
      <c r="F730" s="26" t="s">
        <v>81</v>
      </c>
      <c r="G730" s="26" t="s">
        <v>13</v>
      </c>
      <c r="H730" s="27" t="n">
        <v>0.354166666666667</v>
      </c>
      <c r="I730" s="27" t="n">
        <v>0.854166666666667</v>
      </c>
      <c r="J730" s="26" t="n">
        <f aca="false">IFERROR((I730-H730)*24*60,"")</f>
        <v>720</v>
      </c>
      <c r="K730" s="26" t="s">
        <v>89</v>
      </c>
      <c r="L730" s="26" t="s">
        <v>102</v>
      </c>
      <c r="M730" s="26" t="s">
        <v>103</v>
      </c>
      <c r="N730" s="26" t="s">
        <v>104</v>
      </c>
      <c r="O730" s="26" t="n">
        <v>8</v>
      </c>
      <c r="P730" s="26" t="n">
        <v>27</v>
      </c>
      <c r="Q730" s="26" t="n">
        <f aca="false">IFERROR(3600/(P730/O730),"")</f>
        <v>1066.66666666667</v>
      </c>
      <c r="R730" s="26" t="n">
        <v>10741</v>
      </c>
      <c r="S730" s="26" t="n">
        <v>60</v>
      </c>
      <c r="T730" s="26" t="n">
        <f aca="false">IFERROR(J730-S730,"")</f>
        <v>660</v>
      </c>
      <c r="U730" s="26"/>
      <c r="V730" s="26"/>
      <c r="W730" s="26"/>
      <c r="X730" s="26"/>
      <c r="Y730" s="26"/>
      <c r="Z730" s="26" t="n">
        <v>10</v>
      </c>
      <c r="AA730" s="26"/>
      <c r="AB730" s="26"/>
      <c r="AC730" s="26"/>
      <c r="AD730" s="26"/>
      <c r="AE730" s="26"/>
      <c r="AF730" s="26" t="n">
        <f aca="false">SUM(U730:AE730)</f>
        <v>10</v>
      </c>
      <c r="AG730" s="26" t="n">
        <f aca="false">T730-AF730</f>
        <v>650</v>
      </c>
      <c r="AH730" s="28" t="n">
        <f aca="false">IFERROR(AG730/T730,"")</f>
        <v>0.984848484848485</v>
      </c>
      <c r="AI730" s="29" t="n">
        <f aca="false">IFERROR(R730/AG730*60,"")</f>
        <v>991.476923076923</v>
      </c>
      <c r="AJ730" s="30" t="n">
        <f aca="false">IFERROR(AI730/Q730,"")</f>
        <v>0.929509615384615</v>
      </c>
      <c r="AK730" s="31" t="n">
        <f aca="false">IFERROR(R730/(T730/60*Q730),"")</f>
        <v>0.915426136363636</v>
      </c>
      <c r="AL730" s="26" t="n">
        <v>12</v>
      </c>
      <c r="AM730" s="26" t="n">
        <v>14</v>
      </c>
      <c r="AN730" s="26" t="n">
        <v>18</v>
      </c>
      <c r="AO730" s="26" t="n">
        <v>21</v>
      </c>
      <c r="AP730" s="26" t="n">
        <v>19</v>
      </c>
      <c r="AQ730" s="26" t="n">
        <v>11</v>
      </c>
      <c r="AR730" s="26" t="n">
        <v>19</v>
      </c>
      <c r="AS730" s="26" t="n">
        <v>18</v>
      </c>
      <c r="AT730" s="26" t="n">
        <v>17</v>
      </c>
      <c r="AU730" s="26" t="n">
        <v>13</v>
      </c>
      <c r="AV730" s="26" t="n">
        <f aca="false">SUM(AL730:AU730)</f>
        <v>162</v>
      </c>
      <c r="AW730" s="32" t="n">
        <f aca="false">IFERROR(AV730/R730*1000000,"")</f>
        <v>15082.3945628899</v>
      </c>
      <c r="AX730" s="33" t="n">
        <f aca="false">IFERROR((R730-AV730)/R730,"")</f>
        <v>0.98491760543711</v>
      </c>
      <c r="AY730" s="34" t="n">
        <f aca="false">IFERROR(AH730*AJ730*AX730,"")</f>
        <v>0.901619318181818</v>
      </c>
      <c r="AZ730" s="35"/>
    </row>
    <row r="731" customFormat="false" ht="12.75" hidden="false" customHeight="true" outlineLevel="0" collapsed="false">
      <c r="A731" s="24" t="n">
        <v>727</v>
      </c>
      <c r="B731" s="25" t="n">
        <v>46265</v>
      </c>
      <c r="C731" s="25" t="n">
        <v>12</v>
      </c>
      <c r="D731" s="26" t="s">
        <v>71</v>
      </c>
      <c r="E731" s="26" t="s">
        <v>72</v>
      </c>
      <c r="F731" s="26" t="s">
        <v>73</v>
      </c>
      <c r="G731" s="26" t="s">
        <v>8</v>
      </c>
      <c r="H731" s="27" t="n">
        <v>0.354166666666667</v>
      </c>
      <c r="I731" s="27" t="n">
        <v>0.854166666666667</v>
      </c>
      <c r="J731" s="26" t="n">
        <f aca="false">IFERROR((I731-H731)*24*60,"")</f>
        <v>720</v>
      </c>
      <c r="K731" s="26" t="s">
        <v>82</v>
      </c>
      <c r="L731" s="26" t="s">
        <v>90</v>
      </c>
      <c r="M731" s="26" t="s">
        <v>76</v>
      </c>
      <c r="N731" s="26" t="s">
        <v>77</v>
      </c>
      <c r="O731" s="26" t="n">
        <v>8</v>
      </c>
      <c r="P731" s="26" t="n">
        <v>55</v>
      </c>
      <c r="Q731" s="26" t="n">
        <f aca="false">IFERROR(3600/(P731/O731),"")</f>
        <v>523.636363636364</v>
      </c>
      <c r="R731" s="26" t="n">
        <v>4285</v>
      </c>
      <c r="S731" s="26" t="n">
        <v>63</v>
      </c>
      <c r="T731" s="26" t="n">
        <f aca="false">IFERROR(J731-S731,"")</f>
        <v>657</v>
      </c>
      <c r="U731" s="26"/>
      <c r="V731" s="26"/>
      <c r="W731" s="26"/>
      <c r="X731" s="26"/>
      <c r="Y731" s="26"/>
      <c r="Z731" s="26"/>
      <c r="AA731" s="26"/>
      <c r="AB731" s="26"/>
      <c r="AC731" s="26" t="n">
        <v>26</v>
      </c>
      <c r="AD731" s="26"/>
      <c r="AE731" s="26"/>
      <c r="AF731" s="26" t="n">
        <f aca="false">SUM(U731:AE731)</f>
        <v>26</v>
      </c>
      <c r="AG731" s="26" t="n">
        <f aca="false">T731-AF731</f>
        <v>631</v>
      </c>
      <c r="AH731" s="28" t="n">
        <f aca="false">IFERROR(AG731/T731,"")</f>
        <v>0.960426179604262</v>
      </c>
      <c r="AI731" s="29" t="n">
        <f aca="false">IFERROR(R731/AG731*60,"")</f>
        <v>407.448494453249</v>
      </c>
      <c r="AJ731" s="30" t="n">
        <f aca="false">IFERROR(AI731/Q731,"")</f>
        <v>0.778113444268357</v>
      </c>
      <c r="AK731" s="31" t="n">
        <f aca="false">IFERROR(R731/(T731/60*Q731),"")</f>
        <v>0.747320522577372</v>
      </c>
      <c r="AL731" s="26" t="n">
        <v>5</v>
      </c>
      <c r="AM731" s="26" t="n">
        <v>8</v>
      </c>
      <c r="AN731" s="26" t="n">
        <v>4</v>
      </c>
      <c r="AO731" s="26" t="n">
        <v>6</v>
      </c>
      <c r="AP731" s="26" t="n">
        <v>7</v>
      </c>
      <c r="AQ731" s="26" t="n">
        <v>3</v>
      </c>
      <c r="AR731" s="26" t="n">
        <v>3</v>
      </c>
      <c r="AS731" s="26" t="n">
        <v>4</v>
      </c>
      <c r="AT731" s="26" t="n">
        <v>4</v>
      </c>
      <c r="AU731" s="26" t="n">
        <v>6</v>
      </c>
      <c r="AV731" s="26" t="n">
        <f aca="false">SUM(AL731:AU731)</f>
        <v>50</v>
      </c>
      <c r="AW731" s="32" t="n">
        <f aca="false">IFERROR(AV731/R731*1000000,"")</f>
        <v>11668.6114352392</v>
      </c>
      <c r="AX731" s="33" t="n">
        <f aca="false">IFERROR((R731-AV731)/R731,"")</f>
        <v>0.988331388564761</v>
      </c>
      <c r="AY731" s="34" t="n">
        <f aca="false">IFERROR(AH731*AJ731*AX731,"")</f>
        <v>0.738600329781837</v>
      </c>
      <c r="AZ731" s="35" t="s">
        <v>78</v>
      </c>
    </row>
    <row r="732" customFormat="false" ht="12.75" hidden="false" customHeight="true" outlineLevel="0" collapsed="false">
      <c r="A732" s="24" t="n">
        <v>728</v>
      </c>
      <c r="B732" s="25" t="n">
        <v>46265</v>
      </c>
      <c r="C732" s="25" t="n">
        <v>12</v>
      </c>
      <c r="D732" s="26" t="s">
        <v>79</v>
      </c>
      <c r="E732" s="26" t="s">
        <v>80</v>
      </c>
      <c r="F732" s="26" t="s">
        <v>81</v>
      </c>
      <c r="G732" s="26" t="s">
        <v>9</v>
      </c>
      <c r="H732" s="27" t="n">
        <v>0.354166666666667</v>
      </c>
      <c r="I732" s="27" t="n">
        <v>0.854166666666667</v>
      </c>
      <c r="J732" s="26" t="n">
        <f aca="false">IFERROR((I732-H732)*24*60,"")</f>
        <v>720</v>
      </c>
      <c r="K732" s="26" t="s">
        <v>74</v>
      </c>
      <c r="L732" s="26" t="s">
        <v>75</v>
      </c>
      <c r="M732" s="26" t="s">
        <v>84</v>
      </c>
      <c r="N732" s="26" t="s">
        <v>85</v>
      </c>
      <c r="O732" s="26" t="n">
        <v>8</v>
      </c>
      <c r="P732" s="26" t="n">
        <v>30</v>
      </c>
      <c r="Q732" s="26" t="n">
        <f aca="false">IFERROR(3600/(P732/O732),"")</f>
        <v>960</v>
      </c>
      <c r="R732" s="26" t="n">
        <v>9651</v>
      </c>
      <c r="S732" s="26" t="n">
        <v>30</v>
      </c>
      <c r="T732" s="26" t="n">
        <f aca="false">IFERROR(J732-S732,"")</f>
        <v>690</v>
      </c>
      <c r="U732" s="26"/>
      <c r="V732" s="26"/>
      <c r="W732" s="26"/>
      <c r="X732" s="26"/>
      <c r="Y732" s="26"/>
      <c r="Z732" s="26"/>
      <c r="AA732" s="26"/>
      <c r="AB732" s="26" t="n">
        <v>19</v>
      </c>
      <c r="AC732" s="26"/>
      <c r="AD732" s="26" t="n">
        <v>25</v>
      </c>
      <c r="AE732" s="26"/>
      <c r="AF732" s="26" t="n">
        <f aca="false">SUM(U732:AE732)</f>
        <v>44</v>
      </c>
      <c r="AG732" s="26" t="n">
        <f aca="false">T732-AF732</f>
        <v>646</v>
      </c>
      <c r="AH732" s="28" t="n">
        <f aca="false">IFERROR(AG732/T732,"")</f>
        <v>0.936231884057971</v>
      </c>
      <c r="AI732" s="29" t="n">
        <f aca="false">IFERROR(R732/AG732*60,"")</f>
        <v>896.377708978328</v>
      </c>
      <c r="AJ732" s="30" t="n">
        <f aca="false">IFERROR(AI732/Q732,"")</f>
        <v>0.933726780185759</v>
      </c>
      <c r="AK732" s="31" t="n">
        <f aca="false">IFERROR(R732/(T732/60*Q732),"")</f>
        <v>0.874184782608696</v>
      </c>
      <c r="AL732" s="26" t="n">
        <v>3</v>
      </c>
      <c r="AM732" s="26" t="n">
        <v>2</v>
      </c>
      <c r="AN732" s="26" t="n">
        <v>1</v>
      </c>
      <c r="AO732" s="26" t="n">
        <v>2</v>
      </c>
      <c r="AP732" s="26"/>
      <c r="AQ732" s="26" t="n">
        <v>1</v>
      </c>
      <c r="AR732" s="26" t="n">
        <v>4</v>
      </c>
      <c r="AS732" s="26" t="n">
        <v>4</v>
      </c>
      <c r="AT732" s="26" t="n">
        <v>1</v>
      </c>
      <c r="AU732" s="26" t="n">
        <v>5</v>
      </c>
      <c r="AV732" s="26" t="n">
        <f aca="false">SUM(AL732:AU732)</f>
        <v>23</v>
      </c>
      <c r="AW732" s="32" t="n">
        <f aca="false">IFERROR(AV732/R732*1000000,"")</f>
        <v>2383.17272821469</v>
      </c>
      <c r="AX732" s="33" t="n">
        <f aca="false">IFERROR((R732-AV732)/R732,"")</f>
        <v>0.997616827271785</v>
      </c>
      <c r="AY732" s="34" t="n">
        <f aca="false">IFERROR(AH732*AJ732*AX732,"")</f>
        <v>0.872101449275362</v>
      </c>
      <c r="AZ732" s="35"/>
    </row>
    <row r="733" customFormat="false" ht="12.75" hidden="false" customHeight="true" outlineLevel="0" collapsed="false">
      <c r="A733" s="24" t="n">
        <v>729</v>
      </c>
      <c r="B733" s="25" t="n">
        <v>46265</v>
      </c>
      <c r="C733" s="25" t="n">
        <v>12</v>
      </c>
      <c r="D733" s="26" t="s">
        <v>87</v>
      </c>
      <c r="E733" s="26" t="s">
        <v>88</v>
      </c>
      <c r="F733" s="26" t="s">
        <v>73</v>
      </c>
      <c r="G733" s="26" t="s">
        <v>10</v>
      </c>
      <c r="H733" s="27" t="n">
        <v>0.354166666666667</v>
      </c>
      <c r="I733" s="27" t="n">
        <v>0.854166666666667</v>
      </c>
      <c r="J733" s="26" t="n">
        <f aca="false">IFERROR((I733-H733)*24*60,"")</f>
        <v>720</v>
      </c>
      <c r="K733" s="26" t="s">
        <v>89</v>
      </c>
      <c r="L733" s="26" t="s">
        <v>108</v>
      </c>
      <c r="M733" s="26" t="s">
        <v>91</v>
      </c>
      <c r="N733" s="26" t="s">
        <v>92</v>
      </c>
      <c r="O733" s="26" t="n">
        <v>4</v>
      </c>
      <c r="P733" s="26" t="n">
        <v>38</v>
      </c>
      <c r="Q733" s="26" t="n">
        <f aca="false">IFERROR(3600/(P733/O733),"")</f>
        <v>378.947368421053</v>
      </c>
      <c r="R733" s="26" t="n">
        <v>3655</v>
      </c>
      <c r="S733" s="26" t="n">
        <v>41</v>
      </c>
      <c r="T733" s="26" t="n">
        <f aca="false">IFERROR(J733-S733,"")</f>
        <v>679</v>
      </c>
      <c r="U733" s="26"/>
      <c r="V733" s="26"/>
      <c r="W733" s="26"/>
      <c r="X733" s="26"/>
      <c r="Y733" s="26"/>
      <c r="Z733" s="26"/>
      <c r="AA733" s="26"/>
      <c r="AB733" s="26"/>
      <c r="AC733" s="26" t="n">
        <v>14</v>
      </c>
      <c r="AD733" s="26"/>
      <c r="AE733" s="26"/>
      <c r="AF733" s="26" t="n">
        <f aca="false">SUM(U733:AE733)</f>
        <v>14</v>
      </c>
      <c r="AG733" s="26" t="n">
        <f aca="false">T733-AF733</f>
        <v>665</v>
      </c>
      <c r="AH733" s="28" t="n">
        <f aca="false">IFERROR(AG733/T733,"")</f>
        <v>0.979381443298969</v>
      </c>
      <c r="AI733" s="29" t="n">
        <f aca="false">IFERROR(R733/AG733*60,"")</f>
        <v>329.774436090226</v>
      </c>
      <c r="AJ733" s="30" t="n">
        <f aca="false">IFERROR(AI733/Q733,"")</f>
        <v>0.870238095238095</v>
      </c>
      <c r="AK733" s="31" t="n">
        <f aca="false">IFERROR(R733/(T733/60*Q733),"")</f>
        <v>0.852295041728031</v>
      </c>
      <c r="AL733" s="26" t="n">
        <v>4</v>
      </c>
      <c r="AM733" s="26" t="n">
        <v>5</v>
      </c>
      <c r="AN733" s="26" t="n">
        <v>5</v>
      </c>
      <c r="AO733" s="26" t="n">
        <v>6</v>
      </c>
      <c r="AP733" s="26" t="n">
        <v>6</v>
      </c>
      <c r="AQ733" s="26" t="n">
        <v>9</v>
      </c>
      <c r="AR733" s="26" t="n">
        <v>10</v>
      </c>
      <c r="AS733" s="26" t="n">
        <v>12</v>
      </c>
      <c r="AT733" s="26" t="n">
        <v>8</v>
      </c>
      <c r="AU733" s="26" t="n">
        <v>9</v>
      </c>
      <c r="AV733" s="26" t="n">
        <f aca="false">SUM(AL733:AU733)</f>
        <v>74</v>
      </c>
      <c r="AW733" s="32" t="n">
        <f aca="false">IFERROR(AV733/R733*1000000,"")</f>
        <v>20246.2380300958</v>
      </c>
      <c r="AX733" s="33" t="n">
        <f aca="false">IFERROR((R733-AV733)/R733,"")</f>
        <v>0.979753761969904</v>
      </c>
      <c r="AY733" s="34" t="n">
        <f aca="false">IFERROR(AH733*AJ733*AX733,"")</f>
        <v>0.835039273441335</v>
      </c>
      <c r="AZ733" s="35"/>
    </row>
    <row r="734" customFormat="false" ht="12.75" hidden="false" customHeight="true" outlineLevel="0" collapsed="false">
      <c r="A734" s="24" t="n">
        <v>730</v>
      </c>
      <c r="B734" s="25" t="n">
        <v>46266</v>
      </c>
      <c r="C734" s="25" t="n">
        <v>12</v>
      </c>
      <c r="D734" s="26" t="s">
        <v>71</v>
      </c>
      <c r="E734" s="26" t="s">
        <v>94</v>
      </c>
      <c r="F734" s="26" t="s">
        <v>81</v>
      </c>
      <c r="G734" s="26" t="s">
        <v>11</v>
      </c>
      <c r="H734" s="27" t="n">
        <v>0.354166666666667</v>
      </c>
      <c r="I734" s="27" t="n">
        <v>0.854166666666667</v>
      </c>
      <c r="J734" s="26" t="n">
        <f aca="false">IFERROR((I734-H734)*24*60,"")</f>
        <v>720</v>
      </c>
      <c r="K734" s="26" t="s">
        <v>82</v>
      </c>
      <c r="L734" s="26" t="s">
        <v>106</v>
      </c>
      <c r="M734" s="26" t="s">
        <v>95</v>
      </c>
      <c r="N734" s="26" t="s">
        <v>96</v>
      </c>
      <c r="O734" s="26" t="n">
        <v>4</v>
      </c>
      <c r="P734" s="26" t="n">
        <v>52</v>
      </c>
      <c r="Q734" s="26" t="n">
        <f aca="false">IFERROR(3600/(P734/O734),"")</f>
        <v>276.923076923077</v>
      </c>
      <c r="R734" s="26" t="n">
        <v>2709</v>
      </c>
      <c r="S734" s="26" t="n">
        <v>69</v>
      </c>
      <c r="T734" s="26" t="n">
        <f aca="false">IFERROR(J734-S734,"")</f>
        <v>651</v>
      </c>
      <c r="U734" s="26"/>
      <c r="V734" s="26"/>
      <c r="W734" s="26"/>
      <c r="X734" s="26" t="n">
        <v>14</v>
      </c>
      <c r="Y734" s="26"/>
      <c r="Z734" s="26"/>
      <c r="AA734" s="26"/>
      <c r="AB734" s="26"/>
      <c r="AC734" s="26"/>
      <c r="AD734" s="26"/>
      <c r="AE734" s="26" t="n">
        <v>14</v>
      </c>
      <c r="AF734" s="26" t="n">
        <f aca="false">SUM(U734:AE734)</f>
        <v>28</v>
      </c>
      <c r="AG734" s="26" t="n">
        <f aca="false">T734-AF734</f>
        <v>623</v>
      </c>
      <c r="AH734" s="28" t="n">
        <f aca="false">IFERROR(AG734/T734,"")</f>
        <v>0.956989247311828</v>
      </c>
      <c r="AI734" s="29" t="n">
        <f aca="false">IFERROR(R734/AG734*60,"")</f>
        <v>260.898876404494</v>
      </c>
      <c r="AJ734" s="30" t="n">
        <f aca="false">IFERROR(AI734/Q734,"")</f>
        <v>0.942134831460674</v>
      </c>
      <c r="AK734" s="31" t="n">
        <f aca="false">IFERROR(R734/(T734/60*Q734),"")</f>
        <v>0.901612903225807</v>
      </c>
      <c r="AL734" s="26" t="n">
        <v>3</v>
      </c>
      <c r="AM734" s="26"/>
      <c r="AN734" s="26" t="n">
        <v>2</v>
      </c>
      <c r="AO734" s="26" t="n">
        <v>2</v>
      </c>
      <c r="AP734" s="26" t="n">
        <v>3</v>
      </c>
      <c r="AQ734" s="26" t="n">
        <v>3</v>
      </c>
      <c r="AR734" s="26" t="n">
        <v>1</v>
      </c>
      <c r="AS734" s="26" t="n">
        <v>3</v>
      </c>
      <c r="AT734" s="26" t="n">
        <v>2</v>
      </c>
      <c r="AU734" s="26" t="n">
        <v>3</v>
      </c>
      <c r="AV734" s="26" t="n">
        <f aca="false">SUM(AL734:AU734)</f>
        <v>22</v>
      </c>
      <c r="AW734" s="32" t="n">
        <f aca="false">IFERROR(AV734/R734*1000000,"")</f>
        <v>8121.07788851975</v>
      </c>
      <c r="AX734" s="33" t="n">
        <f aca="false">IFERROR((R734-AV734)/R734,"")</f>
        <v>0.99187892211148</v>
      </c>
      <c r="AY734" s="34" t="n">
        <f aca="false">IFERROR(AH734*AJ734*AX734,"")</f>
        <v>0.894290834613415</v>
      </c>
      <c r="AZ734" s="35" t="s">
        <v>78</v>
      </c>
    </row>
    <row r="735" customFormat="false" ht="12.75" hidden="false" customHeight="true" outlineLevel="0" collapsed="false">
      <c r="A735" s="24" t="n">
        <v>731</v>
      </c>
      <c r="B735" s="25" t="n">
        <v>46266</v>
      </c>
      <c r="C735" s="25" t="n">
        <v>12</v>
      </c>
      <c r="D735" s="26" t="s">
        <v>79</v>
      </c>
      <c r="E735" s="26" t="s">
        <v>97</v>
      </c>
      <c r="F735" s="26" t="s">
        <v>73</v>
      </c>
      <c r="G735" s="26" t="s">
        <v>12</v>
      </c>
      <c r="H735" s="27" t="n">
        <v>0.354166666666667</v>
      </c>
      <c r="I735" s="27" t="n">
        <v>0.854166666666667</v>
      </c>
      <c r="J735" s="26" t="n">
        <f aca="false">IFERROR((I735-H735)*24*60,"")</f>
        <v>720</v>
      </c>
      <c r="K735" s="26" t="s">
        <v>89</v>
      </c>
      <c r="L735" s="26" t="s">
        <v>108</v>
      </c>
      <c r="M735" s="26" t="s">
        <v>99</v>
      </c>
      <c r="N735" s="26" t="s">
        <v>100</v>
      </c>
      <c r="O735" s="26" t="n">
        <v>4</v>
      </c>
      <c r="P735" s="26" t="n">
        <v>41</v>
      </c>
      <c r="Q735" s="26" t="n">
        <f aca="false">IFERROR(3600/(P735/O735),"")</f>
        <v>351.219512195122</v>
      </c>
      <c r="R735" s="26" t="n">
        <v>3218</v>
      </c>
      <c r="S735" s="26" t="n">
        <v>45</v>
      </c>
      <c r="T735" s="26" t="n">
        <f aca="false">IFERROR(J735-S735,"")</f>
        <v>675</v>
      </c>
      <c r="U735" s="26"/>
      <c r="V735" s="26"/>
      <c r="W735" s="26"/>
      <c r="X735" s="26"/>
      <c r="Y735" s="26"/>
      <c r="Z735" s="26"/>
      <c r="AA735" s="26"/>
      <c r="AB735" s="26" t="n">
        <v>27</v>
      </c>
      <c r="AC735" s="26"/>
      <c r="AD735" s="26"/>
      <c r="AE735" s="26"/>
      <c r="AF735" s="26" t="n">
        <f aca="false">SUM(U735:AE735)</f>
        <v>27</v>
      </c>
      <c r="AG735" s="26" t="n">
        <f aca="false">T735-AF735</f>
        <v>648</v>
      </c>
      <c r="AH735" s="28" t="n">
        <f aca="false">IFERROR(AG735/T735,"")</f>
        <v>0.96</v>
      </c>
      <c r="AI735" s="29" t="n">
        <f aca="false">IFERROR(R735/AG735*60,"")</f>
        <v>297.962962962963</v>
      </c>
      <c r="AJ735" s="30" t="n">
        <f aca="false">IFERROR(AI735/Q735,"")</f>
        <v>0.848366769547325</v>
      </c>
      <c r="AK735" s="31" t="n">
        <f aca="false">IFERROR(R735/(T735/60*Q735),"")</f>
        <v>0.814432098765432</v>
      </c>
      <c r="AL735" s="26" t="n">
        <v>6</v>
      </c>
      <c r="AM735" s="26" t="n">
        <v>3</v>
      </c>
      <c r="AN735" s="26" t="n">
        <v>3</v>
      </c>
      <c r="AO735" s="26" t="n">
        <v>9</v>
      </c>
      <c r="AP735" s="26" t="n">
        <v>4</v>
      </c>
      <c r="AQ735" s="26" t="n">
        <v>5</v>
      </c>
      <c r="AR735" s="26" t="n">
        <v>5</v>
      </c>
      <c r="AS735" s="26" t="n">
        <v>2</v>
      </c>
      <c r="AT735" s="26" t="n">
        <v>5</v>
      </c>
      <c r="AU735" s="26" t="n">
        <v>3</v>
      </c>
      <c r="AV735" s="26" t="n">
        <f aca="false">SUM(AL735:AU735)</f>
        <v>45</v>
      </c>
      <c r="AW735" s="32" t="n">
        <f aca="false">IFERROR(AV735/R735*1000000,"")</f>
        <v>13983.8408949658</v>
      </c>
      <c r="AX735" s="33" t="n">
        <f aca="false">IFERROR((R735-AV735)/R735,"")</f>
        <v>0.986016159105034</v>
      </c>
      <c r="AY735" s="34" t="n">
        <f aca="false">IFERROR(AH735*AJ735*AX735,"")</f>
        <v>0.803043209876543</v>
      </c>
      <c r="AZ735" s="35" t="s">
        <v>86</v>
      </c>
    </row>
    <row r="736" customFormat="false" ht="12.75" hidden="false" customHeight="true" outlineLevel="0" collapsed="false">
      <c r="A736" s="24" t="n">
        <v>732</v>
      </c>
      <c r="B736" s="25" t="n">
        <v>46266</v>
      </c>
      <c r="C736" s="25" t="n">
        <v>12</v>
      </c>
      <c r="D736" s="26" t="s">
        <v>87</v>
      </c>
      <c r="E736" s="26" t="s">
        <v>101</v>
      </c>
      <c r="F736" s="26" t="s">
        <v>81</v>
      </c>
      <c r="G736" s="26" t="s">
        <v>13</v>
      </c>
      <c r="H736" s="27" t="n">
        <v>0.354166666666667</v>
      </c>
      <c r="I736" s="27" t="n">
        <v>0.854166666666667</v>
      </c>
      <c r="J736" s="26" t="n">
        <f aca="false">IFERROR((I736-H736)*24*60,"")</f>
        <v>720</v>
      </c>
      <c r="K736" s="26" t="s">
        <v>89</v>
      </c>
      <c r="L736" s="26" t="s">
        <v>75</v>
      </c>
      <c r="M736" s="26" t="s">
        <v>103</v>
      </c>
      <c r="N736" s="26" t="s">
        <v>104</v>
      </c>
      <c r="O736" s="26" t="n">
        <v>8</v>
      </c>
      <c r="P736" s="26" t="n">
        <v>53</v>
      </c>
      <c r="Q736" s="26" t="n">
        <f aca="false">IFERROR(3600/(P736/O736),"")</f>
        <v>543.396226415094</v>
      </c>
      <c r="R736" s="26" t="n">
        <v>4644</v>
      </c>
      <c r="S736" s="26" t="n">
        <v>42</v>
      </c>
      <c r="T736" s="26" t="n">
        <f aca="false">IFERROR(J736-S736,"")</f>
        <v>678</v>
      </c>
      <c r="U736" s="26" t="n">
        <v>16</v>
      </c>
      <c r="V736" s="26"/>
      <c r="W736" s="26"/>
      <c r="X736" s="26"/>
      <c r="Y736" s="26"/>
      <c r="Z736" s="26"/>
      <c r="AA736" s="26" t="n">
        <v>11</v>
      </c>
      <c r="AB736" s="26"/>
      <c r="AC736" s="26"/>
      <c r="AD736" s="26"/>
      <c r="AE736" s="26"/>
      <c r="AF736" s="26" t="n">
        <f aca="false">SUM(U736:AE736)</f>
        <v>27</v>
      </c>
      <c r="AG736" s="26" t="n">
        <f aca="false">T736-AF736</f>
        <v>651</v>
      </c>
      <c r="AH736" s="28" t="n">
        <f aca="false">IFERROR(AG736/T736,"")</f>
        <v>0.960176991150443</v>
      </c>
      <c r="AI736" s="29" t="n">
        <f aca="false">IFERROR(R736/AG736*60,"")</f>
        <v>428.018433179724</v>
      </c>
      <c r="AJ736" s="30" t="n">
        <f aca="false">IFERROR(AI736/Q736,"")</f>
        <v>0.787672811059908</v>
      </c>
      <c r="AK736" s="31" t="n">
        <f aca="false">IFERROR(R736/(T736/60*Q736),"")</f>
        <v>0.756305309734513</v>
      </c>
      <c r="AL736" s="26" t="n">
        <v>4</v>
      </c>
      <c r="AM736" s="26" t="n">
        <v>5</v>
      </c>
      <c r="AN736" s="26" t="n">
        <v>3</v>
      </c>
      <c r="AO736" s="26" t="n">
        <v>1</v>
      </c>
      <c r="AP736" s="26" t="n">
        <v>4</v>
      </c>
      <c r="AQ736" s="26" t="n">
        <v>2</v>
      </c>
      <c r="AR736" s="26" t="n">
        <v>2</v>
      </c>
      <c r="AS736" s="26" t="n">
        <v>6</v>
      </c>
      <c r="AT736" s="26" t="n">
        <v>2</v>
      </c>
      <c r="AU736" s="26" t="n">
        <v>6</v>
      </c>
      <c r="AV736" s="26" t="n">
        <f aca="false">SUM(AL736:AU736)</f>
        <v>35</v>
      </c>
      <c r="AW736" s="32" t="n">
        <f aca="false">IFERROR(AV736/R736*1000000,"")</f>
        <v>7536.60637381568</v>
      </c>
      <c r="AX736" s="33" t="n">
        <f aca="false">IFERROR((R736-AV736)/R736,"")</f>
        <v>0.992463393626184</v>
      </c>
      <c r="AY736" s="34" t="n">
        <f aca="false">IFERROR(AH736*AJ736*AX736,"")</f>
        <v>0.750605334316618</v>
      </c>
      <c r="AZ736" s="35" t="s">
        <v>86</v>
      </c>
    </row>
    <row r="737" customFormat="false" ht="12.75" hidden="false" customHeight="true" outlineLevel="0" collapsed="false">
      <c r="A737" s="24" t="n">
        <v>733</v>
      </c>
      <c r="B737" s="25" t="n">
        <v>46267</v>
      </c>
      <c r="C737" s="25" t="n">
        <v>12</v>
      </c>
      <c r="D737" s="26" t="s">
        <v>71</v>
      </c>
      <c r="E737" s="26" t="s">
        <v>72</v>
      </c>
      <c r="F737" s="26" t="s">
        <v>73</v>
      </c>
      <c r="G737" s="26" t="s">
        <v>8</v>
      </c>
      <c r="H737" s="27" t="n">
        <v>0.354166666666667</v>
      </c>
      <c r="I737" s="27" t="n">
        <v>0.854166666666667</v>
      </c>
      <c r="J737" s="26" t="n">
        <f aca="false">IFERROR((I737-H737)*24*60,"")</f>
        <v>720</v>
      </c>
      <c r="K737" s="26" t="s">
        <v>89</v>
      </c>
      <c r="L737" s="26" t="s">
        <v>83</v>
      </c>
      <c r="M737" s="26" t="s">
        <v>76</v>
      </c>
      <c r="N737" s="26" t="s">
        <v>77</v>
      </c>
      <c r="O737" s="26" t="n">
        <v>8</v>
      </c>
      <c r="P737" s="26" t="n">
        <v>29</v>
      </c>
      <c r="Q737" s="26" t="n">
        <f aca="false">IFERROR(3600/(P737/O737),"")</f>
        <v>993.103448275862</v>
      </c>
      <c r="R737" s="26" t="n">
        <v>8855</v>
      </c>
      <c r="S737" s="26" t="n">
        <v>45</v>
      </c>
      <c r="T737" s="26" t="n">
        <f aca="false">IFERROR(J737-S737,"")</f>
        <v>675</v>
      </c>
      <c r="U737" s="26"/>
      <c r="V737" s="26"/>
      <c r="W737" s="26"/>
      <c r="X737" s="26"/>
      <c r="Y737" s="26"/>
      <c r="Z737" s="26"/>
      <c r="AA737" s="26"/>
      <c r="AB737" s="26" t="n">
        <v>5</v>
      </c>
      <c r="AC737" s="26"/>
      <c r="AD737" s="26"/>
      <c r="AE737" s="26"/>
      <c r="AF737" s="26" t="n">
        <f aca="false">SUM(U737:AE737)</f>
        <v>5</v>
      </c>
      <c r="AG737" s="26" t="n">
        <f aca="false">T737-AF737</f>
        <v>670</v>
      </c>
      <c r="AH737" s="28" t="n">
        <f aca="false">IFERROR(AG737/T737,"")</f>
        <v>0.992592592592593</v>
      </c>
      <c r="AI737" s="29" t="n">
        <f aca="false">IFERROR(R737/AG737*60,"")</f>
        <v>792.985074626866</v>
      </c>
      <c r="AJ737" s="30" t="n">
        <f aca="false">IFERROR(AI737/Q737,"")</f>
        <v>0.798491915422886</v>
      </c>
      <c r="AK737" s="31" t="n">
        <f aca="false">IFERROR(R737/(T737/60*Q737),"")</f>
        <v>0.792577160493827</v>
      </c>
      <c r="AL737" s="26" t="n">
        <v>28</v>
      </c>
      <c r="AM737" s="26" t="n">
        <v>14</v>
      </c>
      <c r="AN737" s="26" t="n">
        <v>17</v>
      </c>
      <c r="AO737" s="26" t="n">
        <v>23</v>
      </c>
      <c r="AP737" s="26" t="n">
        <v>17</v>
      </c>
      <c r="AQ737" s="26" t="n">
        <v>19</v>
      </c>
      <c r="AR737" s="26" t="n">
        <v>15</v>
      </c>
      <c r="AS737" s="26" t="n">
        <v>20</v>
      </c>
      <c r="AT737" s="26" t="n">
        <v>20</v>
      </c>
      <c r="AU737" s="26" t="n">
        <v>20</v>
      </c>
      <c r="AV737" s="26" t="n">
        <f aca="false">SUM(AL737:AU737)</f>
        <v>193</v>
      </c>
      <c r="AW737" s="32" t="n">
        <f aca="false">IFERROR(AV737/R737*1000000,"")</f>
        <v>21795.5957086392</v>
      </c>
      <c r="AX737" s="33" t="n">
        <f aca="false">IFERROR((R737-AV737)/R737,"")</f>
        <v>0.978204404291361</v>
      </c>
      <c r="AY737" s="34" t="n">
        <f aca="false">IFERROR(AH737*AJ737*AX737,"")</f>
        <v>0.775302469135802</v>
      </c>
      <c r="AZ737" s="35" t="s">
        <v>78</v>
      </c>
    </row>
    <row r="738" customFormat="false" ht="12.75" hidden="false" customHeight="true" outlineLevel="0" collapsed="false">
      <c r="A738" s="24" t="n">
        <v>734</v>
      </c>
      <c r="B738" s="25" t="n">
        <v>46267</v>
      </c>
      <c r="C738" s="25" t="n">
        <v>12</v>
      </c>
      <c r="D738" s="26" t="s">
        <v>79</v>
      </c>
      <c r="E738" s="26" t="s">
        <v>80</v>
      </c>
      <c r="F738" s="26" t="s">
        <v>81</v>
      </c>
      <c r="G738" s="26" t="s">
        <v>9</v>
      </c>
      <c r="H738" s="27" t="n">
        <v>0.354166666666667</v>
      </c>
      <c r="I738" s="27" t="n">
        <v>0.854166666666667</v>
      </c>
      <c r="J738" s="26" t="n">
        <f aca="false">IFERROR((I738-H738)*24*60,"")</f>
        <v>720</v>
      </c>
      <c r="K738" s="26" t="s">
        <v>82</v>
      </c>
      <c r="L738" s="26" t="s">
        <v>102</v>
      </c>
      <c r="M738" s="26" t="s">
        <v>84</v>
      </c>
      <c r="N738" s="26" t="s">
        <v>85</v>
      </c>
      <c r="O738" s="26" t="n">
        <v>1</v>
      </c>
      <c r="P738" s="26" t="n">
        <v>74</v>
      </c>
      <c r="Q738" s="26" t="n">
        <f aca="false">IFERROR(3600/(P738/O738),"")</f>
        <v>48.6486486486486</v>
      </c>
      <c r="R738" s="26" t="n">
        <v>456</v>
      </c>
      <c r="S738" s="26" t="n">
        <v>49</v>
      </c>
      <c r="T738" s="26" t="n">
        <f aca="false">IFERROR(J738-S738,"")</f>
        <v>671</v>
      </c>
      <c r="U738" s="26" t="n">
        <v>18</v>
      </c>
      <c r="V738" s="26"/>
      <c r="W738" s="26"/>
      <c r="X738" s="26"/>
      <c r="Y738" s="26" t="n">
        <v>14</v>
      </c>
      <c r="Z738" s="26"/>
      <c r="AA738" s="26"/>
      <c r="AB738" s="26"/>
      <c r="AC738" s="26" t="n">
        <v>45</v>
      </c>
      <c r="AD738" s="26"/>
      <c r="AE738" s="26"/>
      <c r="AF738" s="26" t="n">
        <f aca="false">SUM(U738:AE738)</f>
        <v>77</v>
      </c>
      <c r="AG738" s="26" t="n">
        <f aca="false">T738-AF738</f>
        <v>594</v>
      </c>
      <c r="AH738" s="28" t="n">
        <f aca="false">IFERROR(AG738/T738,"")</f>
        <v>0.885245901639344</v>
      </c>
      <c r="AI738" s="29" t="n">
        <f aca="false">IFERROR(R738/AG738*60,"")</f>
        <v>46.0606060606061</v>
      </c>
      <c r="AJ738" s="30" t="n">
        <f aca="false">IFERROR(AI738/Q738,"")</f>
        <v>0.946801346801347</v>
      </c>
      <c r="AK738" s="31" t="n">
        <f aca="false">IFERROR(R738/(T738/60*Q738),"")</f>
        <v>0.838152011922504</v>
      </c>
      <c r="AL738" s="26"/>
      <c r="AM738" s="26"/>
      <c r="AN738" s="26"/>
      <c r="AO738" s="26" t="n">
        <v>1</v>
      </c>
      <c r="AP738" s="26"/>
      <c r="AQ738" s="26"/>
      <c r="AR738" s="26"/>
      <c r="AS738" s="26" t="n">
        <v>1</v>
      </c>
      <c r="AT738" s="26" t="n">
        <v>1</v>
      </c>
      <c r="AU738" s="26"/>
      <c r="AV738" s="26" t="n">
        <f aca="false">SUM(AL738:AU738)</f>
        <v>3</v>
      </c>
      <c r="AW738" s="32" t="n">
        <f aca="false">IFERROR(AV738/R738*1000000,"")</f>
        <v>6578.94736842105</v>
      </c>
      <c r="AX738" s="33" t="n">
        <f aca="false">IFERROR((R738-AV738)/R738,"")</f>
        <v>0.993421052631579</v>
      </c>
      <c r="AY738" s="34" t="n">
        <f aca="false">IFERROR(AH738*AJ738*AX738,"")</f>
        <v>0.832637853949329</v>
      </c>
      <c r="AZ738" s="35"/>
    </row>
    <row r="739" customFormat="false" ht="12.75" hidden="false" customHeight="true" outlineLevel="0" collapsed="false">
      <c r="A739" s="24" t="n">
        <v>735</v>
      </c>
      <c r="B739" s="25" t="n">
        <v>46267</v>
      </c>
      <c r="C739" s="25" t="n">
        <v>12</v>
      </c>
      <c r="D739" s="26" t="s">
        <v>87</v>
      </c>
      <c r="E739" s="26" t="s">
        <v>88</v>
      </c>
      <c r="F739" s="26" t="s">
        <v>73</v>
      </c>
      <c r="G739" s="26" t="s">
        <v>10</v>
      </c>
      <c r="H739" s="27" t="n">
        <v>0.354166666666667</v>
      </c>
      <c r="I739" s="27" t="n">
        <v>0.854166666666667</v>
      </c>
      <c r="J739" s="26" t="n">
        <f aca="false">IFERROR((I739-H739)*24*60,"")</f>
        <v>720</v>
      </c>
      <c r="K739" s="26" t="s">
        <v>74</v>
      </c>
      <c r="L739" s="26" t="s">
        <v>106</v>
      </c>
      <c r="M739" s="26" t="s">
        <v>91</v>
      </c>
      <c r="N739" s="26" t="s">
        <v>92</v>
      </c>
      <c r="O739" s="26" t="n">
        <v>2</v>
      </c>
      <c r="P739" s="26" t="n">
        <v>61</v>
      </c>
      <c r="Q739" s="26" t="n">
        <f aca="false">IFERROR(3600/(P739/O739),"")</f>
        <v>118.032786885246</v>
      </c>
      <c r="R739" s="26" t="n">
        <v>1136</v>
      </c>
      <c r="S739" s="26" t="n">
        <v>68</v>
      </c>
      <c r="T739" s="26" t="n">
        <f aca="false">IFERROR(J739-S739,"")</f>
        <v>652</v>
      </c>
      <c r="U739" s="26"/>
      <c r="V739" s="26"/>
      <c r="W739" s="26"/>
      <c r="X739" s="26"/>
      <c r="Y739" s="26" t="n">
        <v>7</v>
      </c>
      <c r="Z739" s="26" t="n">
        <v>29</v>
      </c>
      <c r="AA739" s="26"/>
      <c r="AB739" s="26"/>
      <c r="AC739" s="26"/>
      <c r="AD739" s="26"/>
      <c r="AE739" s="26" t="n">
        <v>31</v>
      </c>
      <c r="AF739" s="26" t="n">
        <f aca="false">SUM(U739:AE739)</f>
        <v>67</v>
      </c>
      <c r="AG739" s="26" t="n">
        <f aca="false">T739-AF739</f>
        <v>585</v>
      </c>
      <c r="AH739" s="28" t="n">
        <f aca="false">IFERROR(AG739/T739,"")</f>
        <v>0.897239263803681</v>
      </c>
      <c r="AI739" s="29" t="n">
        <f aca="false">IFERROR(R739/AG739*60,"")</f>
        <v>116.512820512821</v>
      </c>
      <c r="AJ739" s="30" t="n">
        <f aca="false">IFERROR(AI739/Q739,"")</f>
        <v>0.987122507122507</v>
      </c>
      <c r="AK739" s="31" t="n">
        <f aca="false">IFERROR(R739/(T739/60*Q739),"")</f>
        <v>0.885685071574642</v>
      </c>
      <c r="AL739" s="26"/>
      <c r="AM739" s="26" t="n">
        <v>3</v>
      </c>
      <c r="AN739" s="26" t="n">
        <v>4</v>
      </c>
      <c r="AO739" s="26" t="n">
        <v>2</v>
      </c>
      <c r="AP739" s="26" t="n">
        <v>1</v>
      </c>
      <c r="AQ739" s="26" t="n">
        <v>3</v>
      </c>
      <c r="AR739" s="26" t="n">
        <v>1</v>
      </c>
      <c r="AS739" s="26" t="n">
        <v>1</v>
      </c>
      <c r="AT739" s="26" t="n">
        <v>4</v>
      </c>
      <c r="AU739" s="26" t="n">
        <v>1</v>
      </c>
      <c r="AV739" s="26" t="n">
        <f aca="false">SUM(AL739:AU739)</f>
        <v>20</v>
      </c>
      <c r="AW739" s="32" t="n">
        <f aca="false">IFERROR(AV739/R739*1000000,"")</f>
        <v>17605.6338028169</v>
      </c>
      <c r="AX739" s="33" t="n">
        <f aca="false">IFERROR((R739-AV739)/R739,"")</f>
        <v>0.982394366197183</v>
      </c>
      <c r="AY739" s="34" t="n">
        <f aca="false">IFERROR(AH739*AJ739*AX739,"")</f>
        <v>0.870092024539877</v>
      </c>
      <c r="AZ739" s="35" t="s">
        <v>93</v>
      </c>
    </row>
    <row r="740" customFormat="false" ht="12.75" hidden="false" customHeight="true" outlineLevel="0" collapsed="false">
      <c r="A740" s="24" t="n">
        <v>736</v>
      </c>
      <c r="B740" s="25" t="n">
        <v>46268</v>
      </c>
      <c r="C740" s="25" t="n">
        <v>12</v>
      </c>
      <c r="D740" s="26" t="s">
        <v>71</v>
      </c>
      <c r="E740" s="26" t="s">
        <v>94</v>
      </c>
      <c r="F740" s="26" t="s">
        <v>81</v>
      </c>
      <c r="G740" s="26" t="s">
        <v>11</v>
      </c>
      <c r="H740" s="27" t="n">
        <v>0.354166666666667</v>
      </c>
      <c r="I740" s="27" t="n">
        <v>0.854166666666667</v>
      </c>
      <c r="J740" s="26" t="n">
        <f aca="false">IFERROR((I740-H740)*24*60,"")</f>
        <v>720</v>
      </c>
      <c r="K740" s="26" t="s">
        <v>82</v>
      </c>
      <c r="L740" s="26" t="s">
        <v>98</v>
      </c>
      <c r="M740" s="26" t="s">
        <v>95</v>
      </c>
      <c r="N740" s="26" t="s">
        <v>96</v>
      </c>
      <c r="O740" s="26" t="n">
        <v>8</v>
      </c>
      <c r="P740" s="26" t="n">
        <v>73</v>
      </c>
      <c r="Q740" s="26" t="n">
        <f aca="false">IFERROR(3600/(P740/O740),"")</f>
        <v>394.520547945205</v>
      </c>
      <c r="R740" s="26" t="n">
        <v>3410</v>
      </c>
      <c r="S740" s="26" t="n">
        <v>71</v>
      </c>
      <c r="T740" s="26" t="n">
        <f aca="false">IFERROR(J740-S740,"")</f>
        <v>649</v>
      </c>
      <c r="U740" s="26" t="n">
        <v>48</v>
      </c>
      <c r="V740" s="26"/>
      <c r="W740" s="26"/>
      <c r="X740" s="26"/>
      <c r="Y740" s="26"/>
      <c r="Z740" s="26" t="n">
        <v>8</v>
      </c>
      <c r="AA740" s="26"/>
      <c r="AB740" s="26"/>
      <c r="AC740" s="26"/>
      <c r="AD740" s="26" t="n">
        <v>13</v>
      </c>
      <c r="AE740" s="26"/>
      <c r="AF740" s="26" t="n">
        <f aca="false">SUM(U740:AE740)</f>
        <v>69</v>
      </c>
      <c r="AG740" s="26" t="n">
        <f aca="false">T740-AF740</f>
        <v>580</v>
      </c>
      <c r="AH740" s="28" t="n">
        <f aca="false">IFERROR(AG740/T740,"")</f>
        <v>0.893682588597843</v>
      </c>
      <c r="AI740" s="29" t="n">
        <f aca="false">IFERROR(R740/AG740*60,"")</f>
        <v>352.758620689655</v>
      </c>
      <c r="AJ740" s="30" t="n">
        <f aca="false">IFERROR(AI740/Q740,"")</f>
        <v>0.894145114942529</v>
      </c>
      <c r="AK740" s="31" t="n">
        <f aca="false">IFERROR(R740/(T740/60*Q740),"")</f>
        <v>0.799081920903955</v>
      </c>
      <c r="AL740" s="26" t="n">
        <v>2</v>
      </c>
      <c r="AM740" s="26" t="n">
        <v>3</v>
      </c>
      <c r="AN740" s="26" t="n">
        <v>1</v>
      </c>
      <c r="AO740" s="26"/>
      <c r="AP740" s="26" t="n">
        <v>4</v>
      </c>
      <c r="AQ740" s="26" t="n">
        <v>3</v>
      </c>
      <c r="AR740" s="26" t="n">
        <v>2</v>
      </c>
      <c r="AS740" s="26" t="n">
        <v>1</v>
      </c>
      <c r="AT740" s="26" t="n">
        <v>5</v>
      </c>
      <c r="AU740" s="26" t="n">
        <v>4</v>
      </c>
      <c r="AV740" s="26" t="n">
        <f aca="false">SUM(AL740:AU740)</f>
        <v>25</v>
      </c>
      <c r="AW740" s="32" t="n">
        <f aca="false">IFERROR(AV740/R740*1000000,"")</f>
        <v>7331.37829912024</v>
      </c>
      <c r="AX740" s="33" t="n">
        <f aca="false">IFERROR((R740-AV740)/R740,"")</f>
        <v>0.99266862170088</v>
      </c>
      <c r="AY740" s="34" t="n">
        <f aca="false">IFERROR(AH740*AJ740*AX740,"")</f>
        <v>0.79322354904982</v>
      </c>
      <c r="AZ740" s="35"/>
    </row>
    <row r="741" customFormat="false" ht="12.75" hidden="false" customHeight="true" outlineLevel="0" collapsed="false">
      <c r="A741" s="24" t="n">
        <v>737</v>
      </c>
      <c r="B741" s="25" t="n">
        <v>46268</v>
      </c>
      <c r="C741" s="25" t="n">
        <v>12</v>
      </c>
      <c r="D741" s="26" t="s">
        <v>79</v>
      </c>
      <c r="E741" s="26" t="s">
        <v>97</v>
      </c>
      <c r="F741" s="26" t="s">
        <v>73</v>
      </c>
      <c r="G741" s="26" t="s">
        <v>12</v>
      </c>
      <c r="H741" s="27" t="n">
        <v>0.354166666666667</v>
      </c>
      <c r="I741" s="27" t="n">
        <v>0.854166666666667</v>
      </c>
      <c r="J741" s="26" t="n">
        <f aca="false">IFERROR((I741-H741)*24*60,"")</f>
        <v>720</v>
      </c>
      <c r="K741" s="26" t="s">
        <v>89</v>
      </c>
      <c r="L741" s="26" t="s">
        <v>102</v>
      </c>
      <c r="M741" s="26" t="s">
        <v>99</v>
      </c>
      <c r="N741" s="26" t="s">
        <v>100</v>
      </c>
      <c r="O741" s="26" t="n">
        <v>1</v>
      </c>
      <c r="P741" s="26" t="n">
        <v>39</v>
      </c>
      <c r="Q741" s="26" t="n">
        <f aca="false">IFERROR(3600/(P741/O741),"")</f>
        <v>92.3076923076923</v>
      </c>
      <c r="R741" s="26" t="n">
        <v>940</v>
      </c>
      <c r="S741" s="26" t="n">
        <v>75</v>
      </c>
      <c r="T741" s="26" t="n">
        <f aca="false">IFERROR(J741-S741,"")</f>
        <v>645</v>
      </c>
      <c r="U741" s="26"/>
      <c r="V741" s="26"/>
      <c r="W741" s="26"/>
      <c r="X741" s="26"/>
      <c r="Y741" s="26"/>
      <c r="Z741" s="26"/>
      <c r="AA741" s="26" t="n">
        <v>17</v>
      </c>
      <c r="AB741" s="26"/>
      <c r="AC741" s="26"/>
      <c r="AD741" s="26"/>
      <c r="AE741" s="26"/>
      <c r="AF741" s="26" t="n">
        <f aca="false">SUM(U741:AE741)</f>
        <v>17</v>
      </c>
      <c r="AG741" s="26" t="n">
        <f aca="false">T741-AF741</f>
        <v>628</v>
      </c>
      <c r="AH741" s="28" t="n">
        <f aca="false">IFERROR(AG741/T741,"")</f>
        <v>0.973643410852713</v>
      </c>
      <c r="AI741" s="29" t="n">
        <f aca="false">IFERROR(R741/AG741*60,"")</f>
        <v>89.8089171974522</v>
      </c>
      <c r="AJ741" s="30" t="n">
        <f aca="false">IFERROR(AI741/Q741,"")</f>
        <v>0.972929936305732</v>
      </c>
      <c r="AK741" s="31" t="n">
        <f aca="false">IFERROR(R741/(T741/60*Q741),"")</f>
        <v>0.947286821705426</v>
      </c>
      <c r="AL741" s="26" t="n">
        <v>1</v>
      </c>
      <c r="AM741" s="26" t="n">
        <v>1</v>
      </c>
      <c r="AN741" s="26" t="n">
        <v>2</v>
      </c>
      <c r="AO741" s="26" t="n">
        <v>1</v>
      </c>
      <c r="AP741" s="26"/>
      <c r="AQ741" s="26" t="n">
        <v>5</v>
      </c>
      <c r="AR741" s="26"/>
      <c r="AS741" s="26"/>
      <c r="AT741" s="26" t="n">
        <v>3</v>
      </c>
      <c r="AU741" s="26" t="n">
        <v>1</v>
      </c>
      <c r="AV741" s="26" t="n">
        <f aca="false">SUM(AL741:AU741)</f>
        <v>14</v>
      </c>
      <c r="AW741" s="32" t="n">
        <f aca="false">IFERROR(AV741/R741*1000000,"")</f>
        <v>14893.6170212766</v>
      </c>
      <c r="AX741" s="33" t="n">
        <f aca="false">IFERROR((R741-AV741)/R741,"")</f>
        <v>0.985106382978723</v>
      </c>
      <c r="AY741" s="34" t="n">
        <f aca="false">IFERROR(AH741*AJ741*AX741,"")</f>
        <v>0.933178294573643</v>
      </c>
      <c r="AZ741" s="35" t="s">
        <v>93</v>
      </c>
    </row>
    <row r="742" customFormat="false" ht="12.75" hidden="false" customHeight="true" outlineLevel="0" collapsed="false">
      <c r="A742" s="24" t="n">
        <v>738</v>
      </c>
      <c r="B742" s="25" t="n">
        <v>46268</v>
      </c>
      <c r="C742" s="25" t="n">
        <v>12</v>
      </c>
      <c r="D742" s="26" t="s">
        <v>87</v>
      </c>
      <c r="E742" s="26" t="s">
        <v>101</v>
      </c>
      <c r="F742" s="26" t="s">
        <v>81</v>
      </c>
      <c r="G742" s="26" t="s">
        <v>13</v>
      </c>
      <c r="H742" s="27" t="n">
        <v>0.354166666666667</v>
      </c>
      <c r="I742" s="27" t="n">
        <v>0.854166666666667</v>
      </c>
      <c r="J742" s="26" t="n">
        <f aca="false">IFERROR((I742-H742)*24*60,"")</f>
        <v>720</v>
      </c>
      <c r="K742" s="26" t="s">
        <v>74</v>
      </c>
      <c r="L742" s="26" t="s">
        <v>106</v>
      </c>
      <c r="M742" s="26" t="s">
        <v>103</v>
      </c>
      <c r="N742" s="26" t="s">
        <v>104</v>
      </c>
      <c r="O742" s="26" t="n">
        <v>8</v>
      </c>
      <c r="P742" s="26" t="n">
        <v>64</v>
      </c>
      <c r="Q742" s="26" t="n">
        <f aca="false">IFERROR(3600/(P742/O742),"")</f>
        <v>450</v>
      </c>
      <c r="R742" s="26" t="n">
        <v>4004</v>
      </c>
      <c r="S742" s="26" t="n">
        <v>49</v>
      </c>
      <c r="T742" s="26" t="n">
        <f aca="false">IFERROR(J742-S742,"")</f>
        <v>671</v>
      </c>
      <c r="U742" s="26"/>
      <c r="V742" s="26"/>
      <c r="W742" s="26" t="n">
        <v>21</v>
      </c>
      <c r="X742" s="26"/>
      <c r="Y742" s="26"/>
      <c r="Z742" s="26" t="n">
        <v>11</v>
      </c>
      <c r="AA742" s="26"/>
      <c r="AB742" s="26"/>
      <c r="AC742" s="26"/>
      <c r="AD742" s="26"/>
      <c r="AE742" s="26"/>
      <c r="AF742" s="26" t="n">
        <f aca="false">SUM(U742:AE742)</f>
        <v>32</v>
      </c>
      <c r="AG742" s="26" t="n">
        <f aca="false">T742-AF742</f>
        <v>639</v>
      </c>
      <c r="AH742" s="28" t="n">
        <f aca="false">IFERROR(AG742/T742,"")</f>
        <v>0.95230998509687</v>
      </c>
      <c r="AI742" s="29" t="n">
        <f aca="false">IFERROR(R742/AG742*60,"")</f>
        <v>375.962441314554</v>
      </c>
      <c r="AJ742" s="30" t="n">
        <f aca="false">IFERROR(AI742/Q742,"")</f>
        <v>0.83547209181012</v>
      </c>
      <c r="AK742" s="31" t="n">
        <f aca="false">IFERROR(R742/(T742/60*Q742),"")</f>
        <v>0.795628415300546</v>
      </c>
      <c r="AL742" s="26" t="n">
        <v>3</v>
      </c>
      <c r="AM742" s="26" t="n">
        <v>3</v>
      </c>
      <c r="AN742" s="26" t="n">
        <v>4</v>
      </c>
      <c r="AO742" s="26" t="n">
        <v>3</v>
      </c>
      <c r="AP742" s="26" t="n">
        <v>5</v>
      </c>
      <c r="AQ742" s="26" t="n">
        <v>5</v>
      </c>
      <c r="AR742" s="26" t="n">
        <v>4</v>
      </c>
      <c r="AS742" s="26" t="n">
        <v>6</v>
      </c>
      <c r="AT742" s="26" t="n">
        <v>2</v>
      </c>
      <c r="AU742" s="26" t="n">
        <v>7</v>
      </c>
      <c r="AV742" s="26" t="n">
        <f aca="false">SUM(AL742:AU742)</f>
        <v>42</v>
      </c>
      <c r="AW742" s="32" t="n">
        <f aca="false">IFERROR(AV742/R742*1000000,"")</f>
        <v>10489.5104895105</v>
      </c>
      <c r="AX742" s="33" t="n">
        <f aca="false">IFERROR((R742-AV742)/R742,"")</f>
        <v>0.98951048951049</v>
      </c>
      <c r="AY742" s="34" t="n">
        <f aca="false">IFERROR(AH742*AJ742*AX742,"")</f>
        <v>0.787282662692499</v>
      </c>
      <c r="AZ742" s="35" t="s">
        <v>78</v>
      </c>
    </row>
    <row r="743" customFormat="false" ht="12.75" hidden="false" customHeight="true" outlineLevel="0" collapsed="false">
      <c r="A743" s="24" t="n">
        <v>739</v>
      </c>
      <c r="B743" s="25" t="n">
        <v>46269</v>
      </c>
      <c r="C743" s="25" t="n">
        <v>12</v>
      </c>
      <c r="D743" s="26" t="s">
        <v>71</v>
      </c>
      <c r="E743" s="26" t="s">
        <v>72</v>
      </c>
      <c r="F743" s="26" t="s">
        <v>73</v>
      </c>
      <c r="G743" s="26" t="s">
        <v>8</v>
      </c>
      <c r="H743" s="27" t="n">
        <v>0.354166666666667</v>
      </c>
      <c r="I743" s="27" t="n">
        <v>0.854166666666667</v>
      </c>
      <c r="J743" s="26" t="n">
        <f aca="false">IFERROR((I743-H743)*24*60,"")</f>
        <v>720</v>
      </c>
      <c r="K743" s="26" t="s">
        <v>74</v>
      </c>
      <c r="L743" s="26" t="s">
        <v>107</v>
      </c>
      <c r="M743" s="26" t="s">
        <v>76</v>
      </c>
      <c r="N743" s="26" t="s">
        <v>77</v>
      </c>
      <c r="O743" s="26" t="n">
        <v>8</v>
      </c>
      <c r="P743" s="26" t="n">
        <v>52</v>
      </c>
      <c r="Q743" s="26" t="n">
        <f aca="false">IFERROR(3600/(P743/O743),"")</f>
        <v>553.846153846154</v>
      </c>
      <c r="R743" s="26" t="n">
        <v>4566</v>
      </c>
      <c r="S743" s="26" t="n">
        <v>40</v>
      </c>
      <c r="T743" s="26" t="n">
        <f aca="false">IFERROR(J743-S743,"")</f>
        <v>680</v>
      </c>
      <c r="U743" s="26" t="n">
        <v>28</v>
      </c>
      <c r="V743" s="26" t="n">
        <v>24</v>
      </c>
      <c r="W743" s="26"/>
      <c r="X743" s="26"/>
      <c r="Y743" s="26" t="n">
        <v>15</v>
      </c>
      <c r="Z743" s="26"/>
      <c r="AA743" s="26"/>
      <c r="AB743" s="26"/>
      <c r="AC743" s="26"/>
      <c r="AD743" s="26"/>
      <c r="AE743" s="26"/>
      <c r="AF743" s="26" t="n">
        <f aca="false">SUM(U743:AE743)</f>
        <v>67</v>
      </c>
      <c r="AG743" s="26" t="n">
        <f aca="false">T743-AF743</f>
        <v>613</v>
      </c>
      <c r="AH743" s="28" t="n">
        <f aca="false">IFERROR(AG743/T743,"")</f>
        <v>0.901470588235294</v>
      </c>
      <c r="AI743" s="29" t="n">
        <f aca="false">IFERROR(R743/AG743*60,"")</f>
        <v>446.916802610114</v>
      </c>
      <c r="AJ743" s="30" t="n">
        <f aca="false">IFERROR(AI743/Q743,"")</f>
        <v>0.806933115823817</v>
      </c>
      <c r="AK743" s="31" t="n">
        <f aca="false">IFERROR(R743/(T743/60*Q743),"")</f>
        <v>0.727426470588235</v>
      </c>
      <c r="AL743" s="26" t="n">
        <v>10</v>
      </c>
      <c r="AM743" s="26" t="n">
        <v>10</v>
      </c>
      <c r="AN743" s="26" t="n">
        <v>4</v>
      </c>
      <c r="AO743" s="26" t="n">
        <v>9</v>
      </c>
      <c r="AP743" s="26" t="n">
        <v>6</v>
      </c>
      <c r="AQ743" s="26" t="n">
        <v>17</v>
      </c>
      <c r="AR743" s="26" t="n">
        <v>9</v>
      </c>
      <c r="AS743" s="26" t="n">
        <v>7</v>
      </c>
      <c r="AT743" s="26" t="n">
        <v>12</v>
      </c>
      <c r="AU743" s="26" t="n">
        <v>7</v>
      </c>
      <c r="AV743" s="26" t="n">
        <f aca="false">SUM(AL743:AU743)</f>
        <v>91</v>
      </c>
      <c r="AW743" s="32" t="n">
        <f aca="false">IFERROR(AV743/R743*1000000,"")</f>
        <v>19929.9167761717</v>
      </c>
      <c r="AX743" s="33" t="n">
        <f aca="false">IFERROR((R743-AV743)/R743,"")</f>
        <v>0.980070083223828</v>
      </c>
      <c r="AY743" s="34" t="n">
        <f aca="false">IFERROR(AH743*AJ743*AX743,"")</f>
        <v>0.712928921568627</v>
      </c>
      <c r="AZ743" s="35" t="s">
        <v>78</v>
      </c>
    </row>
    <row r="744" customFormat="false" ht="12.75" hidden="false" customHeight="true" outlineLevel="0" collapsed="false">
      <c r="A744" s="24" t="n">
        <v>740</v>
      </c>
      <c r="B744" s="25" t="n">
        <v>46269</v>
      </c>
      <c r="C744" s="25" t="n">
        <v>12</v>
      </c>
      <c r="D744" s="26" t="s">
        <v>79</v>
      </c>
      <c r="E744" s="26" t="s">
        <v>80</v>
      </c>
      <c r="F744" s="26" t="s">
        <v>81</v>
      </c>
      <c r="G744" s="26" t="s">
        <v>9</v>
      </c>
      <c r="H744" s="27" t="n">
        <v>0.354166666666667</v>
      </c>
      <c r="I744" s="27" t="n">
        <v>0.854166666666667</v>
      </c>
      <c r="J744" s="26" t="n">
        <f aca="false">IFERROR((I744-H744)*24*60,"")</f>
        <v>720</v>
      </c>
      <c r="K744" s="26" t="s">
        <v>89</v>
      </c>
      <c r="L744" s="26" t="s">
        <v>108</v>
      </c>
      <c r="M744" s="26" t="s">
        <v>84</v>
      </c>
      <c r="N744" s="26" t="s">
        <v>85</v>
      </c>
      <c r="O744" s="26" t="n">
        <v>2</v>
      </c>
      <c r="P744" s="26" t="n">
        <v>35</v>
      </c>
      <c r="Q744" s="26" t="n">
        <f aca="false">IFERROR(3600/(P744/O744),"")</f>
        <v>205.714285714286</v>
      </c>
      <c r="R744" s="26" t="n">
        <v>1578</v>
      </c>
      <c r="S744" s="26" t="n">
        <v>36</v>
      </c>
      <c r="T744" s="26" t="n">
        <f aca="false">IFERROR(J744-S744,"")</f>
        <v>684</v>
      </c>
      <c r="U744" s="26" t="n">
        <v>12</v>
      </c>
      <c r="V744" s="26"/>
      <c r="W744" s="26"/>
      <c r="X744" s="26"/>
      <c r="Y744" s="26"/>
      <c r="Z744" s="26"/>
      <c r="AA744" s="26"/>
      <c r="AB744" s="26"/>
      <c r="AC744" s="26"/>
      <c r="AD744" s="26" t="n">
        <v>4</v>
      </c>
      <c r="AE744" s="26"/>
      <c r="AF744" s="26" t="n">
        <f aca="false">SUM(U744:AE744)</f>
        <v>16</v>
      </c>
      <c r="AG744" s="26" t="n">
        <f aca="false">T744-AF744</f>
        <v>668</v>
      </c>
      <c r="AH744" s="28" t="n">
        <f aca="false">IFERROR(AG744/T744,"")</f>
        <v>0.976608187134503</v>
      </c>
      <c r="AI744" s="29" t="n">
        <f aca="false">IFERROR(R744/AG744*60,"")</f>
        <v>141.736526946108</v>
      </c>
      <c r="AJ744" s="30" t="n">
        <f aca="false">IFERROR(AI744/Q744,"")</f>
        <v>0.688997005988024</v>
      </c>
      <c r="AK744" s="31" t="n">
        <f aca="false">IFERROR(R744/(T744/60*Q744),"")</f>
        <v>0.672880116959064</v>
      </c>
      <c r="AL744" s="26" t="n">
        <v>2</v>
      </c>
      <c r="AM744" s="26" t="n">
        <v>2</v>
      </c>
      <c r="AN744" s="26" t="n">
        <v>2</v>
      </c>
      <c r="AO744" s="26" t="n">
        <v>5</v>
      </c>
      <c r="AP744" s="26" t="n">
        <v>2</v>
      </c>
      <c r="AQ744" s="26"/>
      <c r="AR744" s="26" t="n">
        <v>2</v>
      </c>
      <c r="AS744" s="26" t="n">
        <v>3</v>
      </c>
      <c r="AT744" s="26" t="n">
        <v>7</v>
      </c>
      <c r="AU744" s="26" t="n">
        <v>3</v>
      </c>
      <c r="AV744" s="26" t="n">
        <f aca="false">SUM(AL744:AU744)</f>
        <v>28</v>
      </c>
      <c r="AW744" s="32" t="n">
        <f aca="false">IFERROR(AV744/R744*1000000,"")</f>
        <v>17743.979721166</v>
      </c>
      <c r="AX744" s="33" t="n">
        <f aca="false">IFERROR((R744-AV744)/R744,"")</f>
        <v>0.982256020278834</v>
      </c>
      <c r="AY744" s="34" t="n">
        <f aca="false">IFERROR(AH744*AJ744*AX744,"")</f>
        <v>0.660940545808967</v>
      </c>
      <c r="AZ744" s="35"/>
    </row>
    <row r="745" customFormat="false" ht="12.75" hidden="false" customHeight="true" outlineLevel="0" collapsed="false">
      <c r="A745" s="24" t="n">
        <v>741</v>
      </c>
      <c r="B745" s="25" t="n">
        <v>46269</v>
      </c>
      <c r="C745" s="25" t="n">
        <v>12</v>
      </c>
      <c r="D745" s="26" t="s">
        <v>87</v>
      </c>
      <c r="E745" s="26" t="s">
        <v>88</v>
      </c>
      <c r="F745" s="26" t="s">
        <v>73</v>
      </c>
      <c r="G745" s="26" t="s">
        <v>10</v>
      </c>
      <c r="H745" s="27" t="n">
        <v>0.354166666666667</v>
      </c>
      <c r="I745" s="27" t="n">
        <v>0.854166666666667</v>
      </c>
      <c r="J745" s="26" t="n">
        <f aca="false">IFERROR((I745-H745)*24*60,"")</f>
        <v>720</v>
      </c>
      <c r="K745" s="26" t="s">
        <v>82</v>
      </c>
      <c r="L745" s="26" t="s">
        <v>102</v>
      </c>
      <c r="M745" s="26" t="s">
        <v>91</v>
      </c>
      <c r="N745" s="26" t="s">
        <v>92</v>
      </c>
      <c r="O745" s="26" t="n">
        <v>2</v>
      </c>
      <c r="P745" s="26" t="n">
        <v>71</v>
      </c>
      <c r="Q745" s="26" t="n">
        <f aca="false">IFERROR(3600/(P745/O745),"")</f>
        <v>101.408450704225</v>
      </c>
      <c r="R745" s="26" t="n">
        <v>770</v>
      </c>
      <c r="S745" s="26" t="n">
        <v>45</v>
      </c>
      <c r="T745" s="26" t="n">
        <f aca="false">IFERROR(J745-S745,"")</f>
        <v>675</v>
      </c>
      <c r="U745" s="26"/>
      <c r="V745" s="26"/>
      <c r="W745" s="26"/>
      <c r="X745" s="26"/>
      <c r="Y745" s="26"/>
      <c r="Z745" s="26"/>
      <c r="AA745" s="26"/>
      <c r="AB745" s="26"/>
      <c r="AC745" s="26" t="n">
        <v>12</v>
      </c>
      <c r="AD745" s="26"/>
      <c r="AE745" s="26"/>
      <c r="AF745" s="26" t="n">
        <f aca="false">SUM(U745:AE745)</f>
        <v>12</v>
      </c>
      <c r="AG745" s="26" t="n">
        <f aca="false">T745-AF745</f>
        <v>663</v>
      </c>
      <c r="AH745" s="28" t="n">
        <f aca="false">IFERROR(AG745/T745,"")</f>
        <v>0.982222222222222</v>
      </c>
      <c r="AI745" s="29" t="n">
        <f aca="false">IFERROR(R745/AG745*60,"")</f>
        <v>69.683257918552</v>
      </c>
      <c r="AJ745" s="30" t="n">
        <f aca="false">IFERROR(AI745/Q745,"")</f>
        <v>0.687154348919055</v>
      </c>
      <c r="AK745" s="31" t="n">
        <f aca="false">IFERROR(R745/(T745/60*Q745),"")</f>
        <v>0.674938271604938</v>
      </c>
      <c r="AL745" s="26" t="n">
        <v>1</v>
      </c>
      <c r="AM745" s="26"/>
      <c r="AN745" s="26" t="n">
        <v>3</v>
      </c>
      <c r="AO745" s="26"/>
      <c r="AP745" s="26" t="n">
        <v>5</v>
      </c>
      <c r="AQ745" s="26"/>
      <c r="AR745" s="26" t="n">
        <v>3</v>
      </c>
      <c r="AS745" s="26" t="n">
        <v>1</v>
      </c>
      <c r="AT745" s="26"/>
      <c r="AU745" s="26"/>
      <c r="AV745" s="26" t="n">
        <f aca="false">SUM(AL745:AU745)</f>
        <v>13</v>
      </c>
      <c r="AW745" s="32" t="n">
        <f aca="false">IFERROR(AV745/R745*1000000,"")</f>
        <v>16883.1168831169</v>
      </c>
      <c r="AX745" s="33" t="n">
        <f aca="false">IFERROR((R745-AV745)/R745,"")</f>
        <v>0.983116883116883</v>
      </c>
      <c r="AY745" s="34" t="n">
        <f aca="false">IFERROR(AH745*AJ745*AX745,"")</f>
        <v>0.663543209876543</v>
      </c>
      <c r="AZ745" s="35" t="s">
        <v>86</v>
      </c>
    </row>
    <row r="746" customFormat="false" ht="12.75" hidden="false" customHeight="true" outlineLevel="0" collapsed="false">
      <c r="A746" s="24" t="n">
        <v>742</v>
      </c>
      <c r="B746" s="25" t="n">
        <v>46270</v>
      </c>
      <c r="C746" s="25" t="n">
        <v>12</v>
      </c>
      <c r="D746" s="26" t="s">
        <v>71</v>
      </c>
      <c r="E746" s="26" t="s">
        <v>94</v>
      </c>
      <c r="F746" s="26" t="s">
        <v>81</v>
      </c>
      <c r="G746" s="26" t="s">
        <v>11</v>
      </c>
      <c r="H746" s="27" t="n">
        <v>0.354166666666667</v>
      </c>
      <c r="I746" s="27" t="n">
        <v>0.854166666666667</v>
      </c>
      <c r="J746" s="26" t="n">
        <f aca="false">IFERROR((I746-H746)*24*60,"")</f>
        <v>720</v>
      </c>
      <c r="K746" s="26" t="s">
        <v>89</v>
      </c>
      <c r="L746" s="26" t="s">
        <v>107</v>
      </c>
      <c r="M746" s="26" t="s">
        <v>95</v>
      </c>
      <c r="N746" s="26" t="s">
        <v>96</v>
      </c>
      <c r="O746" s="26" t="n">
        <v>8</v>
      </c>
      <c r="P746" s="26" t="n">
        <v>62</v>
      </c>
      <c r="Q746" s="26" t="n">
        <f aca="false">IFERROR(3600/(P746/O746),"")</f>
        <v>464.516129032258</v>
      </c>
      <c r="R746" s="26" t="n">
        <v>4724</v>
      </c>
      <c r="S746" s="26" t="n">
        <v>73</v>
      </c>
      <c r="T746" s="26" t="n">
        <f aca="false">IFERROR(J746-S746,"")</f>
        <v>647</v>
      </c>
      <c r="U746" s="26"/>
      <c r="V746" s="26"/>
      <c r="W746" s="26"/>
      <c r="X746" s="26"/>
      <c r="Y746" s="26"/>
      <c r="Z746" s="26"/>
      <c r="AA746" s="26"/>
      <c r="AB746" s="26" t="n">
        <v>6</v>
      </c>
      <c r="AC746" s="26"/>
      <c r="AD746" s="26"/>
      <c r="AE746" s="26" t="n">
        <v>12</v>
      </c>
      <c r="AF746" s="26" t="n">
        <f aca="false">SUM(U746:AE746)</f>
        <v>18</v>
      </c>
      <c r="AG746" s="26" t="n">
        <f aca="false">T746-AF746</f>
        <v>629</v>
      </c>
      <c r="AH746" s="28" t="n">
        <f aca="false">IFERROR(AG746/T746,"")</f>
        <v>0.972179289026275</v>
      </c>
      <c r="AI746" s="29" t="n">
        <f aca="false">IFERROR(R746/AG746*60,"")</f>
        <v>450.620031796502</v>
      </c>
      <c r="AJ746" s="30" t="n">
        <f aca="false">IFERROR(AI746/Q746,"")</f>
        <v>0.970084790673026</v>
      </c>
      <c r="AK746" s="31" t="n">
        <f aca="false">IFERROR(R746/(T746/60*Q746),"")</f>
        <v>0.943096342091705</v>
      </c>
      <c r="AL746" s="26" t="n">
        <v>2</v>
      </c>
      <c r="AM746" s="26" t="n">
        <v>3</v>
      </c>
      <c r="AN746" s="26" t="n">
        <v>3</v>
      </c>
      <c r="AO746" s="26" t="n">
        <v>3</v>
      </c>
      <c r="AP746" s="26" t="n">
        <v>8</v>
      </c>
      <c r="AQ746" s="26" t="n">
        <v>3</v>
      </c>
      <c r="AR746" s="26" t="n">
        <v>8</v>
      </c>
      <c r="AS746" s="26" t="n">
        <v>3</v>
      </c>
      <c r="AT746" s="26" t="n">
        <v>3</v>
      </c>
      <c r="AU746" s="26" t="n">
        <v>9</v>
      </c>
      <c r="AV746" s="26" t="n">
        <f aca="false">SUM(AL746:AU746)</f>
        <v>45</v>
      </c>
      <c r="AW746" s="32" t="n">
        <f aca="false">IFERROR(AV746/R746*1000000,"")</f>
        <v>9525.82557154953</v>
      </c>
      <c r="AX746" s="33" t="n">
        <f aca="false">IFERROR((R746-AV746)/R746,"")</f>
        <v>0.99047417442845</v>
      </c>
      <c r="AY746" s="34" t="n">
        <f aca="false">IFERROR(AH746*AJ746*AX746,"")</f>
        <v>0.934112570839773</v>
      </c>
      <c r="AZ746" s="35" t="s">
        <v>78</v>
      </c>
    </row>
    <row r="747" customFormat="false" ht="12.75" hidden="false" customHeight="true" outlineLevel="0" collapsed="false">
      <c r="A747" s="24" t="n">
        <v>743</v>
      </c>
      <c r="B747" s="25" t="n">
        <v>46270</v>
      </c>
      <c r="C747" s="25" t="n">
        <v>12</v>
      </c>
      <c r="D747" s="26" t="s">
        <v>79</v>
      </c>
      <c r="E747" s="26" t="s">
        <v>97</v>
      </c>
      <c r="F747" s="26" t="s">
        <v>73</v>
      </c>
      <c r="G747" s="26" t="s">
        <v>12</v>
      </c>
      <c r="H747" s="27" t="n">
        <v>0.354166666666667</v>
      </c>
      <c r="I747" s="27" t="n">
        <v>0.854166666666667</v>
      </c>
      <c r="J747" s="26" t="n">
        <f aca="false">IFERROR((I747-H747)*24*60,"")</f>
        <v>720</v>
      </c>
      <c r="K747" s="26" t="s">
        <v>89</v>
      </c>
      <c r="L747" s="26" t="s">
        <v>108</v>
      </c>
      <c r="M747" s="26" t="s">
        <v>99</v>
      </c>
      <c r="N747" s="26" t="s">
        <v>100</v>
      </c>
      <c r="O747" s="26" t="n">
        <v>2</v>
      </c>
      <c r="P747" s="26" t="n">
        <v>32</v>
      </c>
      <c r="Q747" s="26" t="n">
        <f aca="false">IFERROR(3600/(P747/O747),"")</f>
        <v>225</v>
      </c>
      <c r="R747" s="26" t="n">
        <v>1945</v>
      </c>
      <c r="S747" s="26" t="n">
        <v>72</v>
      </c>
      <c r="T747" s="26" t="n">
        <f aca="false">IFERROR(J747-S747,"")</f>
        <v>648</v>
      </c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 t="n">
        <v>18</v>
      </c>
      <c r="AF747" s="26" t="n">
        <f aca="false">SUM(U747:AE747)</f>
        <v>18</v>
      </c>
      <c r="AG747" s="26" t="n">
        <f aca="false">T747-AF747</f>
        <v>630</v>
      </c>
      <c r="AH747" s="28" t="n">
        <f aca="false">IFERROR(AG747/T747,"")</f>
        <v>0.972222222222222</v>
      </c>
      <c r="AI747" s="29" t="n">
        <f aca="false">IFERROR(R747/AG747*60,"")</f>
        <v>185.238095238095</v>
      </c>
      <c r="AJ747" s="30" t="n">
        <f aca="false">IFERROR(AI747/Q747,"")</f>
        <v>0.823280423280423</v>
      </c>
      <c r="AK747" s="31" t="n">
        <f aca="false">IFERROR(R747/(T747/60*Q747),"")</f>
        <v>0.800411522633745</v>
      </c>
      <c r="AL747" s="26" t="n">
        <v>3</v>
      </c>
      <c r="AM747" s="26" t="n">
        <v>1</v>
      </c>
      <c r="AN747" s="26" t="n">
        <v>3</v>
      </c>
      <c r="AO747" s="26" t="n">
        <v>5</v>
      </c>
      <c r="AP747" s="26" t="n">
        <v>4</v>
      </c>
      <c r="AQ747" s="26" t="n">
        <v>5</v>
      </c>
      <c r="AR747" s="26" t="n">
        <v>5</v>
      </c>
      <c r="AS747" s="26" t="n">
        <v>6</v>
      </c>
      <c r="AT747" s="26" t="n">
        <v>5</v>
      </c>
      <c r="AU747" s="26" t="n">
        <v>1</v>
      </c>
      <c r="AV747" s="26" t="n">
        <f aca="false">SUM(AL747:AU747)</f>
        <v>38</v>
      </c>
      <c r="AW747" s="32" t="n">
        <f aca="false">IFERROR(AV747/R747*1000000,"")</f>
        <v>19537.2750642674</v>
      </c>
      <c r="AX747" s="33" t="n">
        <f aca="false">IFERROR((R747-AV747)/R747,"")</f>
        <v>0.980462724935733</v>
      </c>
      <c r="AY747" s="34" t="n">
        <f aca="false">IFERROR(AH747*AJ747*AX747,"")</f>
        <v>0.78477366255144</v>
      </c>
      <c r="AZ747" s="35" t="s">
        <v>78</v>
      </c>
    </row>
    <row r="748" customFormat="false" ht="12.75" hidden="false" customHeight="true" outlineLevel="0" collapsed="false">
      <c r="A748" s="24" t="n">
        <v>744</v>
      </c>
      <c r="B748" s="25" t="n">
        <v>46270</v>
      </c>
      <c r="C748" s="25" t="n">
        <v>12</v>
      </c>
      <c r="D748" s="26" t="s">
        <v>87</v>
      </c>
      <c r="E748" s="26" t="s">
        <v>101</v>
      </c>
      <c r="F748" s="26" t="s">
        <v>81</v>
      </c>
      <c r="G748" s="26" t="s">
        <v>13</v>
      </c>
      <c r="H748" s="27" t="n">
        <v>0.354166666666667</v>
      </c>
      <c r="I748" s="27" t="n">
        <v>0.854166666666667</v>
      </c>
      <c r="J748" s="26" t="n">
        <f aca="false">IFERROR((I748-H748)*24*60,"")</f>
        <v>720</v>
      </c>
      <c r="K748" s="26" t="s">
        <v>105</v>
      </c>
      <c r="L748" s="26" t="s">
        <v>83</v>
      </c>
      <c r="M748" s="26" t="s">
        <v>103</v>
      </c>
      <c r="N748" s="26" t="s">
        <v>104</v>
      </c>
      <c r="O748" s="26" t="n">
        <v>4</v>
      </c>
      <c r="P748" s="26" t="n">
        <v>28</v>
      </c>
      <c r="Q748" s="26" t="n">
        <f aca="false">IFERROR(3600/(P748/O748),"")</f>
        <v>514.285714285714</v>
      </c>
      <c r="R748" s="26" t="n">
        <v>5419</v>
      </c>
      <c r="S748" s="26" t="n">
        <v>33</v>
      </c>
      <c r="T748" s="26" t="n">
        <f aca="false">IFERROR(J748-S748,"")</f>
        <v>687</v>
      </c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 t="n">
        <v>15</v>
      </c>
      <c r="AF748" s="26" t="n">
        <f aca="false">SUM(U748:AE748)</f>
        <v>15</v>
      </c>
      <c r="AG748" s="26" t="n">
        <f aca="false">T748-AF748</f>
        <v>672</v>
      </c>
      <c r="AH748" s="28" t="n">
        <f aca="false">IFERROR(AG748/T748,"")</f>
        <v>0.978165938864629</v>
      </c>
      <c r="AI748" s="29" t="n">
        <f aca="false">IFERROR(R748/AG748*60,"")</f>
        <v>483.839285714286</v>
      </c>
      <c r="AJ748" s="30" t="n">
        <f aca="false">IFERROR(AI748/Q748,"")</f>
        <v>0.940798611111111</v>
      </c>
      <c r="AK748" s="31" t="n">
        <f aca="false">IFERROR(R748/(T748/60*Q748),"")</f>
        <v>0.920257156720039</v>
      </c>
      <c r="AL748" s="26" t="n">
        <v>12</v>
      </c>
      <c r="AM748" s="26" t="n">
        <v>10</v>
      </c>
      <c r="AN748" s="26" t="n">
        <v>11</v>
      </c>
      <c r="AO748" s="26" t="n">
        <v>10</v>
      </c>
      <c r="AP748" s="26" t="n">
        <v>12</v>
      </c>
      <c r="AQ748" s="26" t="n">
        <v>13</v>
      </c>
      <c r="AR748" s="26" t="n">
        <v>10</v>
      </c>
      <c r="AS748" s="26" t="n">
        <v>8</v>
      </c>
      <c r="AT748" s="26" t="n">
        <v>8</v>
      </c>
      <c r="AU748" s="26" t="n">
        <v>10</v>
      </c>
      <c r="AV748" s="26" t="n">
        <f aca="false">SUM(AL748:AU748)</f>
        <v>104</v>
      </c>
      <c r="AW748" s="32" t="n">
        <f aca="false">IFERROR(AV748/R748*1000000,"")</f>
        <v>19191.7327920281</v>
      </c>
      <c r="AX748" s="33" t="n">
        <f aca="false">IFERROR((R748-AV748)/R748,"")</f>
        <v>0.980808267207972</v>
      </c>
      <c r="AY748" s="34" t="n">
        <f aca="false">IFERROR(AH748*AJ748*AX748,"")</f>
        <v>0.902595827268316</v>
      </c>
      <c r="AZ748" s="35" t="s">
        <v>93</v>
      </c>
    </row>
    <row r="749" customFormat="false" ht="12.75" hidden="false" customHeight="true" outlineLevel="0" collapsed="false">
      <c r="A749" s="24" t="n">
        <v>745</v>
      </c>
      <c r="B749" s="25" t="n">
        <v>46271</v>
      </c>
      <c r="C749" s="25" t="n">
        <v>12</v>
      </c>
      <c r="D749" s="26" t="s">
        <v>71</v>
      </c>
      <c r="E749" s="26" t="s">
        <v>72</v>
      </c>
      <c r="F749" s="26" t="s">
        <v>73</v>
      </c>
      <c r="G749" s="26" t="s">
        <v>8</v>
      </c>
      <c r="H749" s="27" t="n">
        <v>0.354166666666667</v>
      </c>
      <c r="I749" s="27" t="n">
        <v>0.854166666666667</v>
      </c>
      <c r="J749" s="26" t="n">
        <f aca="false">IFERROR((I749-H749)*24*60,"")</f>
        <v>720</v>
      </c>
      <c r="K749" s="26" t="s">
        <v>89</v>
      </c>
      <c r="L749" s="26" t="s">
        <v>107</v>
      </c>
      <c r="M749" s="26" t="s">
        <v>76</v>
      </c>
      <c r="N749" s="26" t="s">
        <v>77</v>
      </c>
      <c r="O749" s="26" t="n">
        <v>1</v>
      </c>
      <c r="P749" s="26" t="n">
        <v>31</v>
      </c>
      <c r="Q749" s="26" t="n">
        <f aca="false">IFERROR(3600/(P749/O749),"")</f>
        <v>116.129032258065</v>
      </c>
      <c r="R749" s="26" t="n">
        <v>1118</v>
      </c>
      <c r="S749" s="26" t="n">
        <v>69</v>
      </c>
      <c r="T749" s="26" t="n">
        <f aca="false">IFERROR(J749-S749,"")</f>
        <v>651</v>
      </c>
      <c r="U749" s="26"/>
      <c r="V749" s="26"/>
      <c r="W749" s="26"/>
      <c r="X749" s="26"/>
      <c r="Y749" s="26"/>
      <c r="Z749" s="26"/>
      <c r="AA749" s="26"/>
      <c r="AB749" s="26"/>
      <c r="AC749" s="26" t="n">
        <v>13</v>
      </c>
      <c r="AD749" s="26"/>
      <c r="AE749" s="26"/>
      <c r="AF749" s="26" t="n">
        <f aca="false">SUM(U749:AE749)</f>
        <v>13</v>
      </c>
      <c r="AG749" s="26" t="n">
        <f aca="false">T749-AF749</f>
        <v>638</v>
      </c>
      <c r="AH749" s="28" t="n">
        <f aca="false">IFERROR(AG749/T749,"")</f>
        <v>0.980030721966206</v>
      </c>
      <c r="AI749" s="29" t="n">
        <f aca="false">IFERROR(R749/AG749*60,"")</f>
        <v>105.141065830721</v>
      </c>
      <c r="AJ749" s="30" t="n">
        <f aca="false">IFERROR(AI749/Q749,"")</f>
        <v>0.905381400208987</v>
      </c>
      <c r="AK749" s="31" t="n">
        <f aca="false">IFERROR(R749/(T749/60*Q749),"")</f>
        <v>0.887301587301587</v>
      </c>
      <c r="AL749" s="26" t="n">
        <v>4</v>
      </c>
      <c r="AM749" s="26" t="n">
        <v>3</v>
      </c>
      <c r="AN749" s="26" t="n">
        <v>2</v>
      </c>
      <c r="AO749" s="26" t="n">
        <v>2</v>
      </c>
      <c r="AP749" s="26" t="n">
        <v>2</v>
      </c>
      <c r="AQ749" s="26" t="n">
        <v>2</v>
      </c>
      <c r="AR749" s="26" t="n">
        <v>2</v>
      </c>
      <c r="AS749" s="26" t="n">
        <v>3</v>
      </c>
      <c r="AT749" s="26" t="n">
        <v>1</v>
      </c>
      <c r="AU749" s="26" t="n">
        <v>2</v>
      </c>
      <c r="AV749" s="26" t="n">
        <f aca="false">SUM(AL749:AU749)</f>
        <v>23</v>
      </c>
      <c r="AW749" s="32" t="n">
        <f aca="false">IFERROR(AV749/R749*1000000,"")</f>
        <v>20572.4508050089</v>
      </c>
      <c r="AX749" s="33" t="n">
        <f aca="false">IFERROR((R749-AV749)/R749,"")</f>
        <v>0.979427549194991</v>
      </c>
      <c r="AY749" s="34" t="n">
        <f aca="false">IFERROR(AH749*AJ749*AX749,"")</f>
        <v>0.869047619047619</v>
      </c>
      <c r="AZ749" s="35" t="s">
        <v>93</v>
      </c>
    </row>
    <row r="750" customFormat="false" ht="12.75" hidden="false" customHeight="true" outlineLevel="0" collapsed="false">
      <c r="A750" s="24" t="n">
        <v>746</v>
      </c>
      <c r="B750" s="25" t="n">
        <v>46271</v>
      </c>
      <c r="C750" s="25" t="n">
        <v>12</v>
      </c>
      <c r="D750" s="26" t="s">
        <v>79</v>
      </c>
      <c r="E750" s="26" t="s">
        <v>80</v>
      </c>
      <c r="F750" s="26" t="s">
        <v>81</v>
      </c>
      <c r="G750" s="26" t="s">
        <v>9</v>
      </c>
      <c r="H750" s="27" t="n">
        <v>0.354166666666667</v>
      </c>
      <c r="I750" s="27" t="n">
        <v>0.854166666666667</v>
      </c>
      <c r="J750" s="26" t="n">
        <f aca="false">IFERROR((I750-H750)*24*60,"")</f>
        <v>720</v>
      </c>
      <c r="K750" s="26" t="s">
        <v>74</v>
      </c>
      <c r="L750" s="26" t="s">
        <v>98</v>
      </c>
      <c r="M750" s="26" t="s">
        <v>84</v>
      </c>
      <c r="N750" s="26" t="s">
        <v>85</v>
      </c>
      <c r="O750" s="26" t="n">
        <v>2</v>
      </c>
      <c r="P750" s="26" t="n">
        <v>26</v>
      </c>
      <c r="Q750" s="26" t="n">
        <f aca="false">IFERROR(3600/(P750/O750),"")</f>
        <v>276.923076923077</v>
      </c>
      <c r="R750" s="26" t="n">
        <v>2335</v>
      </c>
      <c r="S750" s="26" t="n">
        <v>58</v>
      </c>
      <c r="T750" s="26" t="n">
        <f aca="false">IFERROR(J750-S750,"")</f>
        <v>662</v>
      </c>
      <c r="U750" s="26"/>
      <c r="V750" s="26"/>
      <c r="W750" s="26"/>
      <c r="X750" s="26"/>
      <c r="Y750" s="26"/>
      <c r="Z750" s="26"/>
      <c r="AA750" s="26"/>
      <c r="AB750" s="26" t="n">
        <v>7</v>
      </c>
      <c r="AC750" s="26"/>
      <c r="AD750" s="26"/>
      <c r="AE750" s="26"/>
      <c r="AF750" s="26" t="n">
        <f aca="false">SUM(U750:AE750)</f>
        <v>7</v>
      </c>
      <c r="AG750" s="26" t="n">
        <f aca="false">T750-AF750</f>
        <v>655</v>
      </c>
      <c r="AH750" s="28" t="n">
        <f aca="false">IFERROR(AG750/T750,"")</f>
        <v>0.989425981873112</v>
      </c>
      <c r="AI750" s="29" t="n">
        <f aca="false">IFERROR(R750/AG750*60,"")</f>
        <v>213.893129770992</v>
      </c>
      <c r="AJ750" s="30" t="n">
        <f aca="false">IFERROR(AI750/Q750,"")</f>
        <v>0.772391857506361</v>
      </c>
      <c r="AK750" s="31" t="n">
        <f aca="false">IFERROR(R750/(T750/60*Q750),"")</f>
        <v>0.764224572004028</v>
      </c>
      <c r="AL750" s="26" t="n">
        <v>2</v>
      </c>
      <c r="AM750" s="26" t="n">
        <v>2</v>
      </c>
      <c r="AN750" s="26" t="n">
        <v>2</v>
      </c>
      <c r="AO750" s="26" t="n">
        <v>2</v>
      </c>
      <c r="AP750" s="26"/>
      <c r="AQ750" s="26" t="n">
        <v>3</v>
      </c>
      <c r="AR750" s="26" t="n">
        <v>7</v>
      </c>
      <c r="AS750" s="26"/>
      <c r="AT750" s="26" t="n">
        <v>1</v>
      </c>
      <c r="AU750" s="26"/>
      <c r="AV750" s="26" t="n">
        <f aca="false">SUM(AL750:AU750)</f>
        <v>19</v>
      </c>
      <c r="AW750" s="32" t="n">
        <f aca="false">IFERROR(AV750/R750*1000000,"")</f>
        <v>8137.04496788009</v>
      </c>
      <c r="AX750" s="33" t="n">
        <f aca="false">IFERROR((R750-AV750)/R750,"")</f>
        <v>0.99186295503212</v>
      </c>
      <c r="AY750" s="34" t="n">
        <f aca="false">IFERROR(AH750*AJ750*AX750,"")</f>
        <v>0.758006042296073</v>
      </c>
      <c r="AZ750" s="35"/>
    </row>
    <row r="751" customFormat="false" ht="12.75" hidden="false" customHeight="true" outlineLevel="0" collapsed="false">
      <c r="A751" s="24" t="n">
        <v>747</v>
      </c>
      <c r="B751" s="25" t="n">
        <v>46271</v>
      </c>
      <c r="C751" s="25" t="n">
        <v>12</v>
      </c>
      <c r="D751" s="26" t="s">
        <v>87</v>
      </c>
      <c r="E751" s="26" t="s">
        <v>88</v>
      </c>
      <c r="F751" s="26" t="s">
        <v>73</v>
      </c>
      <c r="G751" s="26" t="s">
        <v>10</v>
      </c>
      <c r="H751" s="27" t="n">
        <v>0.354166666666667</v>
      </c>
      <c r="I751" s="27" t="n">
        <v>0.854166666666667</v>
      </c>
      <c r="J751" s="26" t="n">
        <f aca="false">IFERROR((I751-H751)*24*60,"")</f>
        <v>720</v>
      </c>
      <c r="K751" s="26" t="s">
        <v>74</v>
      </c>
      <c r="L751" s="26" t="s">
        <v>106</v>
      </c>
      <c r="M751" s="26" t="s">
        <v>91</v>
      </c>
      <c r="N751" s="26" t="s">
        <v>92</v>
      </c>
      <c r="O751" s="26" t="n">
        <v>4</v>
      </c>
      <c r="P751" s="26" t="n">
        <v>33</v>
      </c>
      <c r="Q751" s="26" t="n">
        <f aca="false">IFERROR(3600/(P751/O751),"")</f>
        <v>436.363636363636</v>
      </c>
      <c r="R751" s="26" t="n">
        <v>3860</v>
      </c>
      <c r="S751" s="26" t="n">
        <v>50</v>
      </c>
      <c r="T751" s="26" t="n">
        <f aca="false">IFERROR(J751-S751,"")</f>
        <v>670</v>
      </c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 t="n">
        <v>4</v>
      </c>
      <c r="AF751" s="26" t="n">
        <f aca="false">SUM(U751:AE751)</f>
        <v>4</v>
      </c>
      <c r="AG751" s="26" t="n">
        <f aca="false">T751-AF751</f>
        <v>666</v>
      </c>
      <c r="AH751" s="28" t="n">
        <f aca="false">IFERROR(AG751/T751,"")</f>
        <v>0.994029850746269</v>
      </c>
      <c r="AI751" s="29" t="n">
        <f aca="false">IFERROR(R751/AG751*60,"")</f>
        <v>347.747747747748</v>
      </c>
      <c r="AJ751" s="30" t="n">
        <f aca="false">IFERROR(AI751/Q751,"")</f>
        <v>0.796921921921922</v>
      </c>
      <c r="AK751" s="31" t="n">
        <f aca="false">IFERROR(R751/(T751/60*Q751),"")</f>
        <v>0.792164179104478</v>
      </c>
      <c r="AL751" s="26" t="n">
        <v>5</v>
      </c>
      <c r="AM751" s="26" t="n">
        <v>5</v>
      </c>
      <c r="AN751" s="26" t="n">
        <v>3</v>
      </c>
      <c r="AO751" s="26" t="n">
        <v>1</v>
      </c>
      <c r="AP751" s="26"/>
      <c r="AQ751" s="26" t="n">
        <v>3</v>
      </c>
      <c r="AR751" s="26" t="n">
        <v>3</v>
      </c>
      <c r="AS751" s="26" t="n">
        <v>5</v>
      </c>
      <c r="AT751" s="26" t="n">
        <v>2</v>
      </c>
      <c r="AU751" s="26" t="n">
        <v>2</v>
      </c>
      <c r="AV751" s="26" t="n">
        <f aca="false">SUM(AL751:AU751)</f>
        <v>29</v>
      </c>
      <c r="AW751" s="32" t="n">
        <f aca="false">IFERROR(AV751/R751*1000000,"")</f>
        <v>7512.95336787565</v>
      </c>
      <c r="AX751" s="33" t="n">
        <f aca="false">IFERROR((R751-AV751)/R751,"")</f>
        <v>0.992487046632124</v>
      </c>
      <c r="AY751" s="34" t="n">
        <f aca="false">IFERROR(AH751*AJ751*AX751,"")</f>
        <v>0.786212686567164</v>
      </c>
      <c r="AZ751" s="35" t="s">
        <v>86</v>
      </c>
    </row>
    <row r="752" customFormat="false" ht="12.75" hidden="false" customHeight="true" outlineLevel="0" collapsed="false">
      <c r="A752" s="24" t="n">
        <v>748</v>
      </c>
      <c r="B752" s="25" t="n">
        <v>46272</v>
      </c>
      <c r="C752" s="25" t="n">
        <v>12</v>
      </c>
      <c r="D752" s="26" t="s">
        <v>71</v>
      </c>
      <c r="E752" s="26" t="s">
        <v>94</v>
      </c>
      <c r="F752" s="26" t="s">
        <v>81</v>
      </c>
      <c r="G752" s="26" t="s">
        <v>11</v>
      </c>
      <c r="H752" s="27" t="n">
        <v>0.354166666666667</v>
      </c>
      <c r="I752" s="27" t="n">
        <v>0.854166666666667</v>
      </c>
      <c r="J752" s="26" t="n">
        <f aca="false">IFERROR((I752-H752)*24*60,"")</f>
        <v>720</v>
      </c>
      <c r="K752" s="26" t="s">
        <v>74</v>
      </c>
      <c r="L752" s="26" t="s">
        <v>90</v>
      </c>
      <c r="M752" s="26" t="s">
        <v>95</v>
      </c>
      <c r="N752" s="26" t="s">
        <v>96</v>
      </c>
      <c r="O752" s="26" t="n">
        <v>2</v>
      </c>
      <c r="P752" s="26" t="n">
        <v>25</v>
      </c>
      <c r="Q752" s="26" t="n">
        <f aca="false">IFERROR(3600/(P752/O752),"")</f>
        <v>288</v>
      </c>
      <c r="R752" s="26" t="n">
        <v>2738</v>
      </c>
      <c r="S752" s="26" t="n">
        <v>66</v>
      </c>
      <c r="T752" s="26" t="n">
        <f aca="false">IFERROR(J752-S752,"")</f>
        <v>654</v>
      </c>
      <c r="U752" s="26"/>
      <c r="V752" s="26"/>
      <c r="W752" s="26"/>
      <c r="X752" s="26"/>
      <c r="Y752" s="26"/>
      <c r="Z752" s="26"/>
      <c r="AA752" s="26"/>
      <c r="AB752" s="26"/>
      <c r="AC752" s="26" t="n">
        <v>11</v>
      </c>
      <c r="AD752" s="26" t="n">
        <v>7</v>
      </c>
      <c r="AE752" s="26"/>
      <c r="AF752" s="26" t="n">
        <f aca="false">SUM(U752:AE752)</f>
        <v>18</v>
      </c>
      <c r="AG752" s="26" t="n">
        <f aca="false">T752-AF752</f>
        <v>636</v>
      </c>
      <c r="AH752" s="28" t="n">
        <f aca="false">IFERROR(AG752/T752,"")</f>
        <v>0.972477064220184</v>
      </c>
      <c r="AI752" s="29" t="n">
        <f aca="false">IFERROR(R752/AG752*60,"")</f>
        <v>258.301886792453</v>
      </c>
      <c r="AJ752" s="30" t="n">
        <f aca="false">IFERROR(AI752/Q752,"")</f>
        <v>0.896881551362683</v>
      </c>
      <c r="AK752" s="31" t="n">
        <f aca="false">IFERROR(R752/(T752/60*Q752),"")</f>
        <v>0.872196738022426</v>
      </c>
      <c r="AL752" s="26" t="n">
        <v>6</v>
      </c>
      <c r="AM752" s="26" t="n">
        <v>6</v>
      </c>
      <c r="AN752" s="26" t="n">
        <v>4</v>
      </c>
      <c r="AO752" s="26" t="n">
        <v>7</v>
      </c>
      <c r="AP752" s="26" t="n">
        <v>6</v>
      </c>
      <c r="AQ752" s="26" t="n">
        <v>6</v>
      </c>
      <c r="AR752" s="26" t="n">
        <v>5</v>
      </c>
      <c r="AS752" s="26" t="n">
        <v>2</v>
      </c>
      <c r="AT752" s="26" t="n">
        <v>4</v>
      </c>
      <c r="AU752" s="26" t="n">
        <v>3</v>
      </c>
      <c r="AV752" s="26" t="n">
        <f aca="false">SUM(AL752:AU752)</f>
        <v>49</v>
      </c>
      <c r="AW752" s="32" t="n">
        <f aca="false">IFERROR(AV752/R752*1000000,"")</f>
        <v>17896.2746530314</v>
      </c>
      <c r="AX752" s="33" t="n">
        <f aca="false">IFERROR((R752-AV752)/R752,"")</f>
        <v>0.982103725346969</v>
      </c>
      <c r="AY752" s="34" t="n">
        <f aca="false">IFERROR(AH752*AJ752*AX752,"")</f>
        <v>0.856587665647299</v>
      </c>
      <c r="AZ752" s="35" t="s">
        <v>93</v>
      </c>
    </row>
    <row r="753" customFormat="false" ht="12.75" hidden="false" customHeight="true" outlineLevel="0" collapsed="false">
      <c r="A753" s="24" t="n">
        <v>749</v>
      </c>
      <c r="B753" s="25" t="n">
        <v>46272</v>
      </c>
      <c r="C753" s="25" t="n">
        <v>12</v>
      </c>
      <c r="D753" s="26" t="s">
        <v>79</v>
      </c>
      <c r="E753" s="26" t="s">
        <v>97</v>
      </c>
      <c r="F753" s="26" t="s">
        <v>73</v>
      </c>
      <c r="G753" s="26" t="s">
        <v>12</v>
      </c>
      <c r="H753" s="27" t="n">
        <v>0.354166666666667</v>
      </c>
      <c r="I753" s="27" t="n">
        <v>0.854166666666667</v>
      </c>
      <c r="J753" s="26" t="n">
        <f aca="false">IFERROR((I753-H753)*24*60,"")</f>
        <v>720</v>
      </c>
      <c r="K753" s="26" t="s">
        <v>82</v>
      </c>
      <c r="L753" s="26" t="s">
        <v>83</v>
      </c>
      <c r="M753" s="26" t="s">
        <v>99</v>
      </c>
      <c r="N753" s="26" t="s">
        <v>100</v>
      </c>
      <c r="O753" s="26" t="n">
        <v>4</v>
      </c>
      <c r="P753" s="26" t="n">
        <v>36</v>
      </c>
      <c r="Q753" s="26" t="n">
        <f aca="false">IFERROR(3600/(P753/O753),"")</f>
        <v>400</v>
      </c>
      <c r="R753" s="26" t="n">
        <v>3511</v>
      </c>
      <c r="S753" s="26" t="n">
        <v>60</v>
      </c>
      <c r="T753" s="26" t="n">
        <f aca="false">IFERROR(J753-S753,"")</f>
        <v>660</v>
      </c>
      <c r="U753" s="26"/>
      <c r="V753" s="26"/>
      <c r="W753" s="26"/>
      <c r="X753" s="26"/>
      <c r="Y753" s="26"/>
      <c r="Z753" s="26"/>
      <c r="AA753" s="26"/>
      <c r="AB753" s="26"/>
      <c r="AC753" s="26"/>
      <c r="AD753" s="26" t="n">
        <v>3</v>
      </c>
      <c r="AE753" s="26"/>
      <c r="AF753" s="26" t="n">
        <f aca="false">SUM(U753:AE753)</f>
        <v>3</v>
      </c>
      <c r="AG753" s="26" t="n">
        <f aca="false">T753-AF753</f>
        <v>657</v>
      </c>
      <c r="AH753" s="28" t="n">
        <f aca="false">IFERROR(AG753/T753,"")</f>
        <v>0.995454545454546</v>
      </c>
      <c r="AI753" s="29" t="n">
        <f aca="false">IFERROR(R753/AG753*60,"")</f>
        <v>320.639269406393</v>
      </c>
      <c r="AJ753" s="30" t="n">
        <f aca="false">IFERROR(AI753/Q753,"")</f>
        <v>0.801598173515982</v>
      </c>
      <c r="AK753" s="31" t="n">
        <f aca="false">IFERROR(R753/(T753/60*Q753),"")</f>
        <v>0.797954545454546</v>
      </c>
      <c r="AL753" s="26" t="n">
        <v>8</v>
      </c>
      <c r="AM753" s="26" t="n">
        <v>9</v>
      </c>
      <c r="AN753" s="26" t="n">
        <v>3</v>
      </c>
      <c r="AO753" s="26" t="n">
        <v>8</v>
      </c>
      <c r="AP753" s="26" t="n">
        <v>7</v>
      </c>
      <c r="AQ753" s="26" t="n">
        <v>7</v>
      </c>
      <c r="AR753" s="26" t="n">
        <v>6</v>
      </c>
      <c r="AS753" s="26" t="n">
        <v>11</v>
      </c>
      <c r="AT753" s="26" t="n">
        <v>5</v>
      </c>
      <c r="AU753" s="26" t="n">
        <v>9</v>
      </c>
      <c r="AV753" s="26" t="n">
        <f aca="false">SUM(AL753:AU753)</f>
        <v>73</v>
      </c>
      <c r="AW753" s="32" t="n">
        <f aca="false">IFERROR(AV753/R753*1000000,"")</f>
        <v>20791.7972087724</v>
      </c>
      <c r="AX753" s="33" t="n">
        <f aca="false">IFERROR((R753-AV753)/R753,"")</f>
        <v>0.979208202791228</v>
      </c>
      <c r="AY753" s="34" t="n">
        <f aca="false">IFERROR(AH753*AJ753*AX753,"")</f>
        <v>0.781363636363637</v>
      </c>
      <c r="AZ753" s="35" t="s">
        <v>93</v>
      </c>
    </row>
    <row r="754" customFormat="false" ht="12.75" hidden="false" customHeight="true" outlineLevel="0" collapsed="false">
      <c r="A754" s="24" t="n">
        <v>750</v>
      </c>
      <c r="B754" s="25" t="n">
        <v>46272</v>
      </c>
      <c r="C754" s="25" t="n">
        <v>12</v>
      </c>
      <c r="D754" s="26" t="s">
        <v>87</v>
      </c>
      <c r="E754" s="26" t="s">
        <v>101</v>
      </c>
      <c r="F754" s="26" t="s">
        <v>81</v>
      </c>
      <c r="G754" s="26" t="s">
        <v>13</v>
      </c>
      <c r="H754" s="27" t="n">
        <v>0.354166666666667</v>
      </c>
      <c r="I754" s="27" t="n">
        <v>0.854166666666667</v>
      </c>
      <c r="J754" s="26" t="n">
        <f aca="false">IFERROR((I754-H754)*24*60,"")</f>
        <v>720</v>
      </c>
      <c r="K754" s="26" t="s">
        <v>89</v>
      </c>
      <c r="L754" s="26" t="s">
        <v>106</v>
      </c>
      <c r="M754" s="26" t="s">
        <v>103</v>
      </c>
      <c r="N754" s="26" t="s">
        <v>104</v>
      </c>
      <c r="O754" s="26" t="n">
        <v>4</v>
      </c>
      <c r="P754" s="26" t="n">
        <v>53</v>
      </c>
      <c r="Q754" s="26" t="n">
        <f aca="false">IFERROR(3600/(P754/O754),"")</f>
        <v>271.698113207547</v>
      </c>
      <c r="R754" s="26" t="n">
        <v>2038</v>
      </c>
      <c r="S754" s="26" t="n">
        <v>66</v>
      </c>
      <c r="T754" s="26" t="n">
        <f aca="false">IFERROR(J754-S754,"")</f>
        <v>654</v>
      </c>
      <c r="U754" s="26"/>
      <c r="V754" s="26"/>
      <c r="W754" s="26"/>
      <c r="X754" s="26"/>
      <c r="Y754" s="26"/>
      <c r="Z754" s="26" t="n">
        <v>9</v>
      </c>
      <c r="AA754" s="26" t="n">
        <v>16</v>
      </c>
      <c r="AB754" s="26"/>
      <c r="AC754" s="26"/>
      <c r="AD754" s="26"/>
      <c r="AE754" s="26"/>
      <c r="AF754" s="26" t="n">
        <f aca="false">SUM(U754:AE754)</f>
        <v>25</v>
      </c>
      <c r="AG754" s="26" t="n">
        <f aca="false">T754-AF754</f>
        <v>629</v>
      </c>
      <c r="AH754" s="28" t="n">
        <f aca="false">IFERROR(AG754/T754,"")</f>
        <v>0.96177370030581</v>
      </c>
      <c r="AI754" s="29" t="n">
        <f aca="false">IFERROR(R754/AG754*60,"")</f>
        <v>194.403815580286</v>
      </c>
      <c r="AJ754" s="30" t="n">
        <f aca="false">IFERROR(AI754/Q754,"")</f>
        <v>0.71551404345522</v>
      </c>
      <c r="AK754" s="31" t="n">
        <f aca="false">IFERROR(R754/(T754/60*Q754),"")</f>
        <v>0.688162589194699</v>
      </c>
      <c r="AL754" s="26" t="n">
        <v>1</v>
      </c>
      <c r="AM754" s="26"/>
      <c r="AN754" s="26" t="n">
        <v>1</v>
      </c>
      <c r="AO754" s="26"/>
      <c r="AP754" s="26" t="n">
        <v>1</v>
      </c>
      <c r="AQ754" s="26"/>
      <c r="AR754" s="26" t="n">
        <v>1</v>
      </c>
      <c r="AS754" s="26"/>
      <c r="AT754" s="26"/>
      <c r="AU754" s="26"/>
      <c r="AV754" s="26" t="n">
        <f aca="false">SUM(AL754:AU754)</f>
        <v>4</v>
      </c>
      <c r="AW754" s="32" t="n">
        <f aca="false">IFERROR(AV754/R754*1000000,"")</f>
        <v>1962.70853778214</v>
      </c>
      <c r="AX754" s="33" t="n">
        <f aca="false">IFERROR((R754-AV754)/R754,"")</f>
        <v>0.998037291462218</v>
      </c>
      <c r="AY754" s="34" t="n">
        <f aca="false">IFERROR(AH754*AJ754*AX754,"")</f>
        <v>0.686811926605505</v>
      </c>
      <c r="AZ754" s="35"/>
    </row>
    <row r="755" customFormat="false" ht="12.75" hidden="false" customHeight="true" outlineLevel="0" collapsed="false">
      <c r="AH755" s="36"/>
      <c r="AJ755" s="37"/>
      <c r="AW755" s="38"/>
      <c r="AX755" s="39"/>
      <c r="AY755" s="40"/>
    </row>
    <row r="756" customFormat="false" ht="12.75" hidden="false" customHeight="true" outlineLevel="0" collapsed="false">
      <c r="AH756" s="36"/>
      <c r="AJ756" s="37"/>
      <c r="AW756" s="38"/>
      <c r="AX756" s="39"/>
      <c r="AY756" s="40"/>
    </row>
    <row r="757" customFormat="false" ht="12.75" hidden="false" customHeight="true" outlineLevel="0" collapsed="false">
      <c r="AH757" s="36"/>
      <c r="AJ757" s="37"/>
      <c r="AW757" s="38"/>
      <c r="AX757" s="39"/>
      <c r="AY757" s="40"/>
    </row>
    <row r="758" customFormat="false" ht="12.75" hidden="false" customHeight="true" outlineLevel="0" collapsed="false">
      <c r="AH758" s="36"/>
      <c r="AJ758" s="37"/>
      <c r="AW758" s="38"/>
      <c r="AX758" s="39"/>
      <c r="AY758" s="40"/>
    </row>
    <row r="759" customFormat="false" ht="12.75" hidden="false" customHeight="true" outlineLevel="0" collapsed="false">
      <c r="AH759" s="36"/>
      <c r="AJ759" s="37"/>
      <c r="AW759" s="38"/>
      <c r="AX759" s="39"/>
      <c r="AY759" s="40"/>
    </row>
    <row r="760" customFormat="false" ht="12.75" hidden="false" customHeight="true" outlineLevel="0" collapsed="false">
      <c r="AH760" s="36"/>
      <c r="AJ760" s="37"/>
      <c r="AW760" s="38"/>
      <c r="AX760" s="39"/>
      <c r="AY760" s="40"/>
    </row>
    <row r="761" customFormat="false" ht="12.75" hidden="false" customHeight="true" outlineLevel="0" collapsed="false">
      <c r="AH761" s="36"/>
      <c r="AJ761" s="37"/>
      <c r="AW761" s="38"/>
      <c r="AX761" s="39"/>
      <c r="AY761" s="40"/>
    </row>
    <row r="762" customFormat="false" ht="12.75" hidden="false" customHeight="true" outlineLevel="0" collapsed="false">
      <c r="AH762" s="36"/>
      <c r="AJ762" s="37"/>
      <c r="AW762" s="38"/>
      <c r="AX762" s="39"/>
      <c r="AY762" s="40"/>
    </row>
    <row r="763" customFormat="false" ht="12.75" hidden="false" customHeight="true" outlineLevel="0" collapsed="false">
      <c r="AH763" s="36"/>
      <c r="AJ763" s="37"/>
      <c r="AW763" s="38"/>
      <c r="AX763" s="39"/>
      <c r="AY763" s="40"/>
    </row>
    <row r="764" customFormat="false" ht="12.75" hidden="false" customHeight="true" outlineLevel="0" collapsed="false">
      <c r="AH764" s="36"/>
      <c r="AJ764" s="37"/>
      <c r="AW764" s="38"/>
      <c r="AX764" s="39"/>
      <c r="AY764" s="40"/>
    </row>
    <row r="765" customFormat="false" ht="12.75" hidden="false" customHeight="true" outlineLevel="0" collapsed="false">
      <c r="AH765" s="36"/>
      <c r="AJ765" s="37"/>
      <c r="AW765" s="38"/>
      <c r="AX765" s="39"/>
      <c r="AY765" s="40"/>
    </row>
    <row r="766" customFormat="false" ht="12.75" hidden="false" customHeight="true" outlineLevel="0" collapsed="false">
      <c r="AH766" s="36"/>
      <c r="AJ766" s="37"/>
      <c r="AW766" s="38"/>
      <c r="AX766" s="39"/>
      <c r="AY766" s="40"/>
    </row>
    <row r="767" customFormat="false" ht="12.75" hidden="false" customHeight="true" outlineLevel="0" collapsed="false">
      <c r="AH767" s="36"/>
      <c r="AJ767" s="37"/>
      <c r="AW767" s="38"/>
      <c r="AX767" s="39"/>
      <c r="AY767" s="40"/>
    </row>
    <row r="768" customFormat="false" ht="12.75" hidden="false" customHeight="true" outlineLevel="0" collapsed="false">
      <c r="AH768" s="36"/>
      <c r="AJ768" s="37"/>
      <c r="AW768" s="38"/>
      <c r="AX768" s="39"/>
      <c r="AY768" s="40"/>
    </row>
    <row r="769" customFormat="false" ht="12.75" hidden="false" customHeight="true" outlineLevel="0" collapsed="false">
      <c r="AH769" s="36"/>
      <c r="AJ769" s="37"/>
      <c r="AW769" s="38"/>
      <c r="AX769" s="39"/>
      <c r="AY769" s="40"/>
    </row>
    <row r="770" customFormat="false" ht="12.75" hidden="false" customHeight="true" outlineLevel="0" collapsed="false">
      <c r="AH770" s="36"/>
      <c r="AJ770" s="37"/>
      <c r="AW770" s="38"/>
      <c r="AX770" s="39"/>
      <c r="AY770" s="40"/>
    </row>
    <row r="771" customFormat="false" ht="12.75" hidden="false" customHeight="true" outlineLevel="0" collapsed="false">
      <c r="AH771" s="36"/>
      <c r="AJ771" s="37"/>
      <c r="AW771" s="38"/>
      <c r="AX771" s="39"/>
      <c r="AY771" s="40"/>
    </row>
    <row r="772" customFormat="false" ht="12.75" hidden="false" customHeight="true" outlineLevel="0" collapsed="false">
      <c r="AH772" s="36"/>
      <c r="AJ772" s="37"/>
      <c r="AW772" s="38"/>
      <c r="AX772" s="39"/>
      <c r="AY772" s="40"/>
    </row>
    <row r="773" customFormat="false" ht="12.75" hidden="false" customHeight="true" outlineLevel="0" collapsed="false">
      <c r="AH773" s="36"/>
      <c r="AJ773" s="37"/>
      <c r="AW773" s="38"/>
      <c r="AX773" s="39"/>
      <c r="AY773" s="40"/>
    </row>
    <row r="774" customFormat="false" ht="12.75" hidden="false" customHeight="true" outlineLevel="0" collapsed="false">
      <c r="AH774" s="36"/>
      <c r="AJ774" s="37"/>
      <c r="AW774" s="38"/>
      <c r="AX774" s="39"/>
      <c r="AY774" s="40"/>
    </row>
    <row r="775" customFormat="false" ht="12.75" hidden="false" customHeight="true" outlineLevel="0" collapsed="false">
      <c r="AH775" s="36"/>
      <c r="AJ775" s="37"/>
      <c r="AW775" s="38"/>
      <c r="AX775" s="39"/>
      <c r="AY775" s="40"/>
    </row>
    <row r="776" customFormat="false" ht="12.75" hidden="false" customHeight="true" outlineLevel="0" collapsed="false">
      <c r="AH776" s="36"/>
      <c r="AJ776" s="37"/>
      <c r="AW776" s="38"/>
      <c r="AX776" s="39"/>
      <c r="AY776" s="40"/>
    </row>
    <row r="777" customFormat="false" ht="12.75" hidden="false" customHeight="true" outlineLevel="0" collapsed="false">
      <c r="AH777" s="36"/>
      <c r="AJ777" s="37"/>
      <c r="AW777" s="38"/>
      <c r="AX777" s="39"/>
      <c r="AY777" s="40"/>
    </row>
    <row r="778" customFormat="false" ht="12.75" hidden="false" customHeight="true" outlineLevel="0" collapsed="false">
      <c r="AH778" s="36"/>
      <c r="AJ778" s="37"/>
      <c r="AW778" s="38"/>
      <c r="AX778" s="39"/>
      <c r="AY778" s="40"/>
    </row>
    <row r="779" customFormat="false" ht="12.75" hidden="false" customHeight="true" outlineLevel="0" collapsed="false">
      <c r="AH779" s="36"/>
      <c r="AJ779" s="37"/>
      <c r="AW779" s="38"/>
      <c r="AX779" s="39"/>
      <c r="AY779" s="40"/>
    </row>
    <row r="780" customFormat="false" ht="12.75" hidden="false" customHeight="true" outlineLevel="0" collapsed="false">
      <c r="AH780" s="36"/>
      <c r="AJ780" s="37"/>
      <c r="AW780" s="38"/>
      <c r="AX780" s="39"/>
      <c r="AY780" s="40"/>
    </row>
    <row r="781" customFormat="false" ht="12.75" hidden="false" customHeight="true" outlineLevel="0" collapsed="false">
      <c r="AH781" s="36"/>
      <c r="AJ781" s="37"/>
      <c r="AW781" s="38"/>
      <c r="AX781" s="39"/>
      <c r="AY781" s="40"/>
    </row>
    <row r="782" customFormat="false" ht="12.75" hidden="false" customHeight="true" outlineLevel="0" collapsed="false">
      <c r="AH782" s="36"/>
      <c r="AJ782" s="37"/>
      <c r="AW782" s="38"/>
      <c r="AX782" s="39"/>
      <c r="AY782" s="40"/>
    </row>
    <row r="783" customFormat="false" ht="12.75" hidden="false" customHeight="true" outlineLevel="0" collapsed="false">
      <c r="AH783" s="36"/>
      <c r="AJ783" s="37"/>
      <c r="AW783" s="38"/>
      <c r="AX783" s="39"/>
      <c r="AY783" s="40"/>
    </row>
    <row r="784" customFormat="false" ht="12.75" hidden="false" customHeight="true" outlineLevel="0" collapsed="false">
      <c r="AH784" s="36"/>
      <c r="AJ784" s="37"/>
      <c r="AW784" s="38"/>
      <c r="AX784" s="39"/>
      <c r="AY784" s="40"/>
    </row>
    <row r="785" customFormat="false" ht="12.75" hidden="false" customHeight="true" outlineLevel="0" collapsed="false">
      <c r="AH785" s="36"/>
      <c r="AJ785" s="37"/>
      <c r="AW785" s="38"/>
      <c r="AX785" s="39"/>
      <c r="AY785" s="40"/>
    </row>
    <row r="786" customFormat="false" ht="12.75" hidden="false" customHeight="true" outlineLevel="0" collapsed="false">
      <c r="AH786" s="36"/>
      <c r="AJ786" s="37"/>
      <c r="AW786" s="38"/>
      <c r="AX786" s="39"/>
      <c r="AY786" s="40"/>
    </row>
    <row r="787" customFormat="false" ht="12.75" hidden="false" customHeight="true" outlineLevel="0" collapsed="false">
      <c r="AH787" s="36"/>
      <c r="AJ787" s="37"/>
      <c r="AW787" s="38"/>
      <c r="AX787" s="39"/>
      <c r="AY787" s="40"/>
    </row>
    <row r="788" customFormat="false" ht="12.75" hidden="false" customHeight="true" outlineLevel="0" collapsed="false">
      <c r="AH788" s="36"/>
      <c r="AJ788" s="37"/>
      <c r="AW788" s="38"/>
      <c r="AX788" s="39"/>
      <c r="AY788" s="40"/>
    </row>
    <row r="789" customFormat="false" ht="12.75" hidden="false" customHeight="true" outlineLevel="0" collapsed="false">
      <c r="AH789" s="36"/>
      <c r="AJ789" s="37"/>
      <c r="AW789" s="38"/>
      <c r="AX789" s="39"/>
      <c r="AY789" s="40"/>
    </row>
    <row r="790" customFormat="false" ht="12.75" hidden="false" customHeight="true" outlineLevel="0" collapsed="false">
      <c r="AH790" s="36"/>
      <c r="AJ790" s="37"/>
      <c r="AW790" s="38"/>
      <c r="AX790" s="39"/>
      <c r="AY790" s="40"/>
    </row>
    <row r="791" customFormat="false" ht="12.75" hidden="false" customHeight="true" outlineLevel="0" collapsed="false">
      <c r="AH791" s="36"/>
      <c r="AJ791" s="37"/>
      <c r="AW791" s="38"/>
      <c r="AX791" s="39"/>
      <c r="AY791" s="40"/>
    </row>
    <row r="792" customFormat="false" ht="12.75" hidden="false" customHeight="true" outlineLevel="0" collapsed="false">
      <c r="AH792" s="36"/>
      <c r="AJ792" s="37"/>
      <c r="AW792" s="38"/>
      <c r="AX792" s="39"/>
      <c r="AY792" s="40"/>
    </row>
    <row r="793" customFormat="false" ht="12.75" hidden="false" customHeight="true" outlineLevel="0" collapsed="false">
      <c r="AH793" s="36"/>
      <c r="AJ793" s="37"/>
      <c r="AW793" s="38"/>
      <c r="AX793" s="39"/>
      <c r="AY793" s="40"/>
    </row>
    <row r="794" customFormat="false" ht="12.75" hidden="false" customHeight="true" outlineLevel="0" collapsed="false">
      <c r="AH794" s="36"/>
      <c r="AJ794" s="37"/>
      <c r="AW794" s="38"/>
      <c r="AX794" s="39"/>
      <c r="AY794" s="40"/>
    </row>
    <row r="795" customFormat="false" ht="12.75" hidden="false" customHeight="true" outlineLevel="0" collapsed="false">
      <c r="AH795" s="36"/>
      <c r="AJ795" s="37"/>
      <c r="AW795" s="38"/>
      <c r="AX795" s="39"/>
      <c r="AY795" s="40"/>
    </row>
    <row r="796" customFormat="false" ht="12.75" hidden="false" customHeight="true" outlineLevel="0" collapsed="false">
      <c r="AH796" s="36"/>
      <c r="AJ796" s="37"/>
      <c r="AW796" s="38"/>
      <c r="AX796" s="39"/>
      <c r="AY796" s="40"/>
    </row>
    <row r="797" customFormat="false" ht="12.75" hidden="false" customHeight="true" outlineLevel="0" collapsed="false">
      <c r="AH797" s="36"/>
      <c r="AJ797" s="37"/>
      <c r="AW797" s="38"/>
      <c r="AX797" s="39"/>
      <c r="AY797" s="40"/>
    </row>
    <row r="798" customFormat="false" ht="12.75" hidden="false" customHeight="true" outlineLevel="0" collapsed="false">
      <c r="AH798" s="36"/>
      <c r="AJ798" s="37"/>
      <c r="AW798" s="38"/>
      <c r="AX798" s="39"/>
      <c r="AY798" s="40"/>
    </row>
    <row r="799" customFormat="false" ht="12.75" hidden="false" customHeight="true" outlineLevel="0" collapsed="false">
      <c r="AH799" s="36"/>
      <c r="AJ799" s="37"/>
      <c r="AW799" s="38"/>
      <c r="AX799" s="39"/>
      <c r="AY799" s="40"/>
    </row>
    <row r="800" customFormat="false" ht="12.75" hidden="false" customHeight="true" outlineLevel="0" collapsed="false">
      <c r="AH800" s="36"/>
      <c r="AJ800" s="37"/>
      <c r="AW800" s="38"/>
      <c r="AX800" s="39"/>
      <c r="AY800" s="40"/>
    </row>
    <row r="801" customFormat="false" ht="12.75" hidden="false" customHeight="true" outlineLevel="0" collapsed="false">
      <c r="AH801" s="36"/>
      <c r="AJ801" s="37"/>
      <c r="AW801" s="38"/>
      <c r="AX801" s="39"/>
      <c r="AY801" s="40"/>
    </row>
    <row r="802" customFormat="false" ht="12.75" hidden="false" customHeight="true" outlineLevel="0" collapsed="false">
      <c r="AH802" s="36"/>
      <c r="AJ802" s="37"/>
      <c r="AW802" s="38"/>
      <c r="AX802" s="39"/>
      <c r="AY802" s="40"/>
    </row>
    <row r="803" customFormat="false" ht="12.75" hidden="false" customHeight="true" outlineLevel="0" collapsed="false">
      <c r="AH803" s="36"/>
      <c r="AJ803" s="37"/>
      <c r="AW803" s="38"/>
      <c r="AX803" s="39"/>
      <c r="AY803" s="40"/>
    </row>
    <row r="804" customFormat="false" ht="12.75" hidden="false" customHeight="true" outlineLevel="0" collapsed="false">
      <c r="AH804" s="36"/>
      <c r="AJ804" s="37"/>
      <c r="AW804" s="38"/>
      <c r="AX804" s="39"/>
      <c r="AY804" s="40"/>
    </row>
    <row r="805" customFormat="false" ht="12.75" hidden="false" customHeight="true" outlineLevel="0" collapsed="false">
      <c r="AH805" s="36"/>
      <c r="AJ805" s="37"/>
      <c r="AW805" s="38"/>
      <c r="AX805" s="39"/>
      <c r="AY805" s="40"/>
    </row>
    <row r="806" customFormat="false" ht="12.75" hidden="false" customHeight="true" outlineLevel="0" collapsed="false">
      <c r="AH806" s="36"/>
      <c r="AJ806" s="37"/>
      <c r="AW806" s="38"/>
      <c r="AX806" s="39"/>
      <c r="AY806" s="40"/>
    </row>
    <row r="807" customFormat="false" ht="12.75" hidden="false" customHeight="true" outlineLevel="0" collapsed="false">
      <c r="AH807" s="36"/>
      <c r="AJ807" s="37"/>
      <c r="AW807" s="38"/>
      <c r="AX807" s="39"/>
      <c r="AY807" s="40"/>
    </row>
    <row r="808" customFormat="false" ht="12.75" hidden="false" customHeight="true" outlineLevel="0" collapsed="false">
      <c r="AH808" s="36"/>
      <c r="AJ808" s="37"/>
      <c r="AW808" s="38"/>
      <c r="AX808" s="39"/>
      <c r="AY808" s="40"/>
    </row>
    <row r="809" customFormat="false" ht="12.75" hidden="false" customHeight="true" outlineLevel="0" collapsed="false">
      <c r="AH809" s="36"/>
      <c r="AJ809" s="37"/>
      <c r="AW809" s="38"/>
      <c r="AX809" s="39"/>
      <c r="AY809" s="40"/>
    </row>
    <row r="810" customFormat="false" ht="12.75" hidden="false" customHeight="true" outlineLevel="0" collapsed="false">
      <c r="AH810" s="36"/>
      <c r="AJ810" s="37"/>
      <c r="AW810" s="38"/>
      <c r="AX810" s="39"/>
      <c r="AY810" s="40"/>
    </row>
    <row r="811" customFormat="false" ht="12.75" hidden="false" customHeight="true" outlineLevel="0" collapsed="false">
      <c r="AH811" s="36"/>
      <c r="AJ811" s="37"/>
      <c r="AW811" s="38"/>
      <c r="AX811" s="39"/>
      <c r="AY811" s="40"/>
    </row>
    <row r="812" customFormat="false" ht="12.75" hidden="false" customHeight="true" outlineLevel="0" collapsed="false">
      <c r="AH812" s="36"/>
      <c r="AJ812" s="37"/>
      <c r="AW812" s="38"/>
      <c r="AX812" s="39"/>
      <c r="AY812" s="40"/>
    </row>
    <row r="813" customFormat="false" ht="12.75" hidden="false" customHeight="true" outlineLevel="0" collapsed="false">
      <c r="AH813" s="36"/>
      <c r="AJ813" s="37"/>
      <c r="AW813" s="38"/>
      <c r="AX813" s="39"/>
      <c r="AY813" s="40"/>
    </row>
    <row r="814" customFormat="false" ht="12.75" hidden="false" customHeight="true" outlineLevel="0" collapsed="false">
      <c r="AH814" s="36"/>
      <c r="AJ814" s="37"/>
      <c r="AW814" s="38"/>
      <c r="AX814" s="39"/>
      <c r="AY814" s="40"/>
    </row>
    <row r="815" customFormat="false" ht="12.75" hidden="false" customHeight="true" outlineLevel="0" collapsed="false">
      <c r="AH815" s="36"/>
      <c r="AJ815" s="37"/>
      <c r="AW815" s="38"/>
      <c r="AX815" s="39"/>
      <c r="AY815" s="40"/>
    </row>
    <row r="816" customFormat="false" ht="12.75" hidden="false" customHeight="true" outlineLevel="0" collapsed="false">
      <c r="AH816" s="36"/>
      <c r="AJ816" s="37"/>
      <c r="AW816" s="38"/>
      <c r="AX816" s="39"/>
      <c r="AY816" s="40"/>
    </row>
    <row r="817" customFormat="false" ht="12.75" hidden="false" customHeight="true" outlineLevel="0" collapsed="false">
      <c r="AH817" s="36"/>
      <c r="AJ817" s="37"/>
      <c r="AW817" s="38"/>
      <c r="AX817" s="39"/>
      <c r="AY817" s="40"/>
    </row>
    <row r="818" customFormat="false" ht="12.75" hidden="false" customHeight="true" outlineLevel="0" collapsed="false">
      <c r="AH818" s="36"/>
      <c r="AJ818" s="37"/>
      <c r="AW818" s="38"/>
      <c r="AX818" s="39"/>
      <c r="AY818" s="40"/>
    </row>
    <row r="819" customFormat="false" ht="12.75" hidden="false" customHeight="true" outlineLevel="0" collapsed="false">
      <c r="AH819" s="36"/>
      <c r="AJ819" s="37"/>
      <c r="AW819" s="38"/>
      <c r="AX819" s="39"/>
      <c r="AY819" s="40"/>
    </row>
    <row r="820" customFormat="false" ht="12.75" hidden="false" customHeight="true" outlineLevel="0" collapsed="false">
      <c r="AH820" s="36"/>
      <c r="AJ820" s="37"/>
      <c r="AW820" s="38"/>
      <c r="AX820" s="39"/>
      <c r="AY820" s="40"/>
    </row>
    <row r="821" customFormat="false" ht="12.75" hidden="false" customHeight="true" outlineLevel="0" collapsed="false">
      <c r="AH821" s="36"/>
      <c r="AJ821" s="37"/>
      <c r="AW821" s="38"/>
      <c r="AX821" s="39"/>
      <c r="AY821" s="40"/>
    </row>
    <row r="822" customFormat="false" ht="12.75" hidden="false" customHeight="true" outlineLevel="0" collapsed="false">
      <c r="AH822" s="36"/>
      <c r="AJ822" s="37"/>
      <c r="AW822" s="38"/>
      <c r="AX822" s="39"/>
      <c r="AY822" s="40"/>
    </row>
    <row r="823" customFormat="false" ht="12.75" hidden="false" customHeight="true" outlineLevel="0" collapsed="false">
      <c r="AH823" s="36"/>
      <c r="AJ823" s="37"/>
      <c r="AW823" s="38"/>
      <c r="AX823" s="39"/>
      <c r="AY823" s="40"/>
    </row>
    <row r="824" customFormat="false" ht="12.75" hidden="false" customHeight="true" outlineLevel="0" collapsed="false">
      <c r="AH824" s="36"/>
      <c r="AJ824" s="37"/>
      <c r="AW824" s="38"/>
      <c r="AX824" s="39"/>
      <c r="AY824" s="40"/>
    </row>
    <row r="825" customFormat="false" ht="12.75" hidden="false" customHeight="true" outlineLevel="0" collapsed="false">
      <c r="AH825" s="36"/>
      <c r="AJ825" s="37"/>
      <c r="AW825" s="38"/>
      <c r="AX825" s="39"/>
      <c r="AY825" s="40"/>
    </row>
    <row r="826" customFormat="false" ht="12.75" hidden="false" customHeight="true" outlineLevel="0" collapsed="false">
      <c r="AH826" s="36"/>
      <c r="AJ826" s="37"/>
      <c r="AW826" s="38"/>
      <c r="AX826" s="39"/>
      <c r="AY826" s="40"/>
    </row>
    <row r="827" customFormat="false" ht="12.75" hidden="false" customHeight="true" outlineLevel="0" collapsed="false">
      <c r="AH827" s="36"/>
      <c r="AJ827" s="37"/>
      <c r="AW827" s="38"/>
      <c r="AX827" s="39"/>
      <c r="AY827" s="40"/>
    </row>
    <row r="828" customFormat="false" ht="12.75" hidden="false" customHeight="true" outlineLevel="0" collapsed="false">
      <c r="AH828" s="36"/>
      <c r="AJ828" s="37"/>
      <c r="AW828" s="38"/>
      <c r="AX828" s="39"/>
      <c r="AY828" s="40"/>
    </row>
    <row r="829" customFormat="false" ht="12.75" hidden="false" customHeight="true" outlineLevel="0" collapsed="false">
      <c r="AH829" s="36"/>
      <c r="AJ829" s="37"/>
      <c r="AW829" s="38"/>
      <c r="AX829" s="39"/>
      <c r="AY829" s="40"/>
    </row>
    <row r="830" customFormat="false" ht="12.75" hidden="false" customHeight="true" outlineLevel="0" collapsed="false">
      <c r="AH830" s="36"/>
      <c r="AJ830" s="37"/>
      <c r="AW830" s="38"/>
      <c r="AX830" s="39"/>
      <c r="AY830" s="40"/>
    </row>
    <row r="831" customFormat="false" ht="12.75" hidden="false" customHeight="true" outlineLevel="0" collapsed="false">
      <c r="AH831" s="36"/>
      <c r="AJ831" s="37"/>
      <c r="AW831" s="38"/>
      <c r="AX831" s="39"/>
      <c r="AY831" s="40"/>
    </row>
    <row r="832" customFormat="false" ht="12.75" hidden="false" customHeight="true" outlineLevel="0" collapsed="false">
      <c r="AH832" s="36"/>
      <c r="AJ832" s="37"/>
      <c r="AW832" s="38"/>
      <c r="AX832" s="39"/>
      <c r="AY832" s="40"/>
    </row>
    <row r="833" customFormat="false" ht="12.75" hidden="false" customHeight="true" outlineLevel="0" collapsed="false">
      <c r="AH833" s="36"/>
      <c r="AJ833" s="37"/>
      <c r="AW833" s="38"/>
      <c r="AX833" s="39"/>
      <c r="AY833" s="40"/>
    </row>
    <row r="834" customFormat="false" ht="12.75" hidden="false" customHeight="true" outlineLevel="0" collapsed="false">
      <c r="AH834" s="36"/>
      <c r="AJ834" s="37"/>
      <c r="AW834" s="38"/>
      <c r="AX834" s="39"/>
      <c r="AY834" s="40"/>
    </row>
    <row r="835" customFormat="false" ht="12.75" hidden="false" customHeight="true" outlineLevel="0" collapsed="false">
      <c r="AH835" s="36"/>
      <c r="AJ835" s="37"/>
      <c r="AW835" s="38"/>
      <c r="AX835" s="39"/>
      <c r="AY835" s="40"/>
    </row>
    <row r="836" customFormat="false" ht="12.75" hidden="false" customHeight="true" outlineLevel="0" collapsed="false">
      <c r="AH836" s="36"/>
      <c r="AJ836" s="37"/>
      <c r="AW836" s="38"/>
      <c r="AX836" s="39"/>
      <c r="AY836" s="40"/>
    </row>
    <row r="837" customFormat="false" ht="12.75" hidden="false" customHeight="true" outlineLevel="0" collapsed="false">
      <c r="AH837" s="36"/>
      <c r="AJ837" s="37"/>
      <c r="AW837" s="38"/>
      <c r="AX837" s="39"/>
      <c r="AY837" s="40"/>
    </row>
    <row r="838" customFormat="false" ht="12.75" hidden="false" customHeight="true" outlineLevel="0" collapsed="false">
      <c r="AH838" s="36"/>
      <c r="AJ838" s="37"/>
      <c r="AW838" s="38"/>
      <c r="AX838" s="39"/>
      <c r="AY838" s="40"/>
    </row>
    <row r="839" customFormat="false" ht="12.75" hidden="false" customHeight="true" outlineLevel="0" collapsed="false">
      <c r="AH839" s="36"/>
      <c r="AJ839" s="37"/>
      <c r="AW839" s="38"/>
      <c r="AX839" s="39"/>
      <c r="AY839" s="40"/>
    </row>
    <row r="840" customFormat="false" ht="12.75" hidden="false" customHeight="true" outlineLevel="0" collapsed="false">
      <c r="AH840" s="36"/>
      <c r="AJ840" s="37"/>
      <c r="AW840" s="38"/>
      <c r="AX840" s="39"/>
      <c r="AY840" s="40"/>
    </row>
    <row r="841" customFormat="false" ht="12.75" hidden="false" customHeight="true" outlineLevel="0" collapsed="false">
      <c r="AH841" s="36"/>
      <c r="AJ841" s="37"/>
      <c r="AW841" s="38"/>
      <c r="AX841" s="39"/>
      <c r="AY841" s="40"/>
    </row>
    <row r="842" customFormat="false" ht="12.75" hidden="false" customHeight="true" outlineLevel="0" collapsed="false">
      <c r="AH842" s="36"/>
      <c r="AJ842" s="37"/>
      <c r="AW842" s="38"/>
      <c r="AX842" s="39"/>
      <c r="AY842" s="40"/>
    </row>
    <row r="843" customFormat="false" ht="12.75" hidden="false" customHeight="true" outlineLevel="0" collapsed="false">
      <c r="AH843" s="36"/>
      <c r="AJ843" s="37"/>
      <c r="AW843" s="38"/>
      <c r="AX843" s="39"/>
      <c r="AY843" s="40"/>
    </row>
    <row r="844" customFormat="false" ht="12.75" hidden="false" customHeight="true" outlineLevel="0" collapsed="false">
      <c r="AH844" s="36"/>
      <c r="AJ844" s="37"/>
      <c r="AW844" s="38"/>
      <c r="AX844" s="39"/>
      <c r="AY844" s="40"/>
    </row>
    <row r="845" customFormat="false" ht="12.75" hidden="false" customHeight="true" outlineLevel="0" collapsed="false">
      <c r="AH845" s="36"/>
      <c r="AJ845" s="37"/>
      <c r="AW845" s="38"/>
      <c r="AX845" s="39"/>
      <c r="AY845" s="40"/>
    </row>
    <row r="846" customFormat="false" ht="12.75" hidden="false" customHeight="true" outlineLevel="0" collapsed="false">
      <c r="AH846" s="36"/>
      <c r="AJ846" s="37"/>
      <c r="AW846" s="38"/>
      <c r="AX846" s="39"/>
      <c r="AY846" s="40"/>
    </row>
    <row r="847" customFormat="false" ht="12.75" hidden="false" customHeight="true" outlineLevel="0" collapsed="false">
      <c r="AH847" s="36"/>
      <c r="AJ847" s="37"/>
      <c r="AW847" s="38"/>
      <c r="AX847" s="39"/>
      <c r="AY847" s="40"/>
    </row>
    <row r="848" customFormat="false" ht="12.75" hidden="false" customHeight="true" outlineLevel="0" collapsed="false">
      <c r="AH848" s="36"/>
      <c r="AJ848" s="37"/>
      <c r="AW848" s="38"/>
      <c r="AX848" s="39"/>
      <c r="AY848" s="40"/>
    </row>
    <row r="849" customFormat="false" ht="12.75" hidden="false" customHeight="true" outlineLevel="0" collapsed="false">
      <c r="AH849" s="36"/>
      <c r="AJ849" s="37"/>
      <c r="AW849" s="38"/>
      <c r="AX849" s="39"/>
      <c r="AY849" s="40"/>
    </row>
    <row r="850" customFormat="false" ht="12.75" hidden="false" customHeight="true" outlineLevel="0" collapsed="false">
      <c r="AH850" s="36"/>
      <c r="AJ850" s="37"/>
      <c r="AW850" s="38"/>
      <c r="AX850" s="39"/>
      <c r="AY850" s="40"/>
    </row>
    <row r="851" customFormat="false" ht="12.75" hidden="false" customHeight="true" outlineLevel="0" collapsed="false">
      <c r="AH851" s="36"/>
      <c r="AJ851" s="37"/>
      <c r="AW851" s="38"/>
      <c r="AX851" s="39"/>
      <c r="AY851" s="40"/>
    </row>
    <row r="852" customFormat="false" ht="12.75" hidden="false" customHeight="true" outlineLevel="0" collapsed="false">
      <c r="AH852" s="36"/>
      <c r="AJ852" s="37"/>
      <c r="AW852" s="38"/>
      <c r="AX852" s="39"/>
      <c r="AY852" s="40"/>
    </row>
    <row r="853" customFormat="false" ht="12.75" hidden="false" customHeight="true" outlineLevel="0" collapsed="false">
      <c r="AH853" s="36"/>
      <c r="AJ853" s="37"/>
      <c r="AW853" s="38"/>
      <c r="AX853" s="39"/>
      <c r="AY853" s="40"/>
    </row>
    <row r="854" customFormat="false" ht="12.75" hidden="false" customHeight="true" outlineLevel="0" collapsed="false">
      <c r="AH854" s="36"/>
      <c r="AJ854" s="37"/>
      <c r="AW854" s="38"/>
      <c r="AX854" s="39"/>
      <c r="AY854" s="40"/>
    </row>
    <row r="855" customFormat="false" ht="12.75" hidden="false" customHeight="true" outlineLevel="0" collapsed="false">
      <c r="AH855" s="36"/>
      <c r="AJ855" s="37"/>
      <c r="AW855" s="38"/>
      <c r="AX855" s="39"/>
      <c r="AY855" s="40"/>
    </row>
    <row r="856" customFormat="false" ht="12.75" hidden="false" customHeight="true" outlineLevel="0" collapsed="false">
      <c r="AH856" s="36"/>
      <c r="AJ856" s="37"/>
      <c r="AW856" s="38"/>
      <c r="AX856" s="39"/>
      <c r="AY856" s="40"/>
    </row>
    <row r="857" customFormat="false" ht="12.75" hidden="false" customHeight="true" outlineLevel="0" collapsed="false">
      <c r="AH857" s="36"/>
      <c r="AJ857" s="37"/>
      <c r="AW857" s="38"/>
      <c r="AX857" s="39"/>
      <c r="AY857" s="40"/>
    </row>
    <row r="858" customFormat="false" ht="12.75" hidden="false" customHeight="true" outlineLevel="0" collapsed="false">
      <c r="AH858" s="36"/>
      <c r="AJ858" s="37"/>
      <c r="AW858" s="38"/>
      <c r="AX858" s="39"/>
      <c r="AY858" s="40"/>
    </row>
    <row r="859" customFormat="false" ht="12.75" hidden="false" customHeight="true" outlineLevel="0" collapsed="false">
      <c r="AH859" s="36"/>
      <c r="AJ859" s="37"/>
      <c r="AW859" s="38"/>
      <c r="AX859" s="39"/>
      <c r="AY859" s="40"/>
    </row>
    <row r="860" customFormat="false" ht="12.75" hidden="false" customHeight="true" outlineLevel="0" collapsed="false">
      <c r="AH860" s="36"/>
      <c r="AJ860" s="37"/>
      <c r="AW860" s="38"/>
      <c r="AX860" s="39"/>
      <c r="AY860" s="40"/>
    </row>
    <row r="861" customFormat="false" ht="12.75" hidden="false" customHeight="true" outlineLevel="0" collapsed="false">
      <c r="AH861" s="36"/>
      <c r="AJ861" s="37"/>
      <c r="AW861" s="38"/>
      <c r="AX861" s="39"/>
      <c r="AY861" s="40"/>
    </row>
    <row r="862" customFormat="false" ht="12.75" hidden="false" customHeight="true" outlineLevel="0" collapsed="false">
      <c r="AH862" s="36"/>
      <c r="AJ862" s="37"/>
      <c r="AW862" s="38"/>
      <c r="AX862" s="39"/>
      <c r="AY862" s="40"/>
    </row>
    <row r="863" customFormat="false" ht="12.75" hidden="false" customHeight="true" outlineLevel="0" collapsed="false">
      <c r="AH863" s="36"/>
      <c r="AJ863" s="37"/>
      <c r="AW863" s="38"/>
      <c r="AX863" s="39"/>
      <c r="AY863" s="40"/>
    </row>
    <row r="864" customFormat="false" ht="12.75" hidden="false" customHeight="true" outlineLevel="0" collapsed="false">
      <c r="AH864" s="36"/>
      <c r="AJ864" s="37"/>
      <c r="AW864" s="38"/>
      <c r="AX864" s="39"/>
      <c r="AY864" s="40"/>
    </row>
    <row r="865" customFormat="false" ht="12.75" hidden="false" customHeight="true" outlineLevel="0" collapsed="false">
      <c r="AH865" s="36"/>
      <c r="AJ865" s="37"/>
      <c r="AW865" s="38"/>
      <c r="AX865" s="39"/>
      <c r="AY865" s="40"/>
    </row>
    <row r="866" customFormat="false" ht="12.75" hidden="false" customHeight="true" outlineLevel="0" collapsed="false">
      <c r="AH866" s="36"/>
      <c r="AJ866" s="37"/>
      <c r="AW866" s="38"/>
      <c r="AX866" s="39"/>
      <c r="AY866" s="40"/>
    </row>
    <row r="867" customFormat="false" ht="12.75" hidden="false" customHeight="true" outlineLevel="0" collapsed="false">
      <c r="AH867" s="36"/>
      <c r="AJ867" s="37"/>
      <c r="AW867" s="38"/>
      <c r="AX867" s="39"/>
      <c r="AY867" s="40"/>
    </row>
    <row r="868" customFormat="false" ht="12.75" hidden="false" customHeight="true" outlineLevel="0" collapsed="false">
      <c r="AH868" s="36"/>
      <c r="AJ868" s="37"/>
      <c r="AW868" s="38"/>
      <c r="AX868" s="39"/>
      <c r="AY868" s="40"/>
    </row>
    <row r="869" customFormat="false" ht="12.75" hidden="false" customHeight="true" outlineLevel="0" collapsed="false">
      <c r="AH869" s="36"/>
      <c r="AJ869" s="37"/>
      <c r="AW869" s="38"/>
      <c r="AX869" s="39"/>
      <c r="AY869" s="40"/>
    </row>
    <row r="870" customFormat="false" ht="12.75" hidden="false" customHeight="true" outlineLevel="0" collapsed="false">
      <c r="AH870" s="36"/>
      <c r="AJ870" s="37"/>
      <c r="AW870" s="38"/>
      <c r="AX870" s="39"/>
      <c r="AY870" s="40"/>
    </row>
    <row r="871" customFormat="false" ht="12.75" hidden="false" customHeight="true" outlineLevel="0" collapsed="false">
      <c r="AH871" s="36"/>
      <c r="AJ871" s="37"/>
      <c r="AW871" s="38"/>
      <c r="AX871" s="39"/>
      <c r="AY871" s="40"/>
    </row>
    <row r="872" customFormat="false" ht="12.75" hidden="false" customHeight="true" outlineLevel="0" collapsed="false">
      <c r="AH872" s="36"/>
      <c r="AJ872" s="37"/>
      <c r="AW872" s="38"/>
      <c r="AX872" s="39"/>
      <c r="AY872" s="40"/>
    </row>
    <row r="873" customFormat="false" ht="12.75" hidden="false" customHeight="true" outlineLevel="0" collapsed="false">
      <c r="AH873" s="36"/>
      <c r="AJ873" s="37"/>
      <c r="AW873" s="38"/>
      <c r="AX873" s="39"/>
      <c r="AY873" s="40"/>
    </row>
    <row r="874" customFormat="false" ht="12.75" hidden="false" customHeight="true" outlineLevel="0" collapsed="false">
      <c r="AH874" s="36"/>
      <c r="AJ874" s="37"/>
      <c r="AW874" s="38"/>
      <c r="AX874" s="39"/>
      <c r="AY874" s="40"/>
    </row>
    <row r="875" customFormat="false" ht="12.75" hidden="false" customHeight="true" outlineLevel="0" collapsed="false">
      <c r="AH875" s="36"/>
      <c r="AJ875" s="37"/>
      <c r="AW875" s="38"/>
      <c r="AX875" s="39"/>
      <c r="AY875" s="40"/>
    </row>
    <row r="876" customFormat="false" ht="12.75" hidden="false" customHeight="true" outlineLevel="0" collapsed="false">
      <c r="AH876" s="36"/>
      <c r="AJ876" s="37"/>
      <c r="AW876" s="38"/>
      <c r="AX876" s="39"/>
      <c r="AY876" s="40"/>
    </row>
    <row r="877" customFormat="false" ht="12.75" hidden="false" customHeight="true" outlineLevel="0" collapsed="false">
      <c r="AH877" s="36"/>
      <c r="AJ877" s="37"/>
      <c r="AW877" s="38"/>
      <c r="AX877" s="39"/>
      <c r="AY877" s="40"/>
    </row>
    <row r="878" customFormat="false" ht="12.75" hidden="false" customHeight="true" outlineLevel="0" collapsed="false">
      <c r="AH878" s="36"/>
      <c r="AJ878" s="37"/>
      <c r="AW878" s="38"/>
      <c r="AX878" s="39"/>
      <c r="AY878" s="40"/>
    </row>
    <row r="879" customFormat="false" ht="12.75" hidden="false" customHeight="true" outlineLevel="0" collapsed="false">
      <c r="AH879" s="36"/>
      <c r="AJ879" s="37"/>
      <c r="AW879" s="38"/>
      <c r="AX879" s="39"/>
      <c r="AY879" s="40"/>
    </row>
    <row r="880" customFormat="false" ht="12.75" hidden="false" customHeight="true" outlineLevel="0" collapsed="false">
      <c r="AH880" s="36"/>
      <c r="AJ880" s="37"/>
      <c r="AW880" s="38"/>
      <c r="AX880" s="39"/>
      <c r="AY880" s="40"/>
    </row>
    <row r="881" customFormat="false" ht="12.75" hidden="false" customHeight="true" outlineLevel="0" collapsed="false">
      <c r="AH881" s="36"/>
      <c r="AJ881" s="37"/>
      <c r="AW881" s="38"/>
      <c r="AX881" s="39"/>
      <c r="AY881" s="40"/>
    </row>
    <row r="882" customFormat="false" ht="12.75" hidden="false" customHeight="true" outlineLevel="0" collapsed="false">
      <c r="AH882" s="36"/>
      <c r="AJ882" s="37"/>
      <c r="AW882" s="38"/>
      <c r="AX882" s="39"/>
      <c r="AY882" s="40"/>
    </row>
    <row r="883" customFormat="false" ht="12.75" hidden="false" customHeight="true" outlineLevel="0" collapsed="false">
      <c r="AH883" s="36"/>
      <c r="AJ883" s="37"/>
      <c r="AW883" s="38"/>
      <c r="AX883" s="39"/>
      <c r="AY883" s="40"/>
    </row>
    <row r="884" customFormat="false" ht="12.75" hidden="false" customHeight="true" outlineLevel="0" collapsed="false">
      <c r="AH884" s="36"/>
      <c r="AJ884" s="37"/>
      <c r="AW884" s="38"/>
      <c r="AX884" s="39"/>
      <c r="AY884" s="40"/>
    </row>
    <row r="885" customFormat="false" ht="12.75" hidden="false" customHeight="true" outlineLevel="0" collapsed="false">
      <c r="AH885" s="36"/>
      <c r="AJ885" s="37"/>
      <c r="AW885" s="38"/>
      <c r="AX885" s="39"/>
      <c r="AY885" s="40"/>
    </row>
    <row r="886" customFormat="false" ht="12.75" hidden="false" customHeight="true" outlineLevel="0" collapsed="false">
      <c r="AH886" s="36"/>
      <c r="AJ886" s="37"/>
      <c r="AW886" s="38"/>
      <c r="AX886" s="39"/>
      <c r="AY886" s="40"/>
    </row>
    <row r="887" customFormat="false" ht="12.75" hidden="false" customHeight="true" outlineLevel="0" collapsed="false">
      <c r="AH887" s="36"/>
      <c r="AJ887" s="37"/>
      <c r="AW887" s="38"/>
      <c r="AX887" s="39"/>
      <c r="AY887" s="40"/>
    </row>
    <row r="888" customFormat="false" ht="12.75" hidden="false" customHeight="true" outlineLevel="0" collapsed="false">
      <c r="AH888" s="36"/>
      <c r="AJ888" s="37"/>
      <c r="AW888" s="38"/>
      <c r="AX888" s="39"/>
      <c r="AY888" s="40"/>
    </row>
    <row r="889" customFormat="false" ht="12.75" hidden="false" customHeight="true" outlineLevel="0" collapsed="false">
      <c r="AH889" s="36"/>
      <c r="AJ889" s="37"/>
      <c r="AW889" s="38"/>
      <c r="AX889" s="39"/>
      <c r="AY889" s="40"/>
    </row>
    <row r="890" customFormat="false" ht="12.75" hidden="false" customHeight="true" outlineLevel="0" collapsed="false">
      <c r="AH890" s="36"/>
      <c r="AJ890" s="37"/>
      <c r="AW890" s="38"/>
      <c r="AX890" s="39"/>
      <c r="AY890" s="40"/>
    </row>
    <row r="891" customFormat="false" ht="12.75" hidden="false" customHeight="true" outlineLevel="0" collapsed="false">
      <c r="AH891" s="36"/>
      <c r="AJ891" s="37"/>
      <c r="AW891" s="38"/>
      <c r="AX891" s="39"/>
      <c r="AY891" s="40"/>
    </row>
    <row r="892" customFormat="false" ht="12.75" hidden="false" customHeight="true" outlineLevel="0" collapsed="false">
      <c r="AH892" s="36"/>
      <c r="AJ892" s="37"/>
      <c r="AW892" s="38"/>
      <c r="AX892" s="39"/>
      <c r="AY892" s="40"/>
    </row>
    <row r="893" customFormat="false" ht="12.75" hidden="false" customHeight="true" outlineLevel="0" collapsed="false">
      <c r="AH893" s="36"/>
      <c r="AJ893" s="37"/>
      <c r="AW893" s="38"/>
      <c r="AX893" s="39"/>
      <c r="AY893" s="40"/>
    </row>
    <row r="894" customFormat="false" ht="12.75" hidden="false" customHeight="true" outlineLevel="0" collapsed="false">
      <c r="AH894" s="36"/>
      <c r="AJ894" s="37"/>
      <c r="AW894" s="38"/>
      <c r="AX894" s="39"/>
      <c r="AY894" s="40"/>
    </row>
    <row r="895" customFormat="false" ht="12.75" hidden="false" customHeight="true" outlineLevel="0" collapsed="false">
      <c r="AH895" s="36"/>
      <c r="AJ895" s="37"/>
      <c r="AW895" s="38"/>
      <c r="AX895" s="39"/>
      <c r="AY895" s="40"/>
    </row>
    <row r="896" customFormat="false" ht="12.75" hidden="false" customHeight="true" outlineLevel="0" collapsed="false">
      <c r="AH896" s="36"/>
      <c r="AJ896" s="37"/>
      <c r="AW896" s="38"/>
      <c r="AX896" s="39"/>
      <c r="AY896" s="40"/>
    </row>
    <row r="897" customFormat="false" ht="12.75" hidden="false" customHeight="true" outlineLevel="0" collapsed="false">
      <c r="AH897" s="36"/>
      <c r="AJ897" s="37"/>
      <c r="AW897" s="38"/>
      <c r="AX897" s="39"/>
      <c r="AY897" s="40"/>
    </row>
    <row r="898" customFormat="false" ht="12.75" hidden="false" customHeight="true" outlineLevel="0" collapsed="false">
      <c r="AH898" s="36"/>
      <c r="AJ898" s="37"/>
      <c r="AW898" s="38"/>
      <c r="AX898" s="39"/>
      <c r="AY898" s="40"/>
    </row>
    <row r="899" customFormat="false" ht="12.75" hidden="false" customHeight="true" outlineLevel="0" collapsed="false">
      <c r="AH899" s="36"/>
      <c r="AJ899" s="37"/>
      <c r="AW899" s="38"/>
      <c r="AX899" s="39"/>
      <c r="AY899" s="40"/>
    </row>
    <row r="900" customFormat="false" ht="12.75" hidden="false" customHeight="true" outlineLevel="0" collapsed="false">
      <c r="AH900" s="36"/>
      <c r="AJ900" s="37"/>
      <c r="AW900" s="38"/>
      <c r="AX900" s="39"/>
      <c r="AY900" s="40"/>
    </row>
    <row r="901" customFormat="false" ht="12.75" hidden="false" customHeight="true" outlineLevel="0" collapsed="false">
      <c r="AH901" s="36"/>
      <c r="AJ901" s="37"/>
      <c r="AW901" s="38"/>
      <c r="AX901" s="39"/>
      <c r="AY901" s="40"/>
    </row>
    <row r="902" customFormat="false" ht="12.75" hidden="false" customHeight="true" outlineLevel="0" collapsed="false">
      <c r="AH902" s="36"/>
      <c r="AJ902" s="37"/>
      <c r="AW902" s="38"/>
      <c r="AX902" s="39"/>
      <c r="AY902" s="40"/>
    </row>
    <row r="903" customFormat="false" ht="12.75" hidden="false" customHeight="true" outlineLevel="0" collapsed="false">
      <c r="AH903" s="36"/>
      <c r="AJ903" s="37"/>
      <c r="AW903" s="38"/>
      <c r="AX903" s="39"/>
      <c r="AY903" s="40"/>
    </row>
    <row r="904" customFormat="false" ht="12.75" hidden="false" customHeight="true" outlineLevel="0" collapsed="false">
      <c r="AH904" s="36"/>
      <c r="AJ904" s="37"/>
      <c r="AW904" s="38"/>
      <c r="AX904" s="39"/>
      <c r="AY904" s="40"/>
    </row>
    <row r="905" customFormat="false" ht="12.75" hidden="false" customHeight="true" outlineLevel="0" collapsed="false">
      <c r="AH905" s="36"/>
      <c r="AJ905" s="37"/>
      <c r="AW905" s="38"/>
      <c r="AX905" s="39"/>
      <c r="AY905" s="40"/>
    </row>
    <row r="906" customFormat="false" ht="12.75" hidden="false" customHeight="true" outlineLevel="0" collapsed="false">
      <c r="AH906" s="36"/>
      <c r="AJ906" s="37"/>
      <c r="AW906" s="38"/>
      <c r="AX906" s="39"/>
      <c r="AY906" s="40"/>
    </row>
    <row r="907" customFormat="false" ht="12.75" hidden="false" customHeight="true" outlineLevel="0" collapsed="false">
      <c r="AH907" s="36"/>
      <c r="AJ907" s="37"/>
      <c r="AW907" s="38"/>
      <c r="AX907" s="39"/>
      <c r="AY907" s="40"/>
    </row>
    <row r="908" customFormat="false" ht="12.75" hidden="false" customHeight="true" outlineLevel="0" collapsed="false">
      <c r="AH908" s="36"/>
      <c r="AJ908" s="37"/>
      <c r="AW908" s="38"/>
      <c r="AX908" s="39"/>
      <c r="AY908" s="40"/>
    </row>
    <row r="909" customFormat="false" ht="12.75" hidden="false" customHeight="true" outlineLevel="0" collapsed="false">
      <c r="AH909" s="36"/>
      <c r="AJ909" s="37"/>
      <c r="AW909" s="38"/>
      <c r="AX909" s="39"/>
      <c r="AY909" s="40"/>
    </row>
    <row r="910" customFormat="false" ht="12.75" hidden="false" customHeight="true" outlineLevel="0" collapsed="false">
      <c r="AH910" s="36"/>
      <c r="AJ910" s="37"/>
      <c r="AW910" s="38"/>
      <c r="AX910" s="39"/>
      <c r="AY910" s="40"/>
    </row>
    <row r="911" customFormat="false" ht="12.75" hidden="false" customHeight="true" outlineLevel="0" collapsed="false">
      <c r="AH911" s="36"/>
      <c r="AJ911" s="37"/>
      <c r="AW911" s="38"/>
      <c r="AX911" s="39"/>
      <c r="AY911" s="40"/>
    </row>
    <row r="912" customFormat="false" ht="12.75" hidden="false" customHeight="true" outlineLevel="0" collapsed="false">
      <c r="AH912" s="36"/>
      <c r="AJ912" s="37"/>
      <c r="AW912" s="38"/>
      <c r="AX912" s="39"/>
      <c r="AY912" s="40"/>
    </row>
    <row r="913" customFormat="false" ht="12.75" hidden="false" customHeight="true" outlineLevel="0" collapsed="false">
      <c r="AH913" s="36"/>
      <c r="AJ913" s="37"/>
      <c r="AW913" s="38"/>
      <c r="AX913" s="39"/>
      <c r="AY913" s="40"/>
    </row>
    <row r="914" customFormat="false" ht="12.75" hidden="false" customHeight="true" outlineLevel="0" collapsed="false">
      <c r="AH914" s="36"/>
      <c r="AJ914" s="37"/>
      <c r="AW914" s="38"/>
      <c r="AX914" s="39"/>
      <c r="AY914" s="40"/>
    </row>
    <row r="915" customFormat="false" ht="12.75" hidden="false" customHeight="true" outlineLevel="0" collapsed="false">
      <c r="AH915" s="36"/>
      <c r="AJ915" s="37"/>
      <c r="AW915" s="38"/>
      <c r="AX915" s="39"/>
      <c r="AY915" s="40"/>
    </row>
    <row r="916" customFormat="false" ht="12.75" hidden="false" customHeight="true" outlineLevel="0" collapsed="false">
      <c r="AH916" s="36"/>
      <c r="AJ916" s="37"/>
      <c r="AW916" s="38"/>
      <c r="AX916" s="39"/>
      <c r="AY916" s="40"/>
    </row>
    <row r="917" customFormat="false" ht="12.75" hidden="false" customHeight="true" outlineLevel="0" collapsed="false">
      <c r="AH917" s="36"/>
      <c r="AJ917" s="37"/>
      <c r="AW917" s="38"/>
      <c r="AX917" s="39"/>
      <c r="AY917" s="40"/>
    </row>
    <row r="918" customFormat="false" ht="12.75" hidden="false" customHeight="true" outlineLevel="0" collapsed="false">
      <c r="AH918" s="36"/>
      <c r="AJ918" s="37"/>
      <c r="AW918" s="38"/>
      <c r="AX918" s="39"/>
      <c r="AY918" s="40"/>
    </row>
    <row r="919" customFormat="false" ht="12.75" hidden="false" customHeight="true" outlineLevel="0" collapsed="false">
      <c r="AH919" s="36"/>
      <c r="AJ919" s="37"/>
      <c r="AW919" s="38"/>
      <c r="AX919" s="39"/>
      <c r="AY919" s="40"/>
    </row>
    <row r="920" customFormat="false" ht="12.75" hidden="false" customHeight="true" outlineLevel="0" collapsed="false">
      <c r="AH920" s="36"/>
      <c r="AJ920" s="37"/>
      <c r="AW920" s="38"/>
      <c r="AX920" s="39"/>
      <c r="AY920" s="40"/>
    </row>
    <row r="921" customFormat="false" ht="12.75" hidden="false" customHeight="true" outlineLevel="0" collapsed="false">
      <c r="AH921" s="36"/>
      <c r="AJ921" s="37"/>
      <c r="AW921" s="38"/>
      <c r="AX921" s="39"/>
      <c r="AY921" s="40"/>
    </row>
    <row r="922" customFormat="false" ht="12.75" hidden="false" customHeight="true" outlineLevel="0" collapsed="false">
      <c r="AH922" s="36"/>
      <c r="AJ922" s="37"/>
      <c r="AW922" s="38"/>
      <c r="AX922" s="39"/>
      <c r="AY922" s="40"/>
    </row>
    <row r="923" customFormat="false" ht="12.75" hidden="false" customHeight="true" outlineLevel="0" collapsed="false">
      <c r="AH923" s="36"/>
      <c r="AJ923" s="37"/>
      <c r="AW923" s="38"/>
      <c r="AX923" s="39"/>
      <c r="AY923" s="40"/>
    </row>
    <row r="924" customFormat="false" ht="12.75" hidden="false" customHeight="true" outlineLevel="0" collapsed="false">
      <c r="AH924" s="36"/>
      <c r="AJ924" s="37"/>
      <c r="AW924" s="38"/>
      <c r="AX924" s="39"/>
      <c r="AY924" s="40"/>
    </row>
    <row r="925" customFormat="false" ht="12.75" hidden="false" customHeight="true" outlineLevel="0" collapsed="false">
      <c r="AH925" s="36"/>
      <c r="AJ925" s="37"/>
      <c r="AW925" s="38"/>
      <c r="AX925" s="39"/>
      <c r="AY925" s="40"/>
    </row>
    <row r="926" customFormat="false" ht="12.75" hidden="false" customHeight="true" outlineLevel="0" collapsed="false">
      <c r="AH926" s="36"/>
      <c r="AJ926" s="37"/>
      <c r="AW926" s="38"/>
      <c r="AX926" s="39"/>
      <c r="AY926" s="40"/>
    </row>
    <row r="927" customFormat="false" ht="12.75" hidden="false" customHeight="true" outlineLevel="0" collapsed="false">
      <c r="AH927" s="36"/>
      <c r="AJ927" s="37"/>
      <c r="AW927" s="38"/>
      <c r="AX927" s="39"/>
      <c r="AY927" s="40"/>
    </row>
    <row r="928" customFormat="false" ht="12.75" hidden="false" customHeight="true" outlineLevel="0" collapsed="false">
      <c r="AH928" s="36"/>
      <c r="AJ928" s="37"/>
      <c r="AW928" s="38"/>
      <c r="AX928" s="39"/>
      <c r="AY928" s="40"/>
    </row>
    <row r="929" customFormat="false" ht="12.75" hidden="false" customHeight="true" outlineLevel="0" collapsed="false">
      <c r="AH929" s="36"/>
      <c r="AJ929" s="37"/>
      <c r="AW929" s="38"/>
      <c r="AX929" s="39"/>
      <c r="AY929" s="40"/>
    </row>
    <row r="930" customFormat="false" ht="12.75" hidden="false" customHeight="true" outlineLevel="0" collapsed="false">
      <c r="AH930" s="36"/>
      <c r="AJ930" s="37"/>
      <c r="AW930" s="38"/>
      <c r="AX930" s="39"/>
      <c r="AY930" s="40"/>
    </row>
    <row r="931" customFormat="false" ht="12.75" hidden="false" customHeight="true" outlineLevel="0" collapsed="false">
      <c r="AH931" s="36"/>
      <c r="AJ931" s="37"/>
      <c r="AW931" s="38"/>
      <c r="AX931" s="39"/>
      <c r="AY931" s="40"/>
    </row>
    <row r="932" customFormat="false" ht="12.75" hidden="false" customHeight="true" outlineLevel="0" collapsed="false">
      <c r="AH932" s="36"/>
      <c r="AJ932" s="37"/>
      <c r="AW932" s="38"/>
      <c r="AX932" s="39"/>
      <c r="AY932" s="40"/>
    </row>
    <row r="933" customFormat="false" ht="12.75" hidden="false" customHeight="true" outlineLevel="0" collapsed="false">
      <c r="AH933" s="36"/>
      <c r="AJ933" s="37"/>
      <c r="AW933" s="38"/>
      <c r="AX933" s="39"/>
      <c r="AY933" s="40"/>
    </row>
    <row r="934" customFormat="false" ht="12.75" hidden="false" customHeight="true" outlineLevel="0" collapsed="false">
      <c r="AH934" s="36"/>
      <c r="AJ934" s="37"/>
      <c r="AW934" s="38"/>
      <c r="AX934" s="39"/>
      <c r="AY934" s="40"/>
    </row>
    <row r="935" customFormat="false" ht="12.75" hidden="false" customHeight="true" outlineLevel="0" collapsed="false">
      <c r="AH935" s="36"/>
      <c r="AJ935" s="37"/>
      <c r="AW935" s="38"/>
      <c r="AX935" s="39"/>
      <c r="AY935" s="40"/>
    </row>
    <row r="936" customFormat="false" ht="12.75" hidden="false" customHeight="true" outlineLevel="0" collapsed="false">
      <c r="AH936" s="36"/>
      <c r="AJ936" s="37"/>
      <c r="AW936" s="38"/>
      <c r="AX936" s="39"/>
      <c r="AY936" s="40"/>
    </row>
    <row r="937" customFormat="false" ht="12.75" hidden="false" customHeight="true" outlineLevel="0" collapsed="false">
      <c r="AH937" s="36"/>
      <c r="AJ937" s="37"/>
      <c r="AW937" s="38"/>
      <c r="AX937" s="39"/>
      <c r="AY937" s="40"/>
    </row>
    <row r="938" customFormat="false" ht="12.75" hidden="false" customHeight="true" outlineLevel="0" collapsed="false">
      <c r="AH938" s="36"/>
      <c r="AJ938" s="37"/>
      <c r="AW938" s="38"/>
      <c r="AX938" s="39"/>
      <c r="AY938" s="40"/>
    </row>
    <row r="939" customFormat="false" ht="12.75" hidden="false" customHeight="true" outlineLevel="0" collapsed="false">
      <c r="AH939" s="36"/>
      <c r="AJ939" s="37"/>
      <c r="AW939" s="38"/>
      <c r="AX939" s="39"/>
      <c r="AY939" s="40"/>
    </row>
    <row r="940" customFormat="false" ht="12.75" hidden="false" customHeight="true" outlineLevel="0" collapsed="false">
      <c r="AH940" s="36"/>
      <c r="AJ940" s="37"/>
      <c r="AW940" s="38"/>
      <c r="AX940" s="39"/>
      <c r="AY940" s="40"/>
    </row>
    <row r="941" customFormat="false" ht="12.75" hidden="false" customHeight="true" outlineLevel="0" collapsed="false">
      <c r="AH941" s="36"/>
      <c r="AJ941" s="37"/>
      <c r="AW941" s="38"/>
      <c r="AX941" s="39"/>
      <c r="AY941" s="40"/>
    </row>
    <row r="942" customFormat="false" ht="12.75" hidden="false" customHeight="true" outlineLevel="0" collapsed="false">
      <c r="AH942" s="36"/>
      <c r="AJ942" s="37"/>
      <c r="AW942" s="38"/>
      <c r="AX942" s="39"/>
      <c r="AY942" s="40"/>
    </row>
    <row r="943" customFormat="false" ht="12.75" hidden="false" customHeight="true" outlineLevel="0" collapsed="false">
      <c r="AH943" s="36"/>
      <c r="AJ943" s="37"/>
      <c r="AW943" s="38"/>
      <c r="AX943" s="39"/>
      <c r="AY943" s="40"/>
    </row>
    <row r="944" customFormat="false" ht="12.75" hidden="false" customHeight="true" outlineLevel="0" collapsed="false">
      <c r="AH944" s="36"/>
      <c r="AJ944" s="37"/>
      <c r="AW944" s="38"/>
      <c r="AX944" s="39"/>
      <c r="AY944" s="40"/>
    </row>
    <row r="945" customFormat="false" ht="12.75" hidden="false" customHeight="true" outlineLevel="0" collapsed="false">
      <c r="AH945" s="36"/>
      <c r="AJ945" s="37"/>
      <c r="AW945" s="38"/>
      <c r="AX945" s="39"/>
      <c r="AY945" s="40"/>
    </row>
    <row r="946" customFormat="false" ht="12.75" hidden="false" customHeight="true" outlineLevel="0" collapsed="false">
      <c r="AH946" s="36"/>
      <c r="AJ946" s="37"/>
      <c r="AW946" s="38"/>
      <c r="AX946" s="39"/>
      <c r="AY946" s="40"/>
    </row>
    <row r="947" customFormat="false" ht="12.75" hidden="false" customHeight="true" outlineLevel="0" collapsed="false">
      <c r="AH947" s="36"/>
      <c r="AJ947" s="37"/>
      <c r="AW947" s="38"/>
      <c r="AX947" s="39"/>
      <c r="AY947" s="40"/>
    </row>
    <row r="948" customFormat="false" ht="12.75" hidden="false" customHeight="true" outlineLevel="0" collapsed="false">
      <c r="AH948" s="36"/>
      <c r="AJ948" s="37"/>
      <c r="AW948" s="38"/>
      <c r="AX948" s="39"/>
      <c r="AY948" s="40"/>
    </row>
    <row r="949" customFormat="false" ht="12.75" hidden="false" customHeight="true" outlineLevel="0" collapsed="false">
      <c r="AH949" s="36"/>
      <c r="AJ949" s="37"/>
      <c r="AW949" s="38"/>
      <c r="AX949" s="39"/>
      <c r="AY949" s="40"/>
    </row>
    <row r="950" customFormat="false" ht="12.75" hidden="false" customHeight="true" outlineLevel="0" collapsed="false">
      <c r="AH950" s="36"/>
      <c r="AJ950" s="37"/>
      <c r="AW950" s="38"/>
      <c r="AX950" s="39"/>
      <c r="AY950" s="40"/>
    </row>
    <row r="951" customFormat="false" ht="12.75" hidden="false" customHeight="true" outlineLevel="0" collapsed="false">
      <c r="AH951" s="36"/>
      <c r="AJ951" s="37"/>
      <c r="AW951" s="38"/>
      <c r="AX951" s="39"/>
      <c r="AY951" s="40"/>
    </row>
    <row r="952" customFormat="false" ht="12.75" hidden="false" customHeight="true" outlineLevel="0" collapsed="false">
      <c r="AH952" s="36"/>
      <c r="AJ952" s="37"/>
      <c r="AW952" s="38"/>
      <c r="AX952" s="39"/>
      <c r="AY952" s="40"/>
    </row>
    <row r="953" customFormat="false" ht="12.75" hidden="false" customHeight="true" outlineLevel="0" collapsed="false">
      <c r="AH953" s="36"/>
      <c r="AJ953" s="37"/>
      <c r="AW953" s="38"/>
      <c r="AX953" s="39"/>
      <c r="AY953" s="40"/>
    </row>
    <row r="954" customFormat="false" ht="12.75" hidden="false" customHeight="true" outlineLevel="0" collapsed="false">
      <c r="AH954" s="36"/>
      <c r="AJ954" s="37"/>
      <c r="AW954" s="38"/>
      <c r="AX954" s="39"/>
      <c r="AY954" s="40"/>
    </row>
    <row r="955" customFormat="false" ht="12.75" hidden="false" customHeight="true" outlineLevel="0" collapsed="false">
      <c r="AH955" s="36"/>
      <c r="AJ955" s="37"/>
      <c r="AW955" s="38"/>
      <c r="AX955" s="39"/>
      <c r="AY955" s="40"/>
    </row>
    <row r="956" customFormat="false" ht="12.75" hidden="false" customHeight="true" outlineLevel="0" collapsed="false">
      <c r="AH956" s="36"/>
      <c r="AJ956" s="37"/>
      <c r="AW956" s="38"/>
      <c r="AX956" s="39"/>
      <c r="AY956" s="40"/>
    </row>
    <row r="957" customFormat="false" ht="12.75" hidden="false" customHeight="true" outlineLevel="0" collapsed="false">
      <c r="AH957" s="36"/>
      <c r="AJ957" s="37"/>
      <c r="AW957" s="38"/>
      <c r="AX957" s="39"/>
      <c r="AY957" s="40"/>
    </row>
    <row r="958" customFormat="false" ht="12.75" hidden="false" customHeight="true" outlineLevel="0" collapsed="false">
      <c r="AH958" s="36"/>
      <c r="AJ958" s="37"/>
      <c r="AW958" s="38"/>
      <c r="AX958" s="39"/>
      <c r="AY958" s="40"/>
    </row>
    <row r="959" customFormat="false" ht="12.75" hidden="false" customHeight="true" outlineLevel="0" collapsed="false">
      <c r="AH959" s="36"/>
      <c r="AJ959" s="37"/>
      <c r="AW959" s="38"/>
      <c r="AX959" s="39"/>
      <c r="AY959" s="40"/>
    </row>
    <row r="960" customFormat="false" ht="12.75" hidden="false" customHeight="true" outlineLevel="0" collapsed="false">
      <c r="AH960" s="36"/>
      <c r="AJ960" s="37"/>
      <c r="AW960" s="38"/>
      <c r="AX960" s="39"/>
      <c r="AY960" s="40"/>
    </row>
    <row r="961" customFormat="false" ht="12.75" hidden="false" customHeight="true" outlineLevel="0" collapsed="false">
      <c r="AH961" s="36"/>
      <c r="AJ961" s="37"/>
      <c r="AW961" s="38"/>
      <c r="AX961" s="39"/>
      <c r="AY961" s="40"/>
    </row>
    <row r="962" customFormat="false" ht="12.75" hidden="false" customHeight="true" outlineLevel="0" collapsed="false">
      <c r="AH962" s="36"/>
      <c r="AJ962" s="37"/>
      <c r="AW962" s="38"/>
      <c r="AX962" s="39"/>
      <c r="AY962" s="40"/>
    </row>
    <row r="963" customFormat="false" ht="12.75" hidden="false" customHeight="true" outlineLevel="0" collapsed="false">
      <c r="AH963" s="36"/>
      <c r="AJ963" s="37"/>
      <c r="AW963" s="38"/>
      <c r="AX963" s="39"/>
      <c r="AY963" s="40"/>
    </row>
    <row r="964" customFormat="false" ht="12.75" hidden="false" customHeight="true" outlineLevel="0" collapsed="false">
      <c r="AH964" s="36"/>
      <c r="AJ964" s="37"/>
      <c r="AW964" s="38"/>
      <c r="AX964" s="39"/>
      <c r="AY964" s="40"/>
    </row>
    <row r="965" customFormat="false" ht="12.75" hidden="false" customHeight="true" outlineLevel="0" collapsed="false">
      <c r="AH965" s="36"/>
      <c r="AJ965" s="37"/>
      <c r="AW965" s="38"/>
      <c r="AX965" s="39"/>
      <c r="AY965" s="40"/>
    </row>
    <row r="966" customFormat="false" ht="12.75" hidden="false" customHeight="true" outlineLevel="0" collapsed="false">
      <c r="AH966" s="36"/>
      <c r="AJ966" s="37"/>
      <c r="AW966" s="38"/>
      <c r="AX966" s="39"/>
      <c r="AY966" s="40"/>
    </row>
    <row r="967" customFormat="false" ht="12.75" hidden="false" customHeight="true" outlineLevel="0" collapsed="false">
      <c r="AH967" s="36"/>
      <c r="AJ967" s="37"/>
      <c r="AW967" s="38"/>
      <c r="AX967" s="39"/>
      <c r="AY967" s="40"/>
    </row>
    <row r="968" customFormat="false" ht="12.75" hidden="false" customHeight="true" outlineLevel="0" collapsed="false">
      <c r="AH968" s="36"/>
      <c r="AJ968" s="37"/>
      <c r="AW968" s="38"/>
      <c r="AX968" s="39"/>
      <c r="AY968" s="40"/>
    </row>
    <row r="969" customFormat="false" ht="12.75" hidden="false" customHeight="true" outlineLevel="0" collapsed="false">
      <c r="AH969" s="36"/>
      <c r="AJ969" s="37"/>
      <c r="AW969" s="38"/>
      <c r="AX969" s="39"/>
      <c r="AY969" s="40"/>
    </row>
    <row r="970" customFormat="false" ht="12.75" hidden="false" customHeight="true" outlineLevel="0" collapsed="false">
      <c r="AH970" s="36"/>
      <c r="AJ970" s="37"/>
      <c r="AW970" s="38"/>
      <c r="AX970" s="39"/>
      <c r="AY970" s="40"/>
    </row>
    <row r="971" customFormat="false" ht="12.75" hidden="false" customHeight="true" outlineLevel="0" collapsed="false">
      <c r="AH971" s="36"/>
      <c r="AJ971" s="37"/>
      <c r="AW971" s="38"/>
      <c r="AX971" s="39"/>
      <c r="AY971" s="40"/>
    </row>
    <row r="972" customFormat="false" ht="12.75" hidden="false" customHeight="true" outlineLevel="0" collapsed="false">
      <c r="AH972" s="36"/>
      <c r="AJ972" s="37"/>
      <c r="AW972" s="38"/>
      <c r="AX972" s="39"/>
      <c r="AY972" s="40"/>
    </row>
    <row r="973" customFormat="false" ht="12.75" hidden="false" customHeight="true" outlineLevel="0" collapsed="false">
      <c r="AH973" s="36"/>
      <c r="AJ973" s="37"/>
      <c r="AW973" s="38"/>
      <c r="AX973" s="39"/>
      <c r="AY973" s="40"/>
    </row>
    <row r="974" customFormat="false" ht="12.75" hidden="false" customHeight="true" outlineLevel="0" collapsed="false">
      <c r="AH974" s="36"/>
      <c r="AJ974" s="37"/>
      <c r="AW974" s="38"/>
      <c r="AX974" s="39"/>
      <c r="AY974" s="40"/>
    </row>
    <row r="975" customFormat="false" ht="12.75" hidden="false" customHeight="true" outlineLevel="0" collapsed="false">
      <c r="AH975" s="36"/>
      <c r="AJ975" s="37"/>
      <c r="AW975" s="38"/>
      <c r="AX975" s="39"/>
      <c r="AY975" s="40"/>
    </row>
    <row r="976" customFormat="false" ht="12.75" hidden="false" customHeight="true" outlineLevel="0" collapsed="false">
      <c r="AH976" s="36"/>
      <c r="AJ976" s="37"/>
      <c r="AW976" s="38"/>
      <c r="AX976" s="39"/>
      <c r="AY976" s="40"/>
    </row>
    <row r="977" customFormat="false" ht="12.75" hidden="false" customHeight="true" outlineLevel="0" collapsed="false">
      <c r="AH977" s="36"/>
      <c r="AJ977" s="37"/>
      <c r="AW977" s="38"/>
      <c r="AX977" s="39"/>
      <c r="AY977" s="40"/>
    </row>
    <row r="978" customFormat="false" ht="12.75" hidden="false" customHeight="true" outlineLevel="0" collapsed="false">
      <c r="AH978" s="36"/>
      <c r="AJ978" s="37"/>
      <c r="AW978" s="38"/>
      <c r="AX978" s="39"/>
      <c r="AY978" s="40"/>
    </row>
    <row r="979" customFormat="false" ht="12.75" hidden="false" customHeight="true" outlineLevel="0" collapsed="false">
      <c r="AH979" s="36"/>
      <c r="AJ979" s="37"/>
      <c r="AW979" s="38"/>
      <c r="AX979" s="39"/>
      <c r="AY979" s="40"/>
    </row>
    <row r="980" customFormat="false" ht="12.75" hidden="false" customHeight="true" outlineLevel="0" collapsed="false">
      <c r="AH980" s="36"/>
      <c r="AJ980" s="37"/>
      <c r="AW980" s="38"/>
      <c r="AX980" s="39"/>
      <c r="AY980" s="40"/>
    </row>
    <row r="981" customFormat="false" ht="12.75" hidden="false" customHeight="true" outlineLevel="0" collapsed="false">
      <c r="AH981" s="36"/>
      <c r="AJ981" s="37"/>
      <c r="AW981" s="38"/>
      <c r="AX981" s="39"/>
      <c r="AY981" s="40"/>
    </row>
    <row r="982" customFormat="false" ht="12.75" hidden="false" customHeight="true" outlineLevel="0" collapsed="false">
      <c r="AH982" s="36"/>
      <c r="AJ982" s="37"/>
      <c r="AW982" s="38"/>
      <c r="AX982" s="39"/>
      <c r="AY982" s="40"/>
    </row>
    <row r="983" customFormat="false" ht="12.75" hidden="false" customHeight="true" outlineLevel="0" collapsed="false">
      <c r="AH983" s="36"/>
      <c r="AJ983" s="37"/>
      <c r="AW983" s="38"/>
      <c r="AX983" s="39"/>
      <c r="AY983" s="40"/>
    </row>
    <row r="984" customFormat="false" ht="12.75" hidden="false" customHeight="true" outlineLevel="0" collapsed="false">
      <c r="AH984" s="36"/>
      <c r="AJ984" s="37"/>
      <c r="AW984" s="38"/>
      <c r="AX984" s="39"/>
      <c r="AY984" s="40"/>
    </row>
    <row r="985" customFormat="false" ht="12.75" hidden="false" customHeight="true" outlineLevel="0" collapsed="false">
      <c r="AH985" s="36"/>
      <c r="AJ985" s="37"/>
      <c r="AW985" s="38"/>
      <c r="AX985" s="39"/>
      <c r="AY985" s="40"/>
    </row>
    <row r="986" customFormat="false" ht="12.75" hidden="false" customHeight="true" outlineLevel="0" collapsed="false">
      <c r="AH986" s="36"/>
      <c r="AJ986" s="37"/>
      <c r="AW986" s="38"/>
      <c r="AX986" s="39"/>
      <c r="AY986" s="40"/>
    </row>
    <row r="987" customFormat="false" ht="12.75" hidden="false" customHeight="true" outlineLevel="0" collapsed="false">
      <c r="AH987" s="36"/>
      <c r="AJ987" s="37"/>
      <c r="AW987" s="38"/>
      <c r="AX987" s="39"/>
      <c r="AY987" s="40"/>
    </row>
    <row r="988" customFormat="false" ht="12.75" hidden="false" customHeight="true" outlineLevel="0" collapsed="false">
      <c r="AH988" s="36"/>
      <c r="AJ988" s="37"/>
      <c r="AW988" s="38"/>
      <c r="AX988" s="39"/>
      <c r="AY988" s="40"/>
    </row>
    <row r="989" customFormat="false" ht="12.75" hidden="false" customHeight="true" outlineLevel="0" collapsed="false">
      <c r="AH989" s="36"/>
      <c r="AJ989" s="37"/>
      <c r="AW989" s="38"/>
      <c r="AX989" s="39"/>
      <c r="AY989" s="40"/>
    </row>
    <row r="990" customFormat="false" ht="12.75" hidden="false" customHeight="true" outlineLevel="0" collapsed="false">
      <c r="AH990" s="36"/>
      <c r="AJ990" s="37"/>
      <c r="AW990" s="38"/>
      <c r="AX990" s="39"/>
      <c r="AY990" s="40"/>
    </row>
    <row r="991" customFormat="false" ht="12.75" hidden="false" customHeight="true" outlineLevel="0" collapsed="false">
      <c r="AH991" s="36"/>
      <c r="AJ991" s="37"/>
      <c r="AW991" s="38"/>
      <c r="AX991" s="39"/>
      <c r="AY991" s="40"/>
    </row>
    <row r="992" customFormat="false" ht="12.75" hidden="false" customHeight="true" outlineLevel="0" collapsed="false">
      <c r="AH992" s="36"/>
      <c r="AJ992" s="37"/>
      <c r="AW992" s="38"/>
      <c r="AX992" s="39"/>
      <c r="AY992" s="40"/>
    </row>
    <row r="993" customFormat="false" ht="12.75" hidden="false" customHeight="true" outlineLevel="0" collapsed="false">
      <c r="AH993" s="36"/>
      <c r="AJ993" s="37"/>
      <c r="AW993" s="38"/>
      <c r="AX993" s="39"/>
      <c r="AY993" s="40"/>
    </row>
    <row r="994" customFormat="false" ht="12.75" hidden="false" customHeight="true" outlineLevel="0" collapsed="false">
      <c r="AH994" s="36"/>
      <c r="AJ994" s="37"/>
      <c r="AW994" s="38"/>
      <c r="AX994" s="39"/>
      <c r="AY994" s="40"/>
    </row>
    <row r="995" customFormat="false" ht="12.75" hidden="false" customHeight="true" outlineLevel="0" collapsed="false">
      <c r="AH995" s="36"/>
      <c r="AJ995" s="37"/>
      <c r="AW995" s="38"/>
      <c r="AX995" s="39"/>
      <c r="AY995" s="40"/>
    </row>
    <row r="996" customFormat="false" ht="12.75" hidden="false" customHeight="true" outlineLevel="0" collapsed="false">
      <c r="AH996" s="36"/>
      <c r="AJ996" s="37"/>
      <c r="AW996" s="38"/>
      <c r="AX996" s="39"/>
      <c r="AY996" s="40"/>
    </row>
    <row r="997" customFormat="false" ht="12.75" hidden="false" customHeight="true" outlineLevel="0" collapsed="false">
      <c r="AH997" s="36"/>
      <c r="AJ997" s="37"/>
      <c r="AW997" s="38"/>
      <c r="AX997" s="39"/>
      <c r="AY997" s="40"/>
    </row>
    <row r="998" customFormat="false" ht="12.75" hidden="false" customHeight="true" outlineLevel="0" collapsed="false">
      <c r="AH998" s="36"/>
      <c r="AJ998" s="37"/>
      <c r="AW998" s="38"/>
      <c r="AX998" s="39"/>
      <c r="AY998" s="40"/>
    </row>
    <row r="999" customFormat="false" ht="12.75" hidden="false" customHeight="true" outlineLevel="0" collapsed="false">
      <c r="AH999" s="36"/>
      <c r="AJ999" s="37"/>
      <c r="AW999" s="38"/>
      <c r="AX999" s="39"/>
      <c r="AY999" s="40"/>
    </row>
    <row r="1000" customFormat="false" ht="12.75" hidden="false" customHeight="true" outlineLevel="0" collapsed="false">
      <c r="AH1000" s="36"/>
      <c r="AJ1000" s="37"/>
      <c r="AW1000" s="38"/>
      <c r="AX1000" s="39"/>
      <c r="AY1000" s="40"/>
    </row>
    <row r="1001" customFormat="false" ht="12.75" hidden="false" customHeight="true" outlineLevel="0" collapsed="false">
      <c r="AH1001" s="36"/>
      <c r="AJ1001" s="37"/>
      <c r="AW1001" s="38"/>
      <c r="AX1001" s="39"/>
      <c r="AY1001" s="40"/>
    </row>
  </sheetData>
  <autoFilter ref="A3:AZ754"/>
  <mergeCells count="37">
    <mergeCell ref="A1:R1"/>
    <mergeCell ref="S1:AZ1"/>
    <mergeCell ref="A2:R2"/>
    <mergeCell ref="S2:AZ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AE3"/>
    <mergeCell ref="AF3:AF4"/>
    <mergeCell ref="AG3:AG4"/>
    <mergeCell ref="AH3:AH4"/>
    <mergeCell ref="AI3:AI4"/>
    <mergeCell ref="AJ3:AJ4"/>
    <mergeCell ref="AK3:AK4"/>
    <mergeCell ref="AL3:AU3"/>
    <mergeCell ref="AV3:AV4"/>
    <mergeCell ref="AW3:AW4"/>
    <mergeCell ref="AX3:AX4"/>
    <mergeCell ref="AY3:AY4"/>
    <mergeCell ref="AZ3:AZ4"/>
  </mergeCells>
  <conditionalFormatting sqref="AY5:AY75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2026-08-16T11:43:41Z</dcterms:created>
  <dc:creator>openpyxl</dc:creator>
  <dc:description/>
  <dc:language>en-US</dc:language>
  <cp:lastModifiedBy>Lokeshwara Rao M</cp:lastModifiedBy>
  <dcterms:modified xsi:type="dcterms:W3CDTF">2026-08-16T11:44:13Z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